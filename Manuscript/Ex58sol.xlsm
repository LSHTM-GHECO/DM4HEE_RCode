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eidennay\Documents\R Work\DAME_Course\DAMEE_Rtutorials\Manuscript\"/>
    </mc:Choice>
  </mc:AlternateContent>
  <bookViews>
    <workbookView xWindow="0" yWindow="0" windowWidth="19200" windowHeight="5310" tabRatio="601"/>
  </bookViews>
  <sheets>
    <sheet name="Model Figure" sheetId="1" r:id="rId1"/>
    <sheet name="Analysis" sheetId="2" r:id="rId2"/>
    <sheet name="Parameters" sheetId="3" r:id="rId3"/>
    <sheet name="Life tables" sheetId="4" r:id="rId4"/>
    <sheet name="Hazard function" sheetId="5" r:id="rId5"/>
    <sheet name="Standard" sheetId="6" r:id="rId6"/>
    <sheet name="NP1" sheetId="7" r:id="rId7"/>
    <sheet name="NP2" sheetId="8" r:id="rId8"/>
    <sheet name="Simulation" sheetId="9" r:id="rId9"/>
    <sheet name="CE plane" sheetId="10" r:id="rId10"/>
    <sheet name="CEA curve" sheetId="11" r:id="rId11"/>
    <sheet name="Macros" sheetId="12" state="veryHidden" r:id=""/>
  </sheets>
  <definedNames>
    <definedName name="a" localSheetId="4">'Hazard function'!$C$27</definedName>
    <definedName name="age">Parameters!$B$8</definedName>
    <definedName name="ageC">Parameters!$B$23</definedName>
    <definedName name="b" localSheetId="4">'Hazard function'!$C$28</definedName>
    <definedName name="c_" localSheetId="4">'Hazard function'!$D$28</definedName>
    <definedName name="cDR">Parameters!$B$11</definedName>
    <definedName name="_cNP1">Parameters!$B$36</definedName>
    <definedName name="_cNP2">Parameters!$B$37</definedName>
    <definedName name="cons">Parameters!$B$22</definedName>
    <definedName name="cPrimary">Parameters!$B$32</definedName>
    <definedName name="cRatio">Simulation!$Z$1</definedName>
    <definedName name="cRevision">Parameters!$B$33</definedName>
    <definedName name="cStandard">Parameters!$B$35</definedName>
    <definedName name="cSuccess">Parameters!$B$34</definedName>
    <definedName name="cycle" localSheetId="6">'NP1'!$A$6:$A$66</definedName>
    <definedName name="cycle" localSheetId="7">'NP2'!$A$6:$A$66</definedName>
    <definedName name="cycle">Standard!$A$6:$A$66</definedName>
    <definedName name="d" localSheetId="4">'Hazard function'!$C$29</definedName>
    <definedName name="e" localSheetId="4">'Hazard function'!$D$29</definedName>
    <definedName name="f" localSheetId="4">'Hazard function'!$E$29</definedName>
    <definedName name="g" localSheetId="4">'Hazard function'!$C$30</definedName>
    <definedName name="gamma">Parameters!$B$26</definedName>
    <definedName name="h" localSheetId="4">'Hazard function'!$D$30</definedName>
    <definedName name="i" localSheetId="4">'Hazard function'!$E$30</definedName>
    <definedName name="j" localSheetId="4">'Hazard function'!$F$30</definedName>
    <definedName name="k" localSheetId="4">'Hazard function'!$C$31</definedName>
    <definedName name="l" localSheetId="4">'Hazard function'!$D$31</definedName>
    <definedName name="lambda">Parameters!$B$25</definedName>
    <definedName name="lifetable">'Life tables'!$C$15:$E$20</definedName>
    <definedName name="lngam">Parameters!$B$26</definedName>
    <definedName name="lnlam">Parameters!$B$25</definedName>
    <definedName name="m" localSheetId="4">'Hazard function'!$E$31</definedName>
    <definedName name="male">Parameters!$B$9</definedName>
    <definedName name="maleC">Parameters!$B$24</definedName>
    <definedName name="mr" localSheetId="6">'NP1'!$E$7:$E$66</definedName>
    <definedName name="mr" localSheetId="7">'NP2'!$E$7:$E$66</definedName>
    <definedName name="mr">Standard!$E$7:$E$66</definedName>
    <definedName name="n" localSheetId="4">'Hazard function'!$F$31</definedName>
    <definedName name="NP1cost">'NP1'!$M$68</definedName>
    <definedName name="NP1lys">'NP1'!$N$68</definedName>
    <definedName name="NP1qalys">'NP1'!$O$68</definedName>
    <definedName name="np1RR">'NP1'!$C$7:$C$66</definedName>
    <definedName name="NP2cost">'NP2'!$M$68</definedName>
    <definedName name="NP2lys">'NP2'!$N$68</definedName>
    <definedName name="NP2qalys">'NP2'!$O$68</definedName>
    <definedName name="np2RR">'NP2'!$C$7:$C$66</definedName>
    <definedName name="o" localSheetId="4">'Hazard function'!$G$31</definedName>
    <definedName name="oDR">Parameters!$B$12</definedName>
    <definedName name="omrPTHR">Parameters!$B$16</definedName>
    <definedName name="omrRTHR">Parameters!$B$17</definedName>
    <definedName name="p">'Hazard function'!$C$32</definedName>
    <definedName name="_xlnm.Print_Area" localSheetId="2">Parameters!$A$1:$S$47</definedName>
    <definedName name="q">'Hazard function'!$D$32</definedName>
    <definedName name="r_">'Hazard function'!$E$32</definedName>
    <definedName name="rrNP1">Parameters!$B$27</definedName>
    <definedName name="rrNP2">Parameters!$B$28</definedName>
    <definedName name="rrr">Parameters!$B$18</definedName>
    <definedName name="s">'Hazard function'!$F$32</definedName>
    <definedName name="standardRR">Standard!$C$7:$C$66</definedName>
    <definedName name="STDcost">Standard!$M$68</definedName>
    <definedName name="STDlys">Standard!$N$68</definedName>
    <definedName name="STDqalys">Standard!$O$68</definedName>
    <definedName name="t">'Hazard function'!$G$32</definedName>
    <definedName name="u">'Hazard function'!$H$32</definedName>
    <definedName name="uRevision">Parameters!$B$43</definedName>
    <definedName name="uSuccessP">Parameters!$B$41</definedName>
    <definedName name="uSuccessR">Parameters!$B$42</definedName>
  </definedNames>
  <calcPr calcId="162913"/>
</workbook>
</file>

<file path=xl/calcChain.xml><?xml version="1.0" encoding="utf-8"?>
<calcChain xmlns="http://schemas.openxmlformats.org/spreadsheetml/2006/main">
  <c r="V1007" i="9" l="1"/>
  <c r="J16" i="2"/>
  <c r="R1007" i="9"/>
  <c r="J14" i="2" s="1"/>
  <c r="U1007" i="9"/>
  <c r="K16" i="2" s="1"/>
  <c r="Q1007" i="9"/>
  <c r="K14" i="2"/>
  <c r="T1007" i="9"/>
  <c r="J15" i="2"/>
  <c r="S1007" i="9"/>
  <c r="K15" i="2"/>
  <c r="M6" i="6"/>
  <c r="B34" i="3"/>
  <c r="D16" i="3"/>
  <c r="B16" i="3" s="1"/>
  <c r="D22" i="3"/>
  <c r="B22" i="3" s="1"/>
  <c r="B25" i="3" s="1"/>
  <c r="D23" i="3"/>
  <c r="B23" i="3"/>
  <c r="B8" i="3"/>
  <c r="D24" i="3"/>
  <c r="B24" i="3"/>
  <c r="B9" i="3"/>
  <c r="D26" i="3"/>
  <c r="B26" i="3" s="1"/>
  <c r="E17" i="4"/>
  <c r="B33" i="3"/>
  <c r="D18" i="3"/>
  <c r="B18" i="3"/>
  <c r="D17" i="3"/>
  <c r="B17" i="3" s="1"/>
  <c r="E9" i="6"/>
  <c r="E18" i="4"/>
  <c r="E12" i="6"/>
  <c r="E16" i="6"/>
  <c r="E17" i="6"/>
  <c r="E20" i="6"/>
  <c r="E19" i="4"/>
  <c r="E21" i="6"/>
  <c r="E22" i="6"/>
  <c r="E25" i="6"/>
  <c r="E29" i="6"/>
  <c r="E30" i="6"/>
  <c r="E20" i="4"/>
  <c r="E34" i="6"/>
  <c r="E37" i="6"/>
  <c r="E38" i="6"/>
  <c r="C41" i="6"/>
  <c r="E42" i="6"/>
  <c r="E45" i="6"/>
  <c r="C46" i="6"/>
  <c r="E46" i="6"/>
  <c r="E49" i="6"/>
  <c r="E50" i="6"/>
  <c r="E53" i="6"/>
  <c r="E54" i="6"/>
  <c r="E57" i="6"/>
  <c r="E58" i="6"/>
  <c r="E61" i="6"/>
  <c r="E62" i="6"/>
  <c r="E65" i="6"/>
  <c r="E66" i="6"/>
  <c r="B41" i="3"/>
  <c r="B43" i="3"/>
  <c r="B42" i="3"/>
  <c r="M6" i="7"/>
  <c r="D27" i="3"/>
  <c r="B27" i="3" s="1"/>
  <c r="E8" i="7"/>
  <c r="E9" i="7"/>
  <c r="E12" i="7"/>
  <c r="E13" i="7"/>
  <c r="E16" i="7"/>
  <c r="E17" i="7"/>
  <c r="E20" i="7"/>
  <c r="E21" i="7"/>
  <c r="E24" i="7"/>
  <c r="E25" i="7"/>
  <c r="E28" i="7"/>
  <c r="E29" i="7"/>
  <c r="E32" i="7"/>
  <c r="E33" i="7"/>
  <c r="E35" i="7"/>
  <c r="E36" i="7"/>
  <c r="E37" i="7"/>
  <c r="E39" i="7"/>
  <c r="E40" i="7"/>
  <c r="E41" i="7"/>
  <c r="E43" i="7"/>
  <c r="C44" i="7"/>
  <c r="E44" i="7"/>
  <c r="E45" i="7"/>
  <c r="E46" i="7"/>
  <c r="E47" i="7"/>
  <c r="C48" i="7"/>
  <c r="E48" i="7"/>
  <c r="E49" i="7"/>
  <c r="E50" i="7"/>
  <c r="E51" i="7"/>
  <c r="E52" i="7"/>
  <c r="E53" i="7"/>
  <c r="E54" i="7"/>
  <c r="E55" i="7"/>
  <c r="C56" i="7"/>
  <c r="E56" i="7"/>
  <c r="E57" i="7"/>
  <c r="E58" i="7"/>
  <c r="C59" i="7"/>
  <c r="E59" i="7"/>
  <c r="E60" i="7"/>
  <c r="E61" i="7"/>
  <c r="E62" i="7"/>
  <c r="E63" i="7"/>
  <c r="E64" i="7"/>
  <c r="E65" i="7"/>
  <c r="E66" i="7"/>
  <c r="M6" i="8"/>
  <c r="D28" i="3"/>
  <c r="B28" i="3"/>
  <c r="E7" i="8"/>
  <c r="J7" i="8" s="1"/>
  <c r="E8" i="8"/>
  <c r="C9" i="8"/>
  <c r="E9" i="8"/>
  <c r="E10" i="8"/>
  <c r="E11" i="8"/>
  <c r="E12" i="8"/>
  <c r="E13" i="8"/>
  <c r="E14" i="8"/>
  <c r="C15" i="8"/>
  <c r="E15" i="8"/>
  <c r="E16" i="8"/>
  <c r="E17" i="8"/>
  <c r="E18" i="8"/>
  <c r="E19" i="8"/>
  <c r="E20" i="8"/>
  <c r="C21" i="8"/>
  <c r="E21" i="8"/>
  <c r="C22" i="8"/>
  <c r="E22" i="8"/>
  <c r="E23" i="8"/>
  <c r="E24" i="8"/>
  <c r="C25" i="8"/>
  <c r="E25" i="8"/>
  <c r="E26" i="8"/>
  <c r="E27" i="8"/>
  <c r="E28" i="8"/>
  <c r="E29" i="8"/>
  <c r="E30" i="8"/>
  <c r="E31" i="8"/>
  <c r="E32" i="8"/>
  <c r="E33" i="8"/>
  <c r="C34" i="8"/>
  <c r="E34" i="8"/>
  <c r="C35" i="8"/>
  <c r="E35" i="8"/>
  <c r="E36" i="8"/>
  <c r="C37" i="8"/>
  <c r="E37" i="8"/>
  <c r="E38" i="8"/>
  <c r="E39" i="8"/>
  <c r="E40" i="8"/>
  <c r="C41" i="8"/>
  <c r="E41" i="8"/>
  <c r="E42" i="8"/>
  <c r="E43" i="8"/>
  <c r="E44" i="8"/>
  <c r="E45" i="8"/>
  <c r="E46" i="8"/>
  <c r="C47" i="8"/>
  <c r="E47" i="8"/>
  <c r="E48" i="8"/>
  <c r="C49" i="8"/>
  <c r="E49" i="8"/>
  <c r="E50" i="8"/>
  <c r="C51" i="8"/>
  <c r="E51" i="8"/>
  <c r="E52" i="8"/>
  <c r="C53" i="8"/>
  <c r="E53" i="8"/>
  <c r="E54" i="8"/>
  <c r="C55" i="8"/>
  <c r="E55" i="8"/>
  <c r="E56" i="8"/>
  <c r="C57" i="8"/>
  <c r="E57" i="8"/>
  <c r="E58" i="8"/>
  <c r="E59" i="8"/>
  <c r="E60" i="8"/>
  <c r="E61" i="8"/>
  <c r="E62" i="8"/>
  <c r="C63" i="8"/>
  <c r="E63" i="8"/>
  <c r="E64" i="8"/>
  <c r="C65" i="8"/>
  <c r="E65" i="8"/>
  <c r="E66" i="8"/>
  <c r="C16" i="5"/>
  <c r="C27" i="5"/>
  <c r="C29" i="5" s="1"/>
  <c r="D17" i="5"/>
  <c r="L18" i="5" s="1"/>
  <c r="H21" i="5"/>
  <c r="P21" i="5" s="1"/>
  <c r="G20" i="5"/>
  <c r="F19" i="5"/>
  <c r="N19" i="5"/>
  <c r="E18" i="5"/>
  <c r="M21" i="5"/>
  <c r="M18" i="5"/>
  <c r="L21" i="5"/>
  <c r="L17" i="5"/>
  <c r="K19" i="5"/>
  <c r="K18" i="5"/>
  <c r="K17" i="5"/>
  <c r="K21" i="5"/>
  <c r="K16" i="5"/>
  <c r="C36" i="5"/>
  <c r="C37" i="5"/>
  <c r="C38" i="5"/>
  <c r="C39" i="5"/>
  <c r="C30" i="5"/>
  <c r="C40" i="5"/>
  <c r="C41" i="5"/>
  <c r="E11" i="5"/>
  <c r="E10" i="5"/>
  <c r="E6" i="5"/>
  <c r="E7" i="5"/>
  <c r="E9" i="5"/>
  <c r="E8" i="5"/>
  <c r="D16" i="4"/>
  <c r="E16" i="4"/>
  <c r="D17" i="4"/>
  <c r="D18" i="4"/>
  <c r="D19" i="4"/>
  <c r="D20" i="4"/>
  <c r="E15" i="4"/>
  <c r="D15" i="4"/>
  <c r="L6" i="7"/>
  <c r="L6" i="8"/>
  <c r="K7" i="8"/>
  <c r="E16" i="3"/>
  <c r="E18" i="3"/>
  <c r="E17" i="3"/>
  <c r="E22" i="3"/>
  <c r="E23" i="3"/>
  <c r="E24" i="3"/>
  <c r="G42" i="3"/>
  <c r="H42" i="3"/>
  <c r="C42" i="3" s="1"/>
  <c r="G43" i="3"/>
  <c r="H43" i="3"/>
  <c r="C43" i="3"/>
  <c r="G41" i="3"/>
  <c r="H33" i="3"/>
  <c r="G33" i="3"/>
  <c r="C33" i="3" s="1"/>
  <c r="C16" i="3"/>
  <c r="C17" i="3"/>
  <c r="C18" i="3"/>
  <c r="E26" i="3"/>
  <c r="E28" i="3"/>
  <c r="E27" i="3"/>
  <c r="X6" i="9"/>
  <c r="X7"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X137" i="9"/>
  <c r="X138" i="9"/>
  <c r="X139" i="9"/>
  <c r="X140" i="9"/>
  <c r="X141" i="9"/>
  <c r="X142" i="9"/>
  <c r="X143" i="9"/>
  <c r="X144" i="9"/>
  <c r="X145" i="9"/>
  <c r="X146" i="9"/>
  <c r="X147" i="9"/>
  <c r="X148" i="9"/>
  <c r="X149" i="9"/>
  <c r="X150" i="9"/>
  <c r="X151" i="9"/>
  <c r="X152" i="9"/>
  <c r="X153" i="9"/>
  <c r="X154" i="9"/>
  <c r="X155" i="9"/>
  <c r="X156" i="9"/>
  <c r="X157" i="9"/>
  <c r="X158" i="9"/>
  <c r="X159" i="9"/>
  <c r="X160" i="9"/>
  <c r="X161" i="9"/>
  <c r="X162" i="9"/>
  <c r="X163" i="9"/>
  <c r="X164" i="9"/>
  <c r="X165" i="9"/>
  <c r="X166" i="9"/>
  <c r="X167" i="9"/>
  <c r="X168" i="9"/>
  <c r="X169" i="9"/>
  <c r="X170" i="9"/>
  <c r="X171" i="9"/>
  <c r="X172" i="9"/>
  <c r="X173" i="9"/>
  <c r="X174" i="9"/>
  <c r="X175" i="9"/>
  <c r="X176" i="9"/>
  <c r="X177" i="9"/>
  <c r="X178" i="9"/>
  <c r="X179" i="9"/>
  <c r="X180" i="9"/>
  <c r="X181" i="9"/>
  <c r="X182" i="9"/>
  <c r="X183" i="9"/>
  <c r="X184" i="9"/>
  <c r="X185" i="9"/>
  <c r="X186" i="9"/>
  <c r="X187" i="9"/>
  <c r="X188" i="9"/>
  <c r="X189" i="9"/>
  <c r="X190" i="9"/>
  <c r="X191" i="9"/>
  <c r="X192" i="9"/>
  <c r="X193" i="9"/>
  <c r="X194" i="9"/>
  <c r="X195" i="9"/>
  <c r="X196" i="9"/>
  <c r="X197" i="9"/>
  <c r="X198" i="9"/>
  <c r="X199" i="9"/>
  <c r="X200" i="9"/>
  <c r="X201" i="9"/>
  <c r="X202" i="9"/>
  <c r="X203" i="9"/>
  <c r="X204" i="9"/>
  <c r="X205" i="9"/>
  <c r="X206" i="9"/>
  <c r="X207" i="9"/>
  <c r="X208" i="9"/>
  <c r="X209" i="9"/>
  <c r="X210" i="9"/>
  <c r="X211" i="9"/>
  <c r="X212" i="9"/>
  <c r="X213" i="9"/>
  <c r="X214" i="9"/>
  <c r="X215" i="9"/>
  <c r="X216" i="9"/>
  <c r="X217" i="9"/>
  <c r="X218" i="9"/>
  <c r="X219" i="9"/>
  <c r="X220" i="9"/>
  <c r="X221" i="9"/>
  <c r="X222" i="9"/>
  <c r="X223" i="9"/>
  <c r="X224" i="9"/>
  <c r="X225" i="9"/>
  <c r="X226" i="9"/>
  <c r="X227" i="9"/>
  <c r="X228" i="9"/>
  <c r="X229" i="9"/>
  <c r="X230" i="9"/>
  <c r="X231" i="9"/>
  <c r="X232" i="9"/>
  <c r="X233" i="9"/>
  <c r="X234" i="9"/>
  <c r="X235" i="9"/>
  <c r="X236" i="9"/>
  <c r="X237" i="9"/>
  <c r="X238" i="9"/>
  <c r="X239" i="9"/>
  <c r="X240" i="9"/>
  <c r="X241" i="9"/>
  <c r="X242" i="9"/>
  <c r="X243" i="9"/>
  <c r="X244" i="9"/>
  <c r="X245" i="9"/>
  <c r="X246" i="9"/>
  <c r="X247" i="9"/>
  <c r="X248" i="9"/>
  <c r="X249" i="9"/>
  <c r="X250" i="9"/>
  <c r="X251" i="9"/>
  <c r="X252" i="9"/>
  <c r="X253" i="9"/>
  <c r="X254" i="9"/>
  <c r="X255" i="9"/>
  <c r="X256" i="9"/>
  <c r="X257" i="9"/>
  <c r="X258" i="9"/>
  <c r="X259" i="9"/>
  <c r="X260" i="9"/>
  <c r="X261" i="9"/>
  <c r="X262" i="9"/>
  <c r="X263" i="9"/>
  <c r="X264" i="9"/>
  <c r="X265" i="9"/>
  <c r="X266" i="9"/>
  <c r="X267" i="9"/>
  <c r="X268" i="9"/>
  <c r="X269" i="9"/>
  <c r="X270" i="9"/>
  <c r="X271" i="9"/>
  <c r="X272" i="9"/>
  <c r="X273" i="9"/>
  <c r="X274" i="9"/>
  <c r="X275" i="9"/>
  <c r="X276" i="9"/>
  <c r="X277" i="9"/>
  <c r="X278" i="9"/>
  <c r="X279" i="9"/>
  <c r="X280" i="9"/>
  <c r="X281" i="9"/>
  <c r="X282" i="9"/>
  <c r="X283" i="9"/>
  <c r="X284" i="9"/>
  <c r="X285" i="9"/>
  <c r="X286" i="9"/>
  <c r="X287" i="9"/>
  <c r="X288" i="9"/>
  <c r="X289" i="9"/>
  <c r="X290" i="9"/>
  <c r="X291" i="9"/>
  <c r="X292" i="9"/>
  <c r="X293" i="9"/>
  <c r="X294" i="9"/>
  <c r="X295" i="9"/>
  <c r="X296" i="9"/>
  <c r="X297" i="9"/>
  <c r="X298" i="9"/>
  <c r="X299" i="9"/>
  <c r="X300" i="9"/>
  <c r="X301" i="9"/>
  <c r="X302" i="9"/>
  <c r="X303" i="9"/>
  <c r="X304" i="9"/>
  <c r="X305" i="9"/>
  <c r="X306" i="9"/>
  <c r="X307" i="9"/>
  <c r="X308" i="9"/>
  <c r="X309" i="9"/>
  <c r="X310" i="9"/>
  <c r="X311" i="9"/>
  <c r="X312" i="9"/>
  <c r="X313" i="9"/>
  <c r="X314" i="9"/>
  <c r="X315" i="9"/>
  <c r="X316" i="9"/>
  <c r="X317" i="9"/>
  <c r="X318" i="9"/>
  <c r="X319" i="9"/>
  <c r="X320" i="9"/>
  <c r="X321" i="9"/>
  <c r="X322" i="9"/>
  <c r="X323" i="9"/>
  <c r="X324" i="9"/>
  <c r="X325" i="9"/>
  <c r="X326" i="9"/>
  <c r="X327" i="9"/>
  <c r="X328" i="9"/>
  <c r="X329" i="9"/>
  <c r="X330" i="9"/>
  <c r="X331" i="9"/>
  <c r="X332" i="9"/>
  <c r="X333" i="9"/>
  <c r="X334" i="9"/>
  <c r="X335" i="9"/>
  <c r="X336" i="9"/>
  <c r="X337" i="9"/>
  <c r="X338" i="9"/>
  <c r="X339" i="9"/>
  <c r="X340" i="9"/>
  <c r="X341" i="9"/>
  <c r="X342" i="9"/>
  <c r="X343" i="9"/>
  <c r="X344" i="9"/>
  <c r="X345" i="9"/>
  <c r="X346" i="9"/>
  <c r="X347" i="9"/>
  <c r="X348" i="9"/>
  <c r="X349" i="9"/>
  <c r="X350" i="9"/>
  <c r="X351" i="9"/>
  <c r="X352" i="9"/>
  <c r="X353" i="9"/>
  <c r="X354" i="9"/>
  <c r="X355" i="9"/>
  <c r="X356" i="9"/>
  <c r="X357" i="9"/>
  <c r="X358" i="9"/>
  <c r="X359" i="9"/>
  <c r="X360" i="9"/>
  <c r="X361" i="9"/>
  <c r="X362" i="9"/>
  <c r="X363" i="9"/>
  <c r="X364" i="9"/>
  <c r="X365" i="9"/>
  <c r="X366" i="9"/>
  <c r="X367" i="9"/>
  <c r="X368" i="9"/>
  <c r="X369" i="9"/>
  <c r="X370" i="9"/>
  <c r="X371" i="9"/>
  <c r="X372" i="9"/>
  <c r="X373" i="9"/>
  <c r="X374" i="9"/>
  <c r="X375" i="9"/>
  <c r="X376" i="9"/>
  <c r="X377" i="9"/>
  <c r="X378" i="9"/>
  <c r="X379" i="9"/>
  <c r="X380" i="9"/>
  <c r="X381" i="9"/>
  <c r="X382" i="9"/>
  <c r="X383" i="9"/>
  <c r="X384" i="9"/>
  <c r="X385" i="9"/>
  <c r="X386" i="9"/>
  <c r="X387" i="9"/>
  <c r="X388" i="9"/>
  <c r="X389" i="9"/>
  <c r="X390" i="9"/>
  <c r="X391" i="9"/>
  <c r="X392" i="9"/>
  <c r="X393" i="9"/>
  <c r="X394" i="9"/>
  <c r="X395" i="9"/>
  <c r="X396" i="9"/>
  <c r="X397" i="9"/>
  <c r="X398" i="9"/>
  <c r="X399" i="9"/>
  <c r="X400" i="9"/>
  <c r="X401" i="9"/>
  <c r="X402" i="9"/>
  <c r="X403" i="9"/>
  <c r="X404" i="9"/>
  <c r="X405" i="9"/>
  <c r="X406" i="9"/>
  <c r="X407" i="9"/>
  <c r="X408" i="9"/>
  <c r="X409" i="9"/>
  <c r="X410" i="9"/>
  <c r="X411" i="9"/>
  <c r="X412" i="9"/>
  <c r="X413" i="9"/>
  <c r="X414" i="9"/>
  <c r="X415" i="9"/>
  <c r="X416" i="9"/>
  <c r="X417" i="9"/>
  <c r="X418" i="9"/>
  <c r="X419" i="9"/>
  <c r="X420" i="9"/>
  <c r="X421" i="9"/>
  <c r="X422" i="9"/>
  <c r="X423" i="9"/>
  <c r="X424" i="9"/>
  <c r="X425" i="9"/>
  <c r="X426" i="9"/>
  <c r="X427" i="9"/>
  <c r="X428" i="9"/>
  <c r="X429" i="9"/>
  <c r="X430" i="9"/>
  <c r="X431" i="9"/>
  <c r="X432" i="9"/>
  <c r="X433" i="9"/>
  <c r="X434" i="9"/>
  <c r="X435" i="9"/>
  <c r="X436" i="9"/>
  <c r="X437" i="9"/>
  <c r="X438" i="9"/>
  <c r="X439" i="9"/>
  <c r="X440" i="9"/>
  <c r="X441" i="9"/>
  <c r="X442" i="9"/>
  <c r="X443" i="9"/>
  <c r="X444" i="9"/>
  <c r="X445" i="9"/>
  <c r="X446" i="9"/>
  <c r="X447" i="9"/>
  <c r="X448" i="9"/>
  <c r="X449" i="9"/>
  <c r="X450" i="9"/>
  <c r="X451" i="9"/>
  <c r="X452" i="9"/>
  <c r="X453" i="9"/>
  <c r="X454" i="9"/>
  <c r="X455" i="9"/>
  <c r="X456" i="9"/>
  <c r="X457" i="9"/>
  <c r="X458" i="9"/>
  <c r="X459" i="9"/>
  <c r="X460" i="9"/>
  <c r="X461" i="9"/>
  <c r="X462" i="9"/>
  <c r="X463" i="9"/>
  <c r="X464" i="9"/>
  <c r="X465" i="9"/>
  <c r="X466" i="9"/>
  <c r="X467" i="9"/>
  <c r="X468" i="9"/>
  <c r="X469" i="9"/>
  <c r="X470" i="9"/>
  <c r="X471" i="9"/>
  <c r="X472" i="9"/>
  <c r="X473" i="9"/>
  <c r="X474" i="9"/>
  <c r="X475" i="9"/>
  <c r="X476" i="9"/>
  <c r="X477" i="9"/>
  <c r="X478" i="9"/>
  <c r="X479" i="9"/>
  <c r="X480" i="9"/>
  <c r="X481" i="9"/>
  <c r="X482" i="9"/>
  <c r="X483" i="9"/>
  <c r="X484" i="9"/>
  <c r="X485" i="9"/>
  <c r="X486" i="9"/>
  <c r="X487" i="9"/>
  <c r="X488" i="9"/>
  <c r="X489" i="9"/>
  <c r="X490" i="9"/>
  <c r="X491" i="9"/>
  <c r="X492" i="9"/>
  <c r="X493" i="9"/>
  <c r="X494" i="9"/>
  <c r="X495" i="9"/>
  <c r="X496" i="9"/>
  <c r="X497" i="9"/>
  <c r="X498" i="9"/>
  <c r="X499" i="9"/>
  <c r="X500" i="9"/>
  <c r="X501" i="9"/>
  <c r="X502" i="9"/>
  <c r="X503" i="9"/>
  <c r="X504" i="9"/>
  <c r="X505" i="9"/>
  <c r="X506" i="9"/>
  <c r="X507" i="9"/>
  <c r="X508" i="9"/>
  <c r="X509" i="9"/>
  <c r="X510" i="9"/>
  <c r="X511" i="9"/>
  <c r="X512" i="9"/>
  <c r="X513" i="9"/>
  <c r="X514" i="9"/>
  <c r="X515" i="9"/>
  <c r="X516" i="9"/>
  <c r="X517" i="9"/>
  <c r="X518" i="9"/>
  <c r="X519" i="9"/>
  <c r="X520" i="9"/>
  <c r="X521" i="9"/>
  <c r="X522" i="9"/>
  <c r="X523" i="9"/>
  <c r="X524" i="9"/>
  <c r="X525" i="9"/>
  <c r="X526" i="9"/>
  <c r="X527" i="9"/>
  <c r="X528" i="9"/>
  <c r="X529" i="9"/>
  <c r="X530" i="9"/>
  <c r="X531" i="9"/>
  <c r="X532" i="9"/>
  <c r="X533" i="9"/>
  <c r="X534" i="9"/>
  <c r="X535" i="9"/>
  <c r="X536" i="9"/>
  <c r="X537" i="9"/>
  <c r="X538" i="9"/>
  <c r="X539" i="9"/>
  <c r="X540" i="9"/>
  <c r="X541" i="9"/>
  <c r="X542" i="9"/>
  <c r="X543" i="9"/>
  <c r="X544" i="9"/>
  <c r="X545" i="9"/>
  <c r="X546" i="9"/>
  <c r="X547" i="9"/>
  <c r="X548" i="9"/>
  <c r="X549" i="9"/>
  <c r="X550" i="9"/>
  <c r="X551" i="9"/>
  <c r="X552" i="9"/>
  <c r="X553" i="9"/>
  <c r="X554" i="9"/>
  <c r="X555" i="9"/>
  <c r="X556" i="9"/>
  <c r="X557" i="9"/>
  <c r="X558" i="9"/>
  <c r="X559" i="9"/>
  <c r="X560" i="9"/>
  <c r="X561" i="9"/>
  <c r="X562" i="9"/>
  <c r="X563" i="9"/>
  <c r="X564" i="9"/>
  <c r="X565" i="9"/>
  <c r="X566" i="9"/>
  <c r="X567" i="9"/>
  <c r="X568" i="9"/>
  <c r="X569" i="9"/>
  <c r="X570" i="9"/>
  <c r="X571" i="9"/>
  <c r="X572" i="9"/>
  <c r="X573" i="9"/>
  <c r="X574" i="9"/>
  <c r="X575" i="9"/>
  <c r="X576" i="9"/>
  <c r="X577" i="9"/>
  <c r="X578" i="9"/>
  <c r="X579" i="9"/>
  <c r="X580" i="9"/>
  <c r="X581" i="9"/>
  <c r="X582" i="9"/>
  <c r="X583" i="9"/>
  <c r="X584" i="9"/>
  <c r="X585" i="9"/>
  <c r="X586" i="9"/>
  <c r="X587" i="9"/>
  <c r="X588" i="9"/>
  <c r="X589" i="9"/>
  <c r="X590" i="9"/>
  <c r="X591" i="9"/>
  <c r="X592" i="9"/>
  <c r="X593" i="9"/>
  <c r="X594" i="9"/>
  <c r="X595" i="9"/>
  <c r="X596" i="9"/>
  <c r="X597" i="9"/>
  <c r="X598" i="9"/>
  <c r="X599" i="9"/>
  <c r="X600" i="9"/>
  <c r="X601" i="9"/>
  <c r="X602" i="9"/>
  <c r="X603" i="9"/>
  <c r="X604" i="9"/>
  <c r="X605" i="9"/>
  <c r="X606" i="9"/>
  <c r="X607" i="9"/>
  <c r="X608" i="9"/>
  <c r="X609" i="9"/>
  <c r="X610" i="9"/>
  <c r="X611" i="9"/>
  <c r="X612" i="9"/>
  <c r="X613" i="9"/>
  <c r="X614" i="9"/>
  <c r="X615" i="9"/>
  <c r="X616" i="9"/>
  <c r="X617" i="9"/>
  <c r="X618" i="9"/>
  <c r="X619" i="9"/>
  <c r="X620" i="9"/>
  <c r="X621" i="9"/>
  <c r="X622" i="9"/>
  <c r="X623" i="9"/>
  <c r="X624" i="9"/>
  <c r="X625" i="9"/>
  <c r="X626" i="9"/>
  <c r="X627" i="9"/>
  <c r="X628" i="9"/>
  <c r="X629" i="9"/>
  <c r="X630" i="9"/>
  <c r="X631" i="9"/>
  <c r="X632" i="9"/>
  <c r="X633" i="9"/>
  <c r="X634" i="9"/>
  <c r="X635" i="9"/>
  <c r="X636" i="9"/>
  <c r="X637" i="9"/>
  <c r="X638" i="9"/>
  <c r="X639" i="9"/>
  <c r="X640" i="9"/>
  <c r="X641" i="9"/>
  <c r="X642" i="9"/>
  <c r="X643" i="9"/>
  <c r="X644" i="9"/>
  <c r="X645" i="9"/>
  <c r="X646" i="9"/>
  <c r="X647" i="9"/>
  <c r="X648" i="9"/>
  <c r="X649" i="9"/>
  <c r="X650" i="9"/>
  <c r="X651" i="9"/>
  <c r="X652" i="9"/>
  <c r="X653" i="9"/>
  <c r="X654" i="9"/>
  <c r="X655" i="9"/>
  <c r="X656" i="9"/>
  <c r="X657" i="9"/>
  <c r="X658" i="9"/>
  <c r="X659" i="9"/>
  <c r="X660" i="9"/>
  <c r="X661" i="9"/>
  <c r="X662" i="9"/>
  <c r="X663" i="9"/>
  <c r="X664" i="9"/>
  <c r="X665" i="9"/>
  <c r="X666" i="9"/>
  <c r="X667" i="9"/>
  <c r="X668" i="9"/>
  <c r="X669" i="9"/>
  <c r="X670" i="9"/>
  <c r="X671" i="9"/>
  <c r="X672" i="9"/>
  <c r="X673" i="9"/>
  <c r="X674" i="9"/>
  <c r="X675" i="9"/>
  <c r="X676" i="9"/>
  <c r="X677" i="9"/>
  <c r="X678" i="9"/>
  <c r="X679" i="9"/>
  <c r="X680" i="9"/>
  <c r="X681" i="9"/>
  <c r="X682" i="9"/>
  <c r="X683" i="9"/>
  <c r="X684" i="9"/>
  <c r="X685" i="9"/>
  <c r="X686" i="9"/>
  <c r="X687" i="9"/>
  <c r="X688" i="9"/>
  <c r="X689" i="9"/>
  <c r="X690" i="9"/>
  <c r="X691" i="9"/>
  <c r="X692" i="9"/>
  <c r="X693" i="9"/>
  <c r="X694" i="9"/>
  <c r="X695" i="9"/>
  <c r="X696" i="9"/>
  <c r="X697" i="9"/>
  <c r="X698" i="9"/>
  <c r="X699" i="9"/>
  <c r="X700" i="9"/>
  <c r="X701" i="9"/>
  <c r="X702" i="9"/>
  <c r="X703" i="9"/>
  <c r="X704" i="9"/>
  <c r="X705" i="9"/>
  <c r="X706" i="9"/>
  <c r="X707" i="9"/>
  <c r="X708" i="9"/>
  <c r="X709" i="9"/>
  <c r="X710" i="9"/>
  <c r="X711" i="9"/>
  <c r="X712" i="9"/>
  <c r="X713" i="9"/>
  <c r="X714" i="9"/>
  <c r="X715" i="9"/>
  <c r="X716" i="9"/>
  <c r="X717" i="9"/>
  <c r="X718" i="9"/>
  <c r="X719" i="9"/>
  <c r="X720" i="9"/>
  <c r="X721" i="9"/>
  <c r="X722" i="9"/>
  <c r="X723" i="9"/>
  <c r="X724" i="9"/>
  <c r="X725" i="9"/>
  <c r="X726" i="9"/>
  <c r="X727" i="9"/>
  <c r="X728" i="9"/>
  <c r="X729" i="9"/>
  <c r="X730" i="9"/>
  <c r="X731" i="9"/>
  <c r="X732" i="9"/>
  <c r="X733" i="9"/>
  <c r="X734" i="9"/>
  <c r="X735" i="9"/>
  <c r="X736" i="9"/>
  <c r="X737" i="9"/>
  <c r="X738" i="9"/>
  <c r="X739" i="9"/>
  <c r="X740" i="9"/>
  <c r="X741" i="9"/>
  <c r="X742" i="9"/>
  <c r="X743" i="9"/>
  <c r="X744" i="9"/>
  <c r="X745" i="9"/>
  <c r="X746" i="9"/>
  <c r="X747" i="9"/>
  <c r="X748" i="9"/>
  <c r="X749" i="9"/>
  <c r="X750" i="9"/>
  <c r="X751" i="9"/>
  <c r="X752" i="9"/>
  <c r="X753" i="9"/>
  <c r="X754" i="9"/>
  <c r="X755" i="9"/>
  <c r="X756" i="9"/>
  <c r="X757" i="9"/>
  <c r="X758" i="9"/>
  <c r="X759" i="9"/>
  <c r="X760" i="9"/>
  <c r="X761" i="9"/>
  <c r="X762" i="9"/>
  <c r="X763" i="9"/>
  <c r="X764" i="9"/>
  <c r="X765" i="9"/>
  <c r="X766" i="9"/>
  <c r="X767" i="9"/>
  <c r="X768" i="9"/>
  <c r="X769" i="9"/>
  <c r="X770" i="9"/>
  <c r="X771" i="9"/>
  <c r="X772" i="9"/>
  <c r="X773" i="9"/>
  <c r="X774" i="9"/>
  <c r="X775" i="9"/>
  <c r="X776" i="9"/>
  <c r="X777" i="9"/>
  <c r="X778" i="9"/>
  <c r="X779" i="9"/>
  <c r="X780" i="9"/>
  <c r="X781" i="9"/>
  <c r="X782" i="9"/>
  <c r="X783" i="9"/>
  <c r="X784" i="9"/>
  <c r="X785" i="9"/>
  <c r="X786" i="9"/>
  <c r="X787" i="9"/>
  <c r="X788" i="9"/>
  <c r="X789" i="9"/>
  <c r="X790" i="9"/>
  <c r="X791" i="9"/>
  <c r="X792" i="9"/>
  <c r="X793" i="9"/>
  <c r="X794" i="9"/>
  <c r="X795" i="9"/>
  <c r="X796" i="9"/>
  <c r="X797" i="9"/>
  <c r="X798" i="9"/>
  <c r="X799" i="9"/>
  <c r="X800" i="9"/>
  <c r="X801" i="9"/>
  <c r="X802" i="9"/>
  <c r="X803" i="9"/>
  <c r="X804" i="9"/>
  <c r="X805" i="9"/>
  <c r="X806" i="9"/>
  <c r="X807" i="9"/>
  <c r="X808" i="9"/>
  <c r="X809" i="9"/>
  <c r="X810" i="9"/>
  <c r="X811" i="9"/>
  <c r="X812" i="9"/>
  <c r="X813" i="9"/>
  <c r="X814" i="9"/>
  <c r="X815" i="9"/>
  <c r="X816" i="9"/>
  <c r="X817" i="9"/>
  <c r="X818" i="9"/>
  <c r="X819" i="9"/>
  <c r="X820" i="9"/>
  <c r="X821" i="9"/>
  <c r="X822" i="9"/>
  <c r="X823" i="9"/>
  <c r="X824" i="9"/>
  <c r="X825" i="9"/>
  <c r="X826" i="9"/>
  <c r="X827" i="9"/>
  <c r="X828" i="9"/>
  <c r="X829" i="9"/>
  <c r="X830" i="9"/>
  <c r="X831" i="9"/>
  <c r="X832" i="9"/>
  <c r="X833" i="9"/>
  <c r="X834" i="9"/>
  <c r="X835" i="9"/>
  <c r="X836" i="9"/>
  <c r="X837" i="9"/>
  <c r="X838" i="9"/>
  <c r="X839" i="9"/>
  <c r="X840" i="9"/>
  <c r="X841" i="9"/>
  <c r="X842" i="9"/>
  <c r="X843" i="9"/>
  <c r="X844" i="9"/>
  <c r="X845" i="9"/>
  <c r="X846" i="9"/>
  <c r="X847" i="9"/>
  <c r="X848" i="9"/>
  <c r="X849" i="9"/>
  <c r="X850" i="9"/>
  <c r="X851" i="9"/>
  <c r="X852" i="9"/>
  <c r="X853" i="9"/>
  <c r="X854" i="9"/>
  <c r="X855" i="9"/>
  <c r="X856" i="9"/>
  <c r="X857" i="9"/>
  <c r="X858" i="9"/>
  <c r="X859" i="9"/>
  <c r="X860" i="9"/>
  <c r="X861" i="9"/>
  <c r="X862" i="9"/>
  <c r="X863" i="9"/>
  <c r="X864" i="9"/>
  <c r="X865" i="9"/>
  <c r="X866" i="9"/>
  <c r="X867" i="9"/>
  <c r="X868" i="9"/>
  <c r="X869" i="9"/>
  <c r="X870" i="9"/>
  <c r="X871" i="9"/>
  <c r="X872" i="9"/>
  <c r="X873" i="9"/>
  <c r="X874" i="9"/>
  <c r="X875" i="9"/>
  <c r="X876" i="9"/>
  <c r="X877" i="9"/>
  <c r="X878" i="9"/>
  <c r="X879" i="9"/>
  <c r="X880" i="9"/>
  <c r="X881" i="9"/>
  <c r="X882" i="9"/>
  <c r="X883" i="9"/>
  <c r="X884" i="9"/>
  <c r="X885" i="9"/>
  <c r="X886" i="9"/>
  <c r="X887" i="9"/>
  <c r="X888" i="9"/>
  <c r="X889" i="9"/>
  <c r="X890" i="9"/>
  <c r="X891" i="9"/>
  <c r="X892" i="9"/>
  <c r="X893" i="9"/>
  <c r="X894" i="9"/>
  <c r="X895" i="9"/>
  <c r="X896" i="9"/>
  <c r="X897" i="9"/>
  <c r="X898" i="9"/>
  <c r="X899" i="9"/>
  <c r="X900" i="9"/>
  <c r="X901" i="9"/>
  <c r="X902" i="9"/>
  <c r="X903" i="9"/>
  <c r="X904" i="9"/>
  <c r="X905" i="9"/>
  <c r="X906" i="9"/>
  <c r="X907" i="9"/>
  <c r="X908" i="9"/>
  <c r="X909" i="9"/>
  <c r="X910" i="9"/>
  <c r="X911" i="9"/>
  <c r="X912" i="9"/>
  <c r="X913" i="9"/>
  <c r="X914" i="9"/>
  <c r="X915" i="9"/>
  <c r="X916" i="9"/>
  <c r="X917" i="9"/>
  <c r="X918" i="9"/>
  <c r="X919" i="9"/>
  <c r="X920" i="9"/>
  <c r="X921" i="9"/>
  <c r="X922" i="9"/>
  <c r="X923" i="9"/>
  <c r="X924" i="9"/>
  <c r="X925" i="9"/>
  <c r="X926" i="9"/>
  <c r="X927" i="9"/>
  <c r="X928" i="9"/>
  <c r="X929" i="9"/>
  <c r="X930" i="9"/>
  <c r="X931" i="9"/>
  <c r="X932" i="9"/>
  <c r="X933" i="9"/>
  <c r="X934" i="9"/>
  <c r="X935" i="9"/>
  <c r="X936" i="9"/>
  <c r="X937" i="9"/>
  <c r="X938" i="9"/>
  <c r="X939" i="9"/>
  <c r="X940" i="9"/>
  <c r="X941" i="9"/>
  <c r="X942" i="9"/>
  <c r="X943" i="9"/>
  <c r="X944" i="9"/>
  <c r="X945" i="9"/>
  <c r="X946" i="9"/>
  <c r="X947" i="9"/>
  <c r="X948" i="9"/>
  <c r="X949" i="9"/>
  <c r="X950" i="9"/>
  <c r="X951" i="9"/>
  <c r="X952" i="9"/>
  <c r="X953" i="9"/>
  <c r="X954" i="9"/>
  <c r="X955" i="9"/>
  <c r="X956" i="9"/>
  <c r="X957" i="9"/>
  <c r="X958" i="9"/>
  <c r="X959" i="9"/>
  <c r="X960" i="9"/>
  <c r="X961" i="9"/>
  <c r="X962" i="9"/>
  <c r="X963" i="9"/>
  <c r="X964" i="9"/>
  <c r="X965" i="9"/>
  <c r="X966" i="9"/>
  <c r="X967" i="9"/>
  <c r="X968" i="9"/>
  <c r="X969" i="9"/>
  <c r="X970" i="9"/>
  <c r="X971" i="9"/>
  <c r="X972" i="9"/>
  <c r="X973" i="9"/>
  <c r="X974" i="9"/>
  <c r="X975" i="9"/>
  <c r="X976" i="9"/>
  <c r="X977" i="9"/>
  <c r="X978" i="9"/>
  <c r="X979" i="9"/>
  <c r="X980" i="9"/>
  <c r="X981" i="9"/>
  <c r="X982" i="9"/>
  <c r="X983" i="9"/>
  <c r="X984" i="9"/>
  <c r="X985" i="9"/>
  <c r="X986" i="9"/>
  <c r="X987" i="9"/>
  <c r="X988" i="9"/>
  <c r="X989" i="9"/>
  <c r="X990" i="9"/>
  <c r="X991" i="9"/>
  <c r="X992" i="9"/>
  <c r="X993" i="9"/>
  <c r="X994" i="9"/>
  <c r="X995" i="9"/>
  <c r="X996" i="9"/>
  <c r="X997" i="9"/>
  <c r="X998" i="9"/>
  <c r="X999" i="9"/>
  <c r="X1000" i="9"/>
  <c r="X1001" i="9"/>
  <c r="X1002" i="9"/>
  <c r="X1003" i="9"/>
  <c r="X1004" i="9"/>
  <c r="X1005" i="9"/>
  <c r="Y6" i="9"/>
  <c r="Y7"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Y137" i="9"/>
  <c r="Y138" i="9"/>
  <c r="Y139" i="9"/>
  <c r="Y140" i="9"/>
  <c r="Y141" i="9"/>
  <c r="Y142" i="9"/>
  <c r="Y143" i="9"/>
  <c r="Y144" i="9"/>
  <c r="Y145" i="9"/>
  <c r="Y146" i="9"/>
  <c r="Y147" i="9"/>
  <c r="Y148" i="9"/>
  <c r="Y149" i="9"/>
  <c r="Y150" i="9"/>
  <c r="Y151" i="9"/>
  <c r="Y152" i="9"/>
  <c r="Y153" i="9"/>
  <c r="Y154" i="9"/>
  <c r="Y155" i="9"/>
  <c r="Y156" i="9"/>
  <c r="Y157" i="9"/>
  <c r="Y158" i="9"/>
  <c r="Y159" i="9"/>
  <c r="Y160" i="9"/>
  <c r="Y161" i="9"/>
  <c r="Y162" i="9"/>
  <c r="Y163" i="9"/>
  <c r="Y164" i="9"/>
  <c r="Y165" i="9"/>
  <c r="Y166" i="9"/>
  <c r="Y167" i="9"/>
  <c r="Y168" i="9"/>
  <c r="Y169" i="9"/>
  <c r="Y170" i="9"/>
  <c r="Y171" i="9"/>
  <c r="Y172" i="9"/>
  <c r="Y173" i="9"/>
  <c r="Y174" i="9"/>
  <c r="Y175" i="9"/>
  <c r="Y176" i="9"/>
  <c r="Y177" i="9"/>
  <c r="Y178" i="9"/>
  <c r="Y179" i="9"/>
  <c r="Y180" i="9"/>
  <c r="Y181" i="9"/>
  <c r="Y182" i="9"/>
  <c r="Y183" i="9"/>
  <c r="Y184" i="9"/>
  <c r="Y185" i="9"/>
  <c r="Y186" i="9"/>
  <c r="Y187" i="9"/>
  <c r="Y188" i="9"/>
  <c r="Y189" i="9"/>
  <c r="Y190" i="9"/>
  <c r="Y191" i="9"/>
  <c r="Y192" i="9"/>
  <c r="Y193" i="9"/>
  <c r="Y194" i="9"/>
  <c r="Y195" i="9"/>
  <c r="Y196" i="9"/>
  <c r="Y197" i="9"/>
  <c r="Y198" i="9"/>
  <c r="Y199" i="9"/>
  <c r="Y200" i="9"/>
  <c r="Y201" i="9"/>
  <c r="Y202" i="9"/>
  <c r="Y203" i="9"/>
  <c r="Y204" i="9"/>
  <c r="Y205" i="9"/>
  <c r="Y206" i="9"/>
  <c r="Y207" i="9"/>
  <c r="Y208" i="9"/>
  <c r="Y209" i="9"/>
  <c r="Y210" i="9"/>
  <c r="Y211" i="9"/>
  <c r="Y212" i="9"/>
  <c r="Y213" i="9"/>
  <c r="Y214" i="9"/>
  <c r="Y215" i="9"/>
  <c r="Y216" i="9"/>
  <c r="Y217" i="9"/>
  <c r="Y218" i="9"/>
  <c r="Y219" i="9"/>
  <c r="Y220" i="9"/>
  <c r="Y221" i="9"/>
  <c r="Y222" i="9"/>
  <c r="Y223" i="9"/>
  <c r="Y224" i="9"/>
  <c r="Y225" i="9"/>
  <c r="Y226" i="9"/>
  <c r="Y227" i="9"/>
  <c r="Y228" i="9"/>
  <c r="Y229" i="9"/>
  <c r="Y230" i="9"/>
  <c r="Y231" i="9"/>
  <c r="Y232" i="9"/>
  <c r="Y233" i="9"/>
  <c r="Y234" i="9"/>
  <c r="Y235" i="9"/>
  <c r="Y236" i="9"/>
  <c r="Y237" i="9"/>
  <c r="Y238" i="9"/>
  <c r="Y239" i="9"/>
  <c r="Y240" i="9"/>
  <c r="Y241" i="9"/>
  <c r="Y242" i="9"/>
  <c r="Y243" i="9"/>
  <c r="Y244" i="9"/>
  <c r="Y245" i="9"/>
  <c r="Y246" i="9"/>
  <c r="Y247" i="9"/>
  <c r="Y248" i="9"/>
  <c r="Y249" i="9"/>
  <c r="Y250" i="9"/>
  <c r="Y251" i="9"/>
  <c r="Y252" i="9"/>
  <c r="Y253" i="9"/>
  <c r="Y254" i="9"/>
  <c r="Y255" i="9"/>
  <c r="Y256" i="9"/>
  <c r="Y257" i="9"/>
  <c r="Y258" i="9"/>
  <c r="Y259" i="9"/>
  <c r="Y260" i="9"/>
  <c r="Y261" i="9"/>
  <c r="Y262" i="9"/>
  <c r="Y263" i="9"/>
  <c r="Y264" i="9"/>
  <c r="Y265" i="9"/>
  <c r="Y266" i="9"/>
  <c r="Y267" i="9"/>
  <c r="Y268" i="9"/>
  <c r="Y269" i="9"/>
  <c r="Y270" i="9"/>
  <c r="Y271" i="9"/>
  <c r="Y272" i="9"/>
  <c r="Y273" i="9"/>
  <c r="Y274" i="9"/>
  <c r="Y275" i="9"/>
  <c r="Y276" i="9"/>
  <c r="Y277" i="9"/>
  <c r="Y278" i="9"/>
  <c r="Y279" i="9"/>
  <c r="Y280" i="9"/>
  <c r="Y281" i="9"/>
  <c r="Y282" i="9"/>
  <c r="Y283" i="9"/>
  <c r="Y284" i="9"/>
  <c r="Y285" i="9"/>
  <c r="Y286" i="9"/>
  <c r="Y287" i="9"/>
  <c r="Y288" i="9"/>
  <c r="Y289" i="9"/>
  <c r="Y290" i="9"/>
  <c r="Y291" i="9"/>
  <c r="Y292" i="9"/>
  <c r="Y293" i="9"/>
  <c r="Y294" i="9"/>
  <c r="Y295" i="9"/>
  <c r="Y296" i="9"/>
  <c r="Y297" i="9"/>
  <c r="Y298" i="9"/>
  <c r="Y299" i="9"/>
  <c r="Y300" i="9"/>
  <c r="Y301" i="9"/>
  <c r="Y302" i="9"/>
  <c r="Y303" i="9"/>
  <c r="Y304" i="9"/>
  <c r="Y305" i="9"/>
  <c r="Y306" i="9"/>
  <c r="Y307" i="9"/>
  <c r="Y308" i="9"/>
  <c r="Y309" i="9"/>
  <c r="Y310" i="9"/>
  <c r="Y311" i="9"/>
  <c r="Y312" i="9"/>
  <c r="Y313" i="9"/>
  <c r="Y314" i="9"/>
  <c r="Y315" i="9"/>
  <c r="Y316" i="9"/>
  <c r="Y317" i="9"/>
  <c r="Y318" i="9"/>
  <c r="Y319" i="9"/>
  <c r="Y320" i="9"/>
  <c r="Y321" i="9"/>
  <c r="Y322" i="9"/>
  <c r="Y323" i="9"/>
  <c r="Y324" i="9"/>
  <c r="Y325" i="9"/>
  <c r="Y326" i="9"/>
  <c r="Y327" i="9"/>
  <c r="Y328" i="9"/>
  <c r="Y329" i="9"/>
  <c r="Y330" i="9"/>
  <c r="Y331" i="9"/>
  <c r="Y332" i="9"/>
  <c r="Y333" i="9"/>
  <c r="Y334" i="9"/>
  <c r="Y335" i="9"/>
  <c r="Y336" i="9"/>
  <c r="Y337" i="9"/>
  <c r="Y338" i="9"/>
  <c r="Y339" i="9"/>
  <c r="Y340" i="9"/>
  <c r="Y341" i="9"/>
  <c r="Y342" i="9"/>
  <c r="Y343" i="9"/>
  <c r="Y344" i="9"/>
  <c r="Y345" i="9"/>
  <c r="Y346" i="9"/>
  <c r="Y347" i="9"/>
  <c r="Y348" i="9"/>
  <c r="Y349" i="9"/>
  <c r="Y350" i="9"/>
  <c r="Y351" i="9"/>
  <c r="Y352" i="9"/>
  <c r="Y353" i="9"/>
  <c r="Y354" i="9"/>
  <c r="Y355" i="9"/>
  <c r="Y356" i="9"/>
  <c r="Y357" i="9"/>
  <c r="Y358" i="9"/>
  <c r="Y359" i="9"/>
  <c r="Y360" i="9"/>
  <c r="Y361" i="9"/>
  <c r="Y362" i="9"/>
  <c r="Y363" i="9"/>
  <c r="Y364" i="9"/>
  <c r="Y365" i="9"/>
  <c r="Y366" i="9"/>
  <c r="Y367" i="9"/>
  <c r="Y368" i="9"/>
  <c r="Y369" i="9"/>
  <c r="Y370" i="9"/>
  <c r="Y371" i="9"/>
  <c r="Y372" i="9"/>
  <c r="Y373" i="9"/>
  <c r="Y374" i="9"/>
  <c r="Y375" i="9"/>
  <c r="Y376" i="9"/>
  <c r="Y377" i="9"/>
  <c r="Y378" i="9"/>
  <c r="Y379" i="9"/>
  <c r="Y380" i="9"/>
  <c r="Y381" i="9"/>
  <c r="Y382" i="9"/>
  <c r="Y383" i="9"/>
  <c r="Y384" i="9"/>
  <c r="Y385" i="9"/>
  <c r="Y386" i="9"/>
  <c r="Y387" i="9"/>
  <c r="Y388" i="9"/>
  <c r="Y389" i="9"/>
  <c r="Y390" i="9"/>
  <c r="Y391" i="9"/>
  <c r="Y392" i="9"/>
  <c r="Y393" i="9"/>
  <c r="Y394" i="9"/>
  <c r="Y395" i="9"/>
  <c r="Y396" i="9"/>
  <c r="Y397" i="9"/>
  <c r="Y398" i="9"/>
  <c r="Y399" i="9"/>
  <c r="Y400" i="9"/>
  <c r="Y401" i="9"/>
  <c r="Y402" i="9"/>
  <c r="Y403" i="9"/>
  <c r="Y404" i="9"/>
  <c r="Y405" i="9"/>
  <c r="Y406" i="9"/>
  <c r="Y407" i="9"/>
  <c r="Y408" i="9"/>
  <c r="Y409" i="9"/>
  <c r="Y410" i="9"/>
  <c r="Y411" i="9"/>
  <c r="Y412" i="9"/>
  <c r="Y413" i="9"/>
  <c r="Y414" i="9"/>
  <c r="Y415" i="9"/>
  <c r="Y416" i="9"/>
  <c r="Y417" i="9"/>
  <c r="Y418" i="9"/>
  <c r="Y419" i="9"/>
  <c r="Y420" i="9"/>
  <c r="Y421" i="9"/>
  <c r="Y422" i="9"/>
  <c r="Y423" i="9"/>
  <c r="Y424" i="9"/>
  <c r="Y425" i="9"/>
  <c r="Y426" i="9"/>
  <c r="Y427" i="9"/>
  <c r="Y428" i="9"/>
  <c r="Y429" i="9"/>
  <c r="Y430" i="9"/>
  <c r="Y431" i="9"/>
  <c r="Y432" i="9"/>
  <c r="Y433" i="9"/>
  <c r="Y434" i="9"/>
  <c r="Y435" i="9"/>
  <c r="Y436" i="9"/>
  <c r="Y437" i="9"/>
  <c r="Y438" i="9"/>
  <c r="Y439" i="9"/>
  <c r="Y440" i="9"/>
  <c r="Y441" i="9"/>
  <c r="Y442" i="9"/>
  <c r="Y443" i="9"/>
  <c r="Y444" i="9"/>
  <c r="Y445" i="9"/>
  <c r="Y446" i="9"/>
  <c r="Y447" i="9"/>
  <c r="Y448" i="9"/>
  <c r="Y449" i="9"/>
  <c r="Y450" i="9"/>
  <c r="Y451" i="9"/>
  <c r="Y452" i="9"/>
  <c r="Y453" i="9"/>
  <c r="Y454" i="9"/>
  <c r="Y455" i="9"/>
  <c r="Y456" i="9"/>
  <c r="Y457" i="9"/>
  <c r="Y458" i="9"/>
  <c r="Y459" i="9"/>
  <c r="Y460" i="9"/>
  <c r="Y461" i="9"/>
  <c r="Y462" i="9"/>
  <c r="Y463" i="9"/>
  <c r="Y464" i="9"/>
  <c r="Y465" i="9"/>
  <c r="Y466" i="9"/>
  <c r="Y467" i="9"/>
  <c r="Y468" i="9"/>
  <c r="Y469" i="9"/>
  <c r="Y470" i="9"/>
  <c r="Y471" i="9"/>
  <c r="Y472" i="9"/>
  <c r="Y473" i="9"/>
  <c r="Y474" i="9"/>
  <c r="Y475" i="9"/>
  <c r="Y476" i="9"/>
  <c r="Y477" i="9"/>
  <c r="Y478" i="9"/>
  <c r="Y479" i="9"/>
  <c r="Y480" i="9"/>
  <c r="Y481" i="9"/>
  <c r="Y482" i="9"/>
  <c r="Y483" i="9"/>
  <c r="Y484" i="9"/>
  <c r="Y485" i="9"/>
  <c r="Y486" i="9"/>
  <c r="Y487" i="9"/>
  <c r="Y488" i="9"/>
  <c r="Y489" i="9"/>
  <c r="Y490" i="9"/>
  <c r="Y491" i="9"/>
  <c r="Y492" i="9"/>
  <c r="Y493" i="9"/>
  <c r="Y494" i="9"/>
  <c r="Y495" i="9"/>
  <c r="Y496" i="9"/>
  <c r="Y497" i="9"/>
  <c r="Y498" i="9"/>
  <c r="Y499" i="9"/>
  <c r="Y500" i="9"/>
  <c r="Y501" i="9"/>
  <c r="Y502" i="9"/>
  <c r="Y503" i="9"/>
  <c r="Y504" i="9"/>
  <c r="Y505" i="9"/>
  <c r="Y506" i="9"/>
  <c r="Y507" i="9"/>
  <c r="Y508" i="9"/>
  <c r="Y509" i="9"/>
  <c r="Y510" i="9"/>
  <c r="Y511" i="9"/>
  <c r="Y512" i="9"/>
  <c r="Y513" i="9"/>
  <c r="Y514" i="9"/>
  <c r="Y515" i="9"/>
  <c r="Y516" i="9"/>
  <c r="Y517" i="9"/>
  <c r="Y518" i="9"/>
  <c r="Y519" i="9"/>
  <c r="Y520" i="9"/>
  <c r="Y521" i="9"/>
  <c r="Y522" i="9"/>
  <c r="Y523" i="9"/>
  <c r="Y524" i="9"/>
  <c r="Y525" i="9"/>
  <c r="Y526" i="9"/>
  <c r="Y527" i="9"/>
  <c r="Y528" i="9"/>
  <c r="Y529" i="9"/>
  <c r="Y530" i="9"/>
  <c r="Y531" i="9"/>
  <c r="Y532" i="9"/>
  <c r="Y533" i="9"/>
  <c r="Y534" i="9"/>
  <c r="Y535" i="9"/>
  <c r="Y536" i="9"/>
  <c r="Y537" i="9"/>
  <c r="Y538" i="9"/>
  <c r="Y539" i="9"/>
  <c r="Y540" i="9"/>
  <c r="Y541" i="9"/>
  <c r="Y542" i="9"/>
  <c r="Y543" i="9"/>
  <c r="Y544" i="9"/>
  <c r="Y545" i="9"/>
  <c r="Y546" i="9"/>
  <c r="Y547" i="9"/>
  <c r="Y548" i="9"/>
  <c r="Y549" i="9"/>
  <c r="Y550" i="9"/>
  <c r="Y551" i="9"/>
  <c r="Y552" i="9"/>
  <c r="Y553" i="9"/>
  <c r="Y554" i="9"/>
  <c r="Y555" i="9"/>
  <c r="Y556" i="9"/>
  <c r="Y557" i="9"/>
  <c r="Y558" i="9"/>
  <c r="Y559" i="9"/>
  <c r="Y560" i="9"/>
  <c r="Y561" i="9"/>
  <c r="Y562" i="9"/>
  <c r="Y563" i="9"/>
  <c r="Y564" i="9"/>
  <c r="Y565" i="9"/>
  <c r="Y566" i="9"/>
  <c r="Y567" i="9"/>
  <c r="Y568" i="9"/>
  <c r="Y569" i="9"/>
  <c r="Y570" i="9"/>
  <c r="Y571" i="9"/>
  <c r="Y572" i="9"/>
  <c r="Y573" i="9"/>
  <c r="Y574" i="9"/>
  <c r="Y575" i="9"/>
  <c r="Y576" i="9"/>
  <c r="Y577" i="9"/>
  <c r="Y578" i="9"/>
  <c r="Y579" i="9"/>
  <c r="Y580" i="9"/>
  <c r="Y581" i="9"/>
  <c r="Y582" i="9"/>
  <c r="Y583" i="9"/>
  <c r="Y584" i="9"/>
  <c r="Y585" i="9"/>
  <c r="Y586" i="9"/>
  <c r="Y587" i="9"/>
  <c r="Y588" i="9"/>
  <c r="Y589" i="9"/>
  <c r="Y590" i="9"/>
  <c r="Y591" i="9"/>
  <c r="Y592" i="9"/>
  <c r="Y593" i="9"/>
  <c r="Y594" i="9"/>
  <c r="Y595" i="9"/>
  <c r="Y596" i="9"/>
  <c r="Y597" i="9"/>
  <c r="Y598" i="9"/>
  <c r="Y599" i="9"/>
  <c r="Y600" i="9"/>
  <c r="Y601" i="9"/>
  <c r="Y602" i="9"/>
  <c r="Y603" i="9"/>
  <c r="Y604" i="9"/>
  <c r="Y605" i="9"/>
  <c r="Y606" i="9"/>
  <c r="Y607" i="9"/>
  <c r="Y608" i="9"/>
  <c r="Y609" i="9"/>
  <c r="Y610" i="9"/>
  <c r="Y611" i="9"/>
  <c r="Y612" i="9"/>
  <c r="Y613" i="9"/>
  <c r="Y614" i="9"/>
  <c r="Y615" i="9"/>
  <c r="Y616" i="9"/>
  <c r="Y617" i="9"/>
  <c r="Y618" i="9"/>
  <c r="Y619" i="9"/>
  <c r="Y620" i="9"/>
  <c r="Y621" i="9"/>
  <c r="Y622" i="9"/>
  <c r="Y623" i="9"/>
  <c r="Y624" i="9"/>
  <c r="Y625" i="9"/>
  <c r="Y626" i="9"/>
  <c r="Y627" i="9"/>
  <c r="Y628" i="9"/>
  <c r="Y629" i="9"/>
  <c r="Y630" i="9"/>
  <c r="Y631" i="9"/>
  <c r="Y632" i="9"/>
  <c r="Y633" i="9"/>
  <c r="Y634" i="9"/>
  <c r="Y635" i="9"/>
  <c r="Y636" i="9"/>
  <c r="Y637" i="9"/>
  <c r="Y638" i="9"/>
  <c r="Y639" i="9"/>
  <c r="Y640" i="9"/>
  <c r="Y641" i="9"/>
  <c r="Y642" i="9"/>
  <c r="Y643" i="9"/>
  <c r="Y644" i="9"/>
  <c r="Y645" i="9"/>
  <c r="Y646" i="9"/>
  <c r="Y647" i="9"/>
  <c r="Y648" i="9"/>
  <c r="Y649" i="9"/>
  <c r="Y650" i="9"/>
  <c r="Y651" i="9"/>
  <c r="Y652" i="9"/>
  <c r="Y653" i="9"/>
  <c r="Y654" i="9"/>
  <c r="Y655" i="9"/>
  <c r="Y656" i="9"/>
  <c r="Y657" i="9"/>
  <c r="Y658" i="9"/>
  <c r="Y659" i="9"/>
  <c r="Y660" i="9"/>
  <c r="Y661" i="9"/>
  <c r="Y662" i="9"/>
  <c r="Y663" i="9"/>
  <c r="Y664" i="9"/>
  <c r="Y665" i="9"/>
  <c r="Y666" i="9"/>
  <c r="Y667" i="9"/>
  <c r="Y668" i="9"/>
  <c r="Y669" i="9"/>
  <c r="Y670" i="9"/>
  <c r="Y671" i="9"/>
  <c r="Y672" i="9"/>
  <c r="Y673" i="9"/>
  <c r="Y674" i="9"/>
  <c r="Y675" i="9"/>
  <c r="Y676" i="9"/>
  <c r="Y677" i="9"/>
  <c r="Y678" i="9"/>
  <c r="Y679" i="9"/>
  <c r="Y680" i="9"/>
  <c r="Y681" i="9"/>
  <c r="Y682" i="9"/>
  <c r="Y683" i="9"/>
  <c r="Y684" i="9"/>
  <c r="Y685" i="9"/>
  <c r="Y686" i="9"/>
  <c r="Y687" i="9"/>
  <c r="Y688" i="9"/>
  <c r="Y689" i="9"/>
  <c r="Y690" i="9"/>
  <c r="Y691" i="9"/>
  <c r="Y692" i="9"/>
  <c r="Y693" i="9"/>
  <c r="Y694" i="9"/>
  <c r="Y695" i="9"/>
  <c r="Y696" i="9"/>
  <c r="Y697" i="9"/>
  <c r="Y698" i="9"/>
  <c r="Y699" i="9"/>
  <c r="Y700" i="9"/>
  <c r="Y701" i="9"/>
  <c r="Y702" i="9"/>
  <c r="Y703" i="9"/>
  <c r="Y704" i="9"/>
  <c r="Y705" i="9"/>
  <c r="Y706" i="9"/>
  <c r="Y707" i="9"/>
  <c r="Y708" i="9"/>
  <c r="Y709" i="9"/>
  <c r="Y710" i="9"/>
  <c r="Y711" i="9"/>
  <c r="Y712" i="9"/>
  <c r="Y713" i="9"/>
  <c r="Y714" i="9"/>
  <c r="Y715" i="9"/>
  <c r="Y716" i="9"/>
  <c r="Y717" i="9"/>
  <c r="Y718" i="9"/>
  <c r="Y719" i="9"/>
  <c r="Y720" i="9"/>
  <c r="Y721" i="9"/>
  <c r="Y722" i="9"/>
  <c r="Y723" i="9"/>
  <c r="Y724" i="9"/>
  <c r="Y725" i="9"/>
  <c r="Y726" i="9"/>
  <c r="Y727" i="9"/>
  <c r="Y728" i="9"/>
  <c r="Y729" i="9"/>
  <c r="Y730" i="9"/>
  <c r="Y731" i="9"/>
  <c r="Y732" i="9"/>
  <c r="Y733" i="9"/>
  <c r="Y734" i="9"/>
  <c r="Y735" i="9"/>
  <c r="Y736" i="9"/>
  <c r="Y737" i="9"/>
  <c r="Y738" i="9"/>
  <c r="Y739" i="9"/>
  <c r="Y740" i="9"/>
  <c r="Y741" i="9"/>
  <c r="Y742" i="9"/>
  <c r="Y743" i="9"/>
  <c r="Y744" i="9"/>
  <c r="Y745" i="9"/>
  <c r="Y746" i="9"/>
  <c r="Y747" i="9"/>
  <c r="Y748" i="9"/>
  <c r="Y749" i="9"/>
  <c r="Y750" i="9"/>
  <c r="Y751" i="9"/>
  <c r="Y752" i="9"/>
  <c r="Y753" i="9"/>
  <c r="Y754" i="9"/>
  <c r="Y755" i="9"/>
  <c r="Y756" i="9"/>
  <c r="Y757" i="9"/>
  <c r="Y758" i="9"/>
  <c r="Y759" i="9"/>
  <c r="Y760" i="9"/>
  <c r="Y761" i="9"/>
  <c r="Y762" i="9"/>
  <c r="Y763" i="9"/>
  <c r="Y764" i="9"/>
  <c r="Y765" i="9"/>
  <c r="Y766" i="9"/>
  <c r="Y767" i="9"/>
  <c r="Y768" i="9"/>
  <c r="Y769" i="9"/>
  <c r="Y770" i="9"/>
  <c r="Y771" i="9"/>
  <c r="Y772" i="9"/>
  <c r="Y773" i="9"/>
  <c r="Y774" i="9"/>
  <c r="Y775" i="9"/>
  <c r="Y776" i="9"/>
  <c r="Y777" i="9"/>
  <c r="Y778" i="9"/>
  <c r="Y779" i="9"/>
  <c r="Y780" i="9"/>
  <c r="Y781" i="9"/>
  <c r="Y782" i="9"/>
  <c r="Y783" i="9"/>
  <c r="Y784" i="9"/>
  <c r="Y785" i="9"/>
  <c r="Y786" i="9"/>
  <c r="Y787" i="9"/>
  <c r="Y788" i="9"/>
  <c r="Y789" i="9"/>
  <c r="Y790" i="9"/>
  <c r="Y791" i="9"/>
  <c r="Y792" i="9"/>
  <c r="Y793" i="9"/>
  <c r="Y794" i="9"/>
  <c r="Y795" i="9"/>
  <c r="Y796" i="9"/>
  <c r="Y797" i="9"/>
  <c r="Y798" i="9"/>
  <c r="Y799" i="9"/>
  <c r="Y800" i="9"/>
  <c r="Y801" i="9"/>
  <c r="Y802" i="9"/>
  <c r="Y803" i="9"/>
  <c r="Y804" i="9"/>
  <c r="Y805" i="9"/>
  <c r="Y806" i="9"/>
  <c r="Y807" i="9"/>
  <c r="Y808" i="9"/>
  <c r="Y809" i="9"/>
  <c r="Y810" i="9"/>
  <c r="Y811" i="9"/>
  <c r="Y812" i="9"/>
  <c r="Y813" i="9"/>
  <c r="Y814" i="9"/>
  <c r="Y815" i="9"/>
  <c r="Y816" i="9"/>
  <c r="Y817" i="9"/>
  <c r="Y818" i="9"/>
  <c r="Y819" i="9"/>
  <c r="Y820" i="9"/>
  <c r="Y821" i="9"/>
  <c r="Y822" i="9"/>
  <c r="Y823" i="9"/>
  <c r="Y824" i="9"/>
  <c r="Y825" i="9"/>
  <c r="Y826" i="9"/>
  <c r="Y827" i="9"/>
  <c r="Y828" i="9"/>
  <c r="Y829" i="9"/>
  <c r="Y830" i="9"/>
  <c r="Y831" i="9"/>
  <c r="Y832" i="9"/>
  <c r="Y833" i="9"/>
  <c r="Y834" i="9"/>
  <c r="Y835" i="9"/>
  <c r="Y836" i="9"/>
  <c r="Y837" i="9"/>
  <c r="Y838" i="9"/>
  <c r="Y839" i="9"/>
  <c r="Y840" i="9"/>
  <c r="Y841" i="9"/>
  <c r="Y842" i="9"/>
  <c r="Y843" i="9"/>
  <c r="Y844" i="9"/>
  <c r="Y845" i="9"/>
  <c r="Y846" i="9"/>
  <c r="Y847" i="9"/>
  <c r="Y848" i="9"/>
  <c r="Y849" i="9"/>
  <c r="Y850" i="9"/>
  <c r="Y851" i="9"/>
  <c r="Y852" i="9"/>
  <c r="Y853" i="9"/>
  <c r="Y854" i="9"/>
  <c r="Y855" i="9"/>
  <c r="Y856" i="9"/>
  <c r="Y857" i="9"/>
  <c r="Y858" i="9"/>
  <c r="Y859" i="9"/>
  <c r="Y860" i="9"/>
  <c r="Y861" i="9"/>
  <c r="Y862" i="9"/>
  <c r="Y863" i="9"/>
  <c r="Y864" i="9"/>
  <c r="Y865" i="9"/>
  <c r="Y866" i="9"/>
  <c r="Y867" i="9"/>
  <c r="Y868" i="9"/>
  <c r="Y869" i="9"/>
  <c r="Y870" i="9"/>
  <c r="Y871" i="9"/>
  <c r="Y872" i="9"/>
  <c r="Y873" i="9"/>
  <c r="Y874" i="9"/>
  <c r="Y875" i="9"/>
  <c r="Y876" i="9"/>
  <c r="Y877" i="9"/>
  <c r="Y878" i="9"/>
  <c r="Y879" i="9"/>
  <c r="Y880" i="9"/>
  <c r="Y881" i="9"/>
  <c r="Y882" i="9"/>
  <c r="Y883" i="9"/>
  <c r="Y884" i="9"/>
  <c r="Y885" i="9"/>
  <c r="Y886" i="9"/>
  <c r="Y887" i="9"/>
  <c r="Y888" i="9"/>
  <c r="Y889" i="9"/>
  <c r="Y890" i="9"/>
  <c r="Y891" i="9"/>
  <c r="Y892" i="9"/>
  <c r="Y893" i="9"/>
  <c r="Y894" i="9"/>
  <c r="Y895" i="9"/>
  <c r="Y896" i="9"/>
  <c r="Y897" i="9"/>
  <c r="Y898" i="9"/>
  <c r="Y899" i="9"/>
  <c r="Y900" i="9"/>
  <c r="Y901" i="9"/>
  <c r="Y902" i="9"/>
  <c r="Y903" i="9"/>
  <c r="Y904" i="9"/>
  <c r="Y905" i="9"/>
  <c r="Y906" i="9"/>
  <c r="Y907" i="9"/>
  <c r="Y908" i="9"/>
  <c r="Y909" i="9"/>
  <c r="Y910" i="9"/>
  <c r="Y911" i="9"/>
  <c r="Y912" i="9"/>
  <c r="Y913" i="9"/>
  <c r="Y914" i="9"/>
  <c r="Y915" i="9"/>
  <c r="Y916" i="9"/>
  <c r="Y917" i="9"/>
  <c r="Y918" i="9"/>
  <c r="Y919" i="9"/>
  <c r="Y920" i="9"/>
  <c r="Y921" i="9"/>
  <c r="Y922" i="9"/>
  <c r="Y923" i="9"/>
  <c r="Y924" i="9"/>
  <c r="Y925" i="9"/>
  <c r="Y926" i="9"/>
  <c r="Y927" i="9"/>
  <c r="Y928" i="9"/>
  <c r="Y929" i="9"/>
  <c r="Y930" i="9"/>
  <c r="Y931" i="9"/>
  <c r="Y932" i="9"/>
  <c r="Y933" i="9"/>
  <c r="Y934" i="9"/>
  <c r="Y935" i="9"/>
  <c r="Y936" i="9"/>
  <c r="Y937" i="9"/>
  <c r="Y938" i="9"/>
  <c r="Y939" i="9"/>
  <c r="Y940" i="9"/>
  <c r="Y941" i="9"/>
  <c r="Y942" i="9"/>
  <c r="Y943" i="9"/>
  <c r="Y944" i="9"/>
  <c r="Y945" i="9"/>
  <c r="Y946" i="9"/>
  <c r="Y947" i="9"/>
  <c r="Y948" i="9"/>
  <c r="Y949" i="9"/>
  <c r="Y950" i="9"/>
  <c r="Y951" i="9"/>
  <c r="Y952" i="9"/>
  <c r="Y953" i="9"/>
  <c r="Y954" i="9"/>
  <c r="Y955" i="9"/>
  <c r="Y956" i="9"/>
  <c r="Y957" i="9"/>
  <c r="Y958" i="9"/>
  <c r="Y959" i="9"/>
  <c r="Y960" i="9"/>
  <c r="Y961" i="9"/>
  <c r="Y962" i="9"/>
  <c r="Y963" i="9"/>
  <c r="Y964" i="9"/>
  <c r="Y965" i="9"/>
  <c r="Y966" i="9"/>
  <c r="Y967" i="9"/>
  <c r="Y968" i="9"/>
  <c r="Y969" i="9"/>
  <c r="Y970" i="9"/>
  <c r="Y971" i="9"/>
  <c r="Y972" i="9"/>
  <c r="Y973" i="9"/>
  <c r="Y974" i="9"/>
  <c r="Y975" i="9"/>
  <c r="Y976" i="9"/>
  <c r="Y977" i="9"/>
  <c r="Y978" i="9"/>
  <c r="Y979" i="9"/>
  <c r="Y980" i="9"/>
  <c r="Y981" i="9"/>
  <c r="Y982" i="9"/>
  <c r="Y983" i="9"/>
  <c r="Y984" i="9"/>
  <c r="Y985" i="9"/>
  <c r="Y986" i="9"/>
  <c r="Y987" i="9"/>
  <c r="Y988" i="9"/>
  <c r="Y989" i="9"/>
  <c r="Y990" i="9"/>
  <c r="Y991" i="9"/>
  <c r="Y992" i="9"/>
  <c r="Y993" i="9"/>
  <c r="Y994" i="9"/>
  <c r="Y995" i="9"/>
  <c r="Y996" i="9"/>
  <c r="Y997" i="9"/>
  <c r="Y998" i="9"/>
  <c r="Y999" i="9"/>
  <c r="Y1000" i="9"/>
  <c r="Y1001" i="9"/>
  <c r="Y1002" i="9"/>
  <c r="Y1003" i="9"/>
  <c r="Y1004" i="9"/>
  <c r="Y1005" i="9"/>
  <c r="Z6" i="9"/>
  <c r="Z7" i="9"/>
  <c r="Z8" i="9"/>
  <c r="Z9" i="9"/>
  <c r="Z10" i="9"/>
  <c r="AB10" i="9" s="1"/>
  <c r="Z11" i="9"/>
  <c r="Z12" i="9"/>
  <c r="Z13" i="9"/>
  <c r="Z14" i="9"/>
  <c r="Z15" i="9"/>
  <c r="Z16" i="9"/>
  <c r="Z17" i="9"/>
  <c r="Z18" i="9"/>
  <c r="Z19" i="9"/>
  <c r="Z20" i="9"/>
  <c r="AD20" i="9" s="1"/>
  <c r="Z21" i="9"/>
  <c r="Z22" i="9"/>
  <c r="Z23" i="9"/>
  <c r="AB23" i="9" s="1"/>
  <c r="Z24" i="9"/>
  <c r="Z25" i="9"/>
  <c r="Z26" i="9"/>
  <c r="Z27" i="9"/>
  <c r="Z28" i="9"/>
  <c r="AD28" i="9" s="1"/>
  <c r="Z29" i="9"/>
  <c r="Z30" i="9"/>
  <c r="Z31" i="9"/>
  <c r="Z32" i="9"/>
  <c r="Z33" i="9"/>
  <c r="Z34" i="9"/>
  <c r="Z35" i="9"/>
  <c r="AD35" i="9" s="1"/>
  <c r="Z36" i="9"/>
  <c r="AD36" i="9" s="1"/>
  <c r="Z37" i="9"/>
  <c r="Z38" i="9"/>
  <c r="Z39" i="9"/>
  <c r="Z40" i="9"/>
  <c r="Z41" i="9"/>
  <c r="Z42" i="9"/>
  <c r="AC42" i="9" s="1"/>
  <c r="Z43" i="9"/>
  <c r="AD43" i="9" s="1"/>
  <c r="Z44" i="9"/>
  <c r="Z45" i="9"/>
  <c r="AD45" i="9" s="1"/>
  <c r="Z46" i="9"/>
  <c r="Z47" i="9"/>
  <c r="AB47" i="9" s="1"/>
  <c r="Z48" i="9"/>
  <c r="Z49" i="9"/>
  <c r="Z50" i="9"/>
  <c r="Z51" i="9"/>
  <c r="AD51" i="9" s="1"/>
  <c r="Z52" i="9"/>
  <c r="AD52" i="9" s="1"/>
  <c r="Z53" i="9"/>
  <c r="AB53" i="9" s="1"/>
  <c r="Z54" i="9"/>
  <c r="Z55" i="9"/>
  <c r="Z56" i="9"/>
  <c r="Z57" i="9"/>
  <c r="Z58" i="9"/>
  <c r="Z59" i="9"/>
  <c r="AB59" i="9" s="1"/>
  <c r="Z60" i="9"/>
  <c r="Z61" i="9"/>
  <c r="Z62" i="9"/>
  <c r="Z63" i="9"/>
  <c r="AB63" i="9" s="1"/>
  <c r="Z64" i="9"/>
  <c r="Z65" i="9"/>
  <c r="Z66" i="9"/>
  <c r="AD66" i="9" s="1"/>
  <c r="Z67" i="9"/>
  <c r="AD67" i="9" s="1"/>
  <c r="Z68" i="9"/>
  <c r="Z69" i="9"/>
  <c r="Z70" i="9"/>
  <c r="Z71" i="9"/>
  <c r="AD71" i="9" s="1"/>
  <c r="Z72" i="9"/>
  <c r="Z73" i="9"/>
  <c r="Z74" i="9"/>
  <c r="AB74" i="9" s="1"/>
  <c r="Z75" i="9"/>
  <c r="Z76" i="9"/>
  <c r="Z77" i="9"/>
  <c r="Z78" i="9"/>
  <c r="Z79" i="9"/>
  <c r="AD79" i="9" s="1"/>
  <c r="Z80" i="9"/>
  <c r="Z81" i="9"/>
  <c r="Z82" i="9"/>
  <c r="Z83" i="9"/>
  <c r="AD83" i="9" s="1"/>
  <c r="Z84" i="9"/>
  <c r="AD84" i="9" s="1"/>
  <c r="Z85" i="9"/>
  <c r="AC85" i="9" s="1"/>
  <c r="Z86" i="9"/>
  <c r="Z87" i="9"/>
  <c r="Z88" i="9"/>
  <c r="Z89" i="9"/>
  <c r="Z90" i="9"/>
  <c r="AB90" i="9" s="1"/>
  <c r="Z91" i="9"/>
  <c r="Z92" i="9"/>
  <c r="AD92" i="9" s="1"/>
  <c r="Z93" i="9"/>
  <c r="Z94" i="9"/>
  <c r="Z95" i="9"/>
  <c r="Z96" i="9"/>
  <c r="Z97" i="9"/>
  <c r="Z98" i="9"/>
  <c r="AD98" i="9" s="1"/>
  <c r="Z99" i="9"/>
  <c r="Z100" i="9"/>
  <c r="AD100" i="9" s="1"/>
  <c r="Z101" i="9"/>
  <c r="Z102" i="9"/>
  <c r="Z103" i="9"/>
  <c r="Z104" i="9"/>
  <c r="Z105" i="9"/>
  <c r="Z106" i="9"/>
  <c r="AC106" i="9" s="1"/>
  <c r="Z107" i="9"/>
  <c r="AD107" i="9" s="1"/>
  <c r="Z108" i="9"/>
  <c r="Z109" i="9"/>
  <c r="AD109" i="9" s="1"/>
  <c r="Z110" i="9"/>
  <c r="Z111" i="9"/>
  <c r="Z112" i="9"/>
  <c r="Z113" i="9"/>
  <c r="Z114" i="9"/>
  <c r="AB114" i="9" s="1"/>
  <c r="Z115" i="9"/>
  <c r="Z116" i="9"/>
  <c r="AD116" i="9" s="1"/>
  <c r="Z117" i="9"/>
  <c r="Z118" i="9"/>
  <c r="Z119" i="9"/>
  <c r="Z120" i="9"/>
  <c r="Z121" i="9"/>
  <c r="Z122" i="9"/>
  <c r="AB122" i="9" s="1"/>
  <c r="Z123" i="9"/>
  <c r="AD123" i="9" s="1"/>
  <c r="Z124" i="9"/>
  <c r="AD124" i="9" s="1"/>
  <c r="Z125" i="9"/>
  <c r="Z126" i="9"/>
  <c r="Z127" i="9"/>
  <c r="Z128" i="9"/>
  <c r="Z129" i="9"/>
  <c r="Z130" i="9"/>
  <c r="AB130" i="9" s="1"/>
  <c r="Z131" i="9"/>
  <c r="AD131" i="9" s="1"/>
  <c r="Z132" i="9"/>
  <c r="AD132" i="9" s="1"/>
  <c r="Z133" i="9"/>
  <c r="Z134" i="9"/>
  <c r="Z135" i="9"/>
  <c r="Z136" i="9"/>
  <c r="Z137" i="9"/>
  <c r="Z138" i="9"/>
  <c r="AB138" i="9" s="1"/>
  <c r="Z139" i="9"/>
  <c r="AD139" i="9" s="1"/>
  <c r="Z140" i="9"/>
  <c r="AD140" i="9" s="1"/>
  <c r="Z141" i="9"/>
  <c r="Z142" i="9"/>
  <c r="Z143" i="9"/>
  <c r="Z144" i="9"/>
  <c r="Z145" i="9"/>
  <c r="Z146" i="9"/>
  <c r="AB146" i="9" s="1"/>
  <c r="Z147" i="9"/>
  <c r="AD147" i="9" s="1"/>
  <c r="Z148" i="9"/>
  <c r="AD148" i="9" s="1"/>
  <c r="Z149" i="9"/>
  <c r="Z150" i="9"/>
  <c r="Z151" i="9"/>
  <c r="AD151" i="9" s="1"/>
  <c r="Z152" i="9"/>
  <c r="Z153" i="9"/>
  <c r="Z154" i="9"/>
  <c r="AB154" i="9" s="1"/>
  <c r="Z155" i="9"/>
  <c r="AD155" i="9" s="1"/>
  <c r="Z156" i="9"/>
  <c r="Z157" i="9"/>
  <c r="Z158" i="9"/>
  <c r="Z159" i="9"/>
  <c r="Z160" i="9"/>
  <c r="Z161" i="9"/>
  <c r="Z162" i="9"/>
  <c r="AB162" i="9" s="1"/>
  <c r="Z163" i="9"/>
  <c r="AD163" i="9" s="1"/>
  <c r="Z164" i="9"/>
  <c r="AD164" i="9" s="1"/>
  <c r="Z165" i="9"/>
  <c r="Z166" i="9"/>
  <c r="Z167" i="9"/>
  <c r="AD167" i="9" s="1"/>
  <c r="Z168" i="9"/>
  <c r="Z169" i="9"/>
  <c r="Z170" i="9"/>
  <c r="AB170" i="9" s="1"/>
  <c r="Z171" i="9"/>
  <c r="AD171" i="9" s="1"/>
  <c r="Z172" i="9"/>
  <c r="AD172" i="9" s="1"/>
  <c r="Z173" i="9"/>
  <c r="Z174" i="9"/>
  <c r="Z175" i="9"/>
  <c r="Z176" i="9"/>
  <c r="Z177" i="9"/>
  <c r="Z178" i="9"/>
  <c r="AB178" i="9" s="1"/>
  <c r="Z179" i="9"/>
  <c r="AD179" i="9" s="1"/>
  <c r="Z180" i="9"/>
  <c r="AD180" i="9" s="1"/>
  <c r="Z181" i="9"/>
  <c r="Z182" i="9"/>
  <c r="Z183" i="9"/>
  <c r="Z184" i="9"/>
  <c r="Z185" i="9"/>
  <c r="Z186" i="9"/>
  <c r="AB186" i="9" s="1"/>
  <c r="Z187" i="9"/>
  <c r="AD187" i="9" s="1"/>
  <c r="Z188" i="9"/>
  <c r="Z189" i="9"/>
  <c r="Z190" i="9"/>
  <c r="Z191" i="9"/>
  <c r="Z192" i="9"/>
  <c r="Z193" i="9"/>
  <c r="Z194" i="9"/>
  <c r="AB194" i="9" s="1"/>
  <c r="Z195" i="9"/>
  <c r="AD195" i="9" s="1"/>
  <c r="Z196" i="9"/>
  <c r="AD196" i="9" s="1"/>
  <c r="Z197" i="9"/>
  <c r="Z198" i="9"/>
  <c r="Z199" i="9"/>
  <c r="Z200" i="9"/>
  <c r="Z201" i="9"/>
  <c r="Z202" i="9"/>
  <c r="AB202" i="9" s="1"/>
  <c r="Z203" i="9"/>
  <c r="AD203" i="9" s="1"/>
  <c r="Z204" i="9"/>
  <c r="AD204" i="9" s="1"/>
  <c r="Z205" i="9"/>
  <c r="Z206" i="9"/>
  <c r="Z207" i="9"/>
  <c r="Z208" i="9"/>
  <c r="Z209" i="9"/>
  <c r="Z210" i="9"/>
  <c r="AB210" i="9" s="1"/>
  <c r="Z211" i="9"/>
  <c r="AD211" i="9" s="1"/>
  <c r="Z212" i="9"/>
  <c r="AD212" i="9" s="1"/>
  <c r="Z213" i="9"/>
  <c r="Z214" i="9"/>
  <c r="Z215" i="9"/>
  <c r="AD215" i="9" s="1"/>
  <c r="Z216" i="9"/>
  <c r="Z217" i="9"/>
  <c r="Z218" i="9"/>
  <c r="AB218" i="9" s="1"/>
  <c r="Z219" i="9"/>
  <c r="AD219" i="9" s="1"/>
  <c r="Z220" i="9"/>
  <c r="Z221" i="9"/>
  <c r="Z222" i="9"/>
  <c r="Z223" i="9"/>
  <c r="Z224" i="9"/>
  <c r="Z225" i="9"/>
  <c r="Z226" i="9"/>
  <c r="AB226" i="9" s="1"/>
  <c r="Z227" i="9"/>
  <c r="AD227" i="9" s="1"/>
  <c r="Z228" i="9"/>
  <c r="AD228" i="9" s="1"/>
  <c r="Z229" i="9"/>
  <c r="Z230" i="9"/>
  <c r="Z231" i="9"/>
  <c r="AD231" i="9" s="1"/>
  <c r="Z232" i="9"/>
  <c r="Z233" i="9"/>
  <c r="Z234" i="9"/>
  <c r="AB234" i="9" s="1"/>
  <c r="Z235" i="9"/>
  <c r="AD235" i="9" s="1"/>
  <c r="Z236" i="9"/>
  <c r="AD236" i="9" s="1"/>
  <c r="Z237" i="9"/>
  <c r="Z238" i="9"/>
  <c r="Z239" i="9"/>
  <c r="Z240" i="9"/>
  <c r="Z241" i="9"/>
  <c r="Z242" i="9"/>
  <c r="AB242" i="9" s="1"/>
  <c r="Z243" i="9"/>
  <c r="AD243" i="9" s="1"/>
  <c r="Z244" i="9"/>
  <c r="AD244" i="9" s="1"/>
  <c r="Z245" i="9"/>
  <c r="Z246" i="9"/>
  <c r="Z247" i="9"/>
  <c r="Z248" i="9"/>
  <c r="Z249" i="9"/>
  <c r="Z250" i="9"/>
  <c r="AB250" i="9" s="1"/>
  <c r="Z251" i="9"/>
  <c r="AD251" i="9" s="1"/>
  <c r="Z252" i="9"/>
  <c r="Z253" i="9"/>
  <c r="Z254" i="9"/>
  <c r="Z255" i="9"/>
  <c r="Z256" i="9"/>
  <c r="Z257" i="9"/>
  <c r="Z258" i="9"/>
  <c r="AB258" i="9" s="1"/>
  <c r="Z259" i="9"/>
  <c r="AD259" i="9" s="1"/>
  <c r="Z260" i="9"/>
  <c r="AD260" i="9" s="1"/>
  <c r="Z261" i="9"/>
  <c r="Z262" i="9"/>
  <c r="Z263" i="9"/>
  <c r="Z264" i="9"/>
  <c r="Z265" i="9"/>
  <c r="Z266" i="9"/>
  <c r="AB266" i="9" s="1"/>
  <c r="Z267" i="9"/>
  <c r="AD267" i="9" s="1"/>
  <c r="Z268" i="9"/>
  <c r="AD268" i="9" s="1"/>
  <c r="Z269" i="9"/>
  <c r="Z270" i="9"/>
  <c r="Z271" i="9"/>
  <c r="AD271" i="9" s="1"/>
  <c r="Z272" i="9"/>
  <c r="Z273" i="9"/>
  <c r="Z274" i="9"/>
  <c r="AB274" i="9" s="1"/>
  <c r="Z275" i="9"/>
  <c r="AD275" i="9" s="1"/>
  <c r="Z276" i="9"/>
  <c r="AD276" i="9" s="1"/>
  <c r="Z277" i="9"/>
  <c r="Z278" i="9"/>
  <c r="Z279" i="9"/>
  <c r="Z280" i="9"/>
  <c r="Z281" i="9"/>
  <c r="Z282" i="9"/>
  <c r="AB282" i="9" s="1"/>
  <c r="Z283" i="9"/>
  <c r="AD283" i="9" s="1"/>
  <c r="Z284" i="9"/>
  <c r="Z285" i="9"/>
  <c r="Z286" i="9"/>
  <c r="Z287" i="9"/>
  <c r="Z288" i="9"/>
  <c r="Z289" i="9"/>
  <c r="Z290" i="9"/>
  <c r="AB290" i="9" s="1"/>
  <c r="Z291" i="9"/>
  <c r="AD291" i="9" s="1"/>
  <c r="Z292" i="9"/>
  <c r="AD292" i="9" s="1"/>
  <c r="Z293" i="9"/>
  <c r="Z294" i="9"/>
  <c r="Z295" i="9"/>
  <c r="Z296" i="9"/>
  <c r="Z297" i="9"/>
  <c r="Z298" i="9"/>
  <c r="AB298" i="9" s="1"/>
  <c r="Z299" i="9"/>
  <c r="AD299" i="9" s="1"/>
  <c r="Z300" i="9"/>
  <c r="AD300" i="9" s="1"/>
  <c r="Z301" i="9"/>
  <c r="Z302" i="9"/>
  <c r="Z303" i="9"/>
  <c r="Z304" i="9"/>
  <c r="Z305" i="9"/>
  <c r="Z306" i="9"/>
  <c r="AB306" i="9" s="1"/>
  <c r="Z307" i="9"/>
  <c r="AD307" i="9" s="1"/>
  <c r="Z308" i="9"/>
  <c r="AD308" i="9" s="1"/>
  <c r="Z309" i="9"/>
  <c r="Z310" i="9"/>
  <c r="Z311" i="9"/>
  <c r="AD311" i="9" s="1"/>
  <c r="Z312" i="9"/>
  <c r="Z313" i="9"/>
  <c r="Z314" i="9"/>
  <c r="AB314" i="9" s="1"/>
  <c r="Z315" i="9"/>
  <c r="AD315" i="9" s="1"/>
  <c r="Z316" i="9"/>
  <c r="Z317" i="9"/>
  <c r="Z318" i="9"/>
  <c r="Z319" i="9"/>
  <c r="Z320" i="9"/>
  <c r="Z321" i="9"/>
  <c r="Z322" i="9"/>
  <c r="AB322" i="9" s="1"/>
  <c r="Z323" i="9"/>
  <c r="Z324" i="9"/>
  <c r="AD324" i="9" s="1"/>
  <c r="Z325" i="9"/>
  <c r="Z326" i="9"/>
  <c r="Z327" i="9"/>
  <c r="Z328" i="9"/>
  <c r="Z329" i="9"/>
  <c r="Z330" i="9"/>
  <c r="AB330" i="9" s="1"/>
  <c r="Z331" i="9"/>
  <c r="Z332" i="9"/>
  <c r="AD332" i="9" s="1"/>
  <c r="Z333" i="9"/>
  <c r="Z334" i="9"/>
  <c r="Z335" i="9"/>
  <c r="Z336" i="9"/>
  <c r="Z337" i="9"/>
  <c r="Z338" i="9"/>
  <c r="AB338" i="9" s="1"/>
  <c r="Z339" i="9"/>
  <c r="AD339" i="9" s="1"/>
  <c r="Z340" i="9"/>
  <c r="AD340" i="9" s="1"/>
  <c r="Z341" i="9"/>
  <c r="Z342" i="9"/>
  <c r="Z343" i="9"/>
  <c r="AC343" i="9" s="1"/>
  <c r="Z344" i="9"/>
  <c r="Z345" i="9"/>
  <c r="Z346" i="9"/>
  <c r="AB346" i="9" s="1"/>
  <c r="Z347" i="9"/>
  <c r="Z348" i="9"/>
  <c r="AD348" i="9" s="1"/>
  <c r="Z349" i="9"/>
  <c r="Z350" i="9"/>
  <c r="Z351" i="9"/>
  <c r="Z352" i="9"/>
  <c r="Z353" i="9"/>
  <c r="Z354" i="9"/>
  <c r="AB354" i="9" s="1"/>
  <c r="Z355" i="9"/>
  <c r="AD355" i="9" s="1"/>
  <c r="Z356" i="9"/>
  <c r="AD356" i="9" s="1"/>
  <c r="Z357" i="9"/>
  <c r="Z358" i="9"/>
  <c r="Z359" i="9"/>
  <c r="AC359" i="9" s="1"/>
  <c r="Z360" i="9"/>
  <c r="Z361" i="9"/>
  <c r="Z362" i="9"/>
  <c r="AB362" i="9" s="1"/>
  <c r="Z363" i="9"/>
  <c r="Z364" i="9"/>
  <c r="AD364" i="9" s="1"/>
  <c r="Z365" i="9"/>
  <c r="Z366" i="9"/>
  <c r="Z367" i="9"/>
  <c r="Z368" i="9"/>
  <c r="Z369" i="9"/>
  <c r="Z370" i="9"/>
  <c r="AB370" i="9" s="1"/>
  <c r="Z371" i="9"/>
  <c r="AD371" i="9" s="1"/>
  <c r="Z372" i="9"/>
  <c r="AD372" i="9" s="1"/>
  <c r="Z373" i="9"/>
  <c r="Z374" i="9"/>
  <c r="Z375" i="9"/>
  <c r="AC375" i="9" s="1"/>
  <c r="Z376" i="9"/>
  <c r="Z377" i="9"/>
  <c r="Z378" i="9"/>
  <c r="AB378" i="9" s="1"/>
  <c r="Z379" i="9"/>
  <c r="Z380" i="9"/>
  <c r="AD380" i="9" s="1"/>
  <c r="Z381" i="9"/>
  <c r="Z382" i="9"/>
  <c r="Z383" i="9"/>
  <c r="Z384" i="9"/>
  <c r="Z385" i="9"/>
  <c r="Z386" i="9"/>
  <c r="AB386" i="9" s="1"/>
  <c r="Z387" i="9"/>
  <c r="AD387" i="9" s="1"/>
  <c r="Z388" i="9"/>
  <c r="AD388" i="9" s="1"/>
  <c r="Z389" i="9"/>
  <c r="Z390" i="9"/>
  <c r="Z391" i="9"/>
  <c r="AC391" i="9" s="1"/>
  <c r="Z392" i="9"/>
  <c r="Z393" i="9"/>
  <c r="Z394" i="9"/>
  <c r="AB394" i="9" s="1"/>
  <c r="Z395" i="9"/>
  <c r="Z396" i="9"/>
  <c r="AD396" i="9" s="1"/>
  <c r="Z397" i="9"/>
  <c r="Z398" i="9"/>
  <c r="Z399" i="9"/>
  <c r="Z400" i="9"/>
  <c r="Z401" i="9"/>
  <c r="Z402" i="9"/>
  <c r="AB402" i="9" s="1"/>
  <c r="Z403" i="9"/>
  <c r="AD403" i="9" s="1"/>
  <c r="Z404" i="9"/>
  <c r="AD404" i="9" s="1"/>
  <c r="Z405" i="9"/>
  <c r="Z406" i="9"/>
  <c r="Z407" i="9"/>
  <c r="AC407" i="9" s="1"/>
  <c r="Z408" i="9"/>
  <c r="Z409" i="9"/>
  <c r="Z410" i="9"/>
  <c r="AB410" i="9" s="1"/>
  <c r="Z411" i="9"/>
  <c r="Z412" i="9"/>
  <c r="AD412" i="9" s="1"/>
  <c r="Z413" i="9"/>
  <c r="Z414" i="9"/>
  <c r="Z415" i="9"/>
  <c r="Z416" i="9"/>
  <c r="Z417" i="9"/>
  <c r="Z418" i="9"/>
  <c r="AB418" i="9" s="1"/>
  <c r="Z419" i="9"/>
  <c r="Z420" i="9"/>
  <c r="Z421" i="9"/>
  <c r="Z422" i="9"/>
  <c r="Z423" i="9"/>
  <c r="Z424" i="9"/>
  <c r="Z425" i="9"/>
  <c r="Z426" i="9"/>
  <c r="AB426" i="9" s="1"/>
  <c r="Z427" i="9"/>
  <c r="AC427" i="9" s="1"/>
  <c r="Z428" i="9"/>
  <c r="AD428" i="9" s="1"/>
  <c r="Z429" i="9"/>
  <c r="Z430" i="9"/>
  <c r="Z431" i="9"/>
  <c r="AC431" i="9" s="1"/>
  <c r="Z432" i="9"/>
  <c r="Z433" i="9"/>
  <c r="Z434" i="9"/>
  <c r="Z435" i="9"/>
  <c r="AD435" i="9" s="1"/>
  <c r="Z436" i="9"/>
  <c r="AD436" i="9" s="1"/>
  <c r="Z437" i="9"/>
  <c r="Z438" i="9"/>
  <c r="Z439" i="9"/>
  <c r="AB439" i="9" s="1"/>
  <c r="Z440" i="9"/>
  <c r="Z441" i="9"/>
  <c r="Z442" i="9"/>
  <c r="AD442" i="9" s="1"/>
  <c r="Z443" i="9"/>
  <c r="AB443" i="9" s="1"/>
  <c r="Z444" i="9"/>
  <c r="AD444" i="9" s="1"/>
  <c r="Z445" i="9"/>
  <c r="Z446" i="9"/>
  <c r="Z447" i="9"/>
  <c r="AC447" i="9" s="1"/>
  <c r="Z448" i="9"/>
  <c r="Z449" i="9"/>
  <c r="Z450" i="9"/>
  <c r="Z451" i="9"/>
  <c r="AD451" i="9" s="1"/>
  <c r="Z452" i="9"/>
  <c r="AD452" i="9" s="1"/>
  <c r="Z453" i="9"/>
  <c r="Z454" i="9"/>
  <c r="Z455" i="9"/>
  <c r="AC455" i="9" s="1"/>
  <c r="Z456" i="9"/>
  <c r="Z457" i="9"/>
  <c r="Z458" i="9"/>
  <c r="Z459" i="9"/>
  <c r="Z460" i="9"/>
  <c r="AD460" i="9" s="1"/>
  <c r="Z461" i="9"/>
  <c r="Z462" i="9"/>
  <c r="Z463" i="9"/>
  <c r="AC463" i="9" s="1"/>
  <c r="Z464" i="9"/>
  <c r="Z465" i="9"/>
  <c r="Z466" i="9"/>
  <c r="Z467" i="9"/>
  <c r="AB467" i="9" s="1"/>
  <c r="Z468" i="9"/>
  <c r="AD468" i="9" s="1"/>
  <c r="Z469" i="9"/>
  <c r="Z470" i="9"/>
  <c r="Z471" i="9"/>
  <c r="AC471" i="9" s="1"/>
  <c r="Z472" i="9"/>
  <c r="Z473" i="9"/>
  <c r="Z474" i="9"/>
  <c r="Z475" i="9"/>
  <c r="AD475" i="9" s="1"/>
  <c r="Z476" i="9"/>
  <c r="AC476" i="9" s="1"/>
  <c r="Z477" i="9"/>
  <c r="Z478" i="9"/>
  <c r="Z479" i="9"/>
  <c r="Z480" i="9"/>
  <c r="Z481" i="9"/>
  <c r="Z482" i="9"/>
  <c r="Z483" i="9"/>
  <c r="Z484" i="9"/>
  <c r="AC484" i="9" s="1"/>
  <c r="Z485" i="9"/>
  <c r="Z486" i="9"/>
  <c r="Z487" i="9"/>
  <c r="AB487" i="9" s="1"/>
  <c r="Z488" i="9"/>
  <c r="Z489" i="9"/>
  <c r="Z490" i="9"/>
  <c r="Z491" i="9"/>
  <c r="AB491" i="9" s="1"/>
  <c r="Z492" i="9"/>
  <c r="AD492" i="9" s="1"/>
  <c r="Z493" i="9"/>
  <c r="Z494" i="9"/>
  <c r="Z495" i="9"/>
  <c r="AC495" i="9" s="1"/>
  <c r="Z496" i="9"/>
  <c r="Z497" i="9"/>
  <c r="Z498" i="9"/>
  <c r="Z499" i="9"/>
  <c r="AC499" i="9" s="1"/>
  <c r="Z500" i="9"/>
  <c r="AC500" i="9" s="1"/>
  <c r="Z501" i="9"/>
  <c r="Z502" i="9"/>
  <c r="Z503" i="9"/>
  <c r="AD503" i="9" s="1"/>
  <c r="Z504" i="9"/>
  <c r="Z505" i="9"/>
  <c r="Z506" i="9"/>
  <c r="Z507" i="9"/>
  <c r="AD507" i="9" s="1"/>
  <c r="Z508" i="9"/>
  <c r="Z509" i="9"/>
  <c r="Z510" i="9"/>
  <c r="Z511" i="9"/>
  <c r="Z512" i="9"/>
  <c r="Z513" i="9"/>
  <c r="Z514" i="9"/>
  <c r="Z515" i="9"/>
  <c r="Z516" i="9"/>
  <c r="AC516" i="9" s="1"/>
  <c r="Z517" i="9"/>
  <c r="Z518" i="9"/>
  <c r="Z519" i="9"/>
  <c r="AB519" i="9" s="1"/>
  <c r="Z520" i="9"/>
  <c r="Z521" i="9"/>
  <c r="Z522" i="9"/>
  <c r="Z523" i="9"/>
  <c r="AB523" i="9" s="1"/>
  <c r="Z524" i="9"/>
  <c r="Z525" i="9"/>
  <c r="Z526" i="9"/>
  <c r="Z527" i="9"/>
  <c r="Z528" i="9"/>
  <c r="Z529" i="9"/>
  <c r="Z530" i="9"/>
  <c r="Z531" i="9"/>
  <c r="AC531" i="9" s="1"/>
  <c r="Z532" i="9"/>
  <c r="AC532" i="9" s="1"/>
  <c r="Z533" i="9"/>
  <c r="Z534" i="9"/>
  <c r="Z535" i="9"/>
  <c r="Z536" i="9"/>
  <c r="Z537" i="9"/>
  <c r="Z538" i="9"/>
  <c r="Z539" i="9"/>
  <c r="AD539" i="9" s="1"/>
  <c r="Z540" i="9"/>
  <c r="AC540" i="9" s="1"/>
  <c r="Z541" i="9"/>
  <c r="Z542" i="9"/>
  <c r="Z543" i="9"/>
  <c r="Z544" i="9"/>
  <c r="Z545" i="9"/>
  <c r="Z546" i="9"/>
  <c r="Z547" i="9"/>
  <c r="Z548" i="9"/>
  <c r="AC548" i="9" s="1"/>
  <c r="Z549" i="9"/>
  <c r="Z550" i="9"/>
  <c r="Z551" i="9"/>
  <c r="AB551" i="9" s="1"/>
  <c r="Z552" i="9"/>
  <c r="Z553" i="9"/>
  <c r="Z554" i="9"/>
  <c r="Z555" i="9"/>
  <c r="Z556" i="9"/>
  <c r="AD556" i="9" s="1"/>
  <c r="Z557" i="9"/>
  <c r="Z558" i="9"/>
  <c r="Z559" i="9"/>
  <c r="AC559" i="9" s="1"/>
  <c r="Z560" i="9"/>
  <c r="Z561" i="9"/>
  <c r="Z562" i="9"/>
  <c r="Z563" i="9"/>
  <c r="Z564" i="9"/>
  <c r="Z565" i="9"/>
  <c r="Z566" i="9"/>
  <c r="Z567" i="9"/>
  <c r="AD567" i="9" s="1"/>
  <c r="Z568" i="9"/>
  <c r="Z569" i="9"/>
  <c r="Z570" i="9"/>
  <c r="Z571" i="9"/>
  <c r="Z572" i="9"/>
  <c r="AB572" i="9" s="1"/>
  <c r="Z573" i="9"/>
  <c r="Z574" i="9"/>
  <c r="Z575" i="9"/>
  <c r="Z576" i="9"/>
  <c r="Z577" i="9"/>
  <c r="Z578" i="9"/>
  <c r="Z579" i="9"/>
  <c r="Z580" i="9"/>
  <c r="AB580" i="9" s="1"/>
  <c r="Z581" i="9"/>
  <c r="Z582" i="9"/>
  <c r="Z583" i="9"/>
  <c r="Z584" i="9"/>
  <c r="Z585" i="9"/>
  <c r="Z586" i="9"/>
  <c r="Z587" i="9"/>
  <c r="AB587" i="9" s="1"/>
  <c r="Z588" i="9"/>
  <c r="AB588" i="9" s="1"/>
  <c r="Z589" i="9"/>
  <c r="Z590" i="9"/>
  <c r="Z591" i="9"/>
  <c r="Z592" i="9"/>
  <c r="Z593" i="9"/>
  <c r="Z594" i="9"/>
  <c r="Z595" i="9"/>
  <c r="AC595" i="9" s="1"/>
  <c r="Z596" i="9"/>
  <c r="AB596" i="9" s="1"/>
  <c r="Z597" i="9"/>
  <c r="Z598" i="9"/>
  <c r="Z599" i="9"/>
  <c r="Z600" i="9"/>
  <c r="Z601" i="9"/>
  <c r="Z602" i="9"/>
  <c r="Z603" i="9"/>
  <c r="AD603" i="9" s="1"/>
  <c r="Z604" i="9"/>
  <c r="AB604" i="9" s="1"/>
  <c r="Z605" i="9"/>
  <c r="Z606" i="9"/>
  <c r="Z607" i="9"/>
  <c r="Z608" i="9"/>
  <c r="Z609" i="9"/>
  <c r="Z610" i="9"/>
  <c r="Z611" i="9"/>
  <c r="Z612" i="9"/>
  <c r="AB612" i="9" s="1"/>
  <c r="Z613" i="9"/>
  <c r="Z614" i="9"/>
  <c r="Z615" i="9"/>
  <c r="AB615" i="9" s="1"/>
  <c r="Z616" i="9"/>
  <c r="Z617" i="9"/>
  <c r="Z618" i="9"/>
  <c r="Z619" i="9"/>
  <c r="Z620" i="9"/>
  <c r="AB620" i="9" s="1"/>
  <c r="Z621" i="9"/>
  <c r="Z622" i="9"/>
  <c r="Z623" i="9"/>
  <c r="AC623" i="9" s="1"/>
  <c r="Z624" i="9"/>
  <c r="Z625" i="9"/>
  <c r="Z626" i="9"/>
  <c r="Z627" i="9"/>
  <c r="Z628" i="9"/>
  <c r="AB628" i="9" s="1"/>
  <c r="Z629" i="9"/>
  <c r="Z630" i="9"/>
  <c r="Z631" i="9"/>
  <c r="AD631" i="9" s="1"/>
  <c r="Z632" i="9"/>
  <c r="Z633" i="9"/>
  <c r="Z634" i="9"/>
  <c r="Z635" i="9"/>
  <c r="Z636" i="9"/>
  <c r="AB636" i="9" s="1"/>
  <c r="Z637" i="9"/>
  <c r="Z638" i="9"/>
  <c r="Z639" i="9"/>
  <c r="Z640" i="9"/>
  <c r="Z641" i="9"/>
  <c r="Z642" i="9"/>
  <c r="Z643" i="9"/>
  <c r="Z644" i="9"/>
  <c r="AB644" i="9" s="1"/>
  <c r="Z645" i="9"/>
  <c r="Z646" i="9"/>
  <c r="Z647" i="9"/>
  <c r="Z648" i="9"/>
  <c r="Z649" i="9"/>
  <c r="Z650" i="9"/>
  <c r="Z651" i="9"/>
  <c r="Z652" i="9"/>
  <c r="Z653" i="9"/>
  <c r="Z654" i="9"/>
  <c r="Z655" i="9"/>
  <c r="Z656" i="9"/>
  <c r="Z657" i="9"/>
  <c r="Z658" i="9"/>
  <c r="Z659" i="9"/>
  <c r="Z660" i="9"/>
  <c r="Z661" i="9"/>
  <c r="Z662" i="9"/>
  <c r="Z663" i="9"/>
  <c r="Z664" i="9"/>
  <c r="Z665" i="9"/>
  <c r="Z666" i="9"/>
  <c r="Z667" i="9"/>
  <c r="Z668" i="9"/>
  <c r="Z669" i="9"/>
  <c r="Z670" i="9"/>
  <c r="Z671" i="9"/>
  <c r="Z672" i="9"/>
  <c r="Z673" i="9"/>
  <c r="Z674" i="9"/>
  <c r="Z675" i="9"/>
  <c r="Z676" i="9"/>
  <c r="Z677" i="9"/>
  <c r="Z678" i="9"/>
  <c r="Z679" i="9"/>
  <c r="Z680" i="9"/>
  <c r="Z681" i="9"/>
  <c r="Z682" i="9"/>
  <c r="Z683" i="9"/>
  <c r="Z684" i="9"/>
  <c r="Z685" i="9"/>
  <c r="Z686" i="9"/>
  <c r="Z687" i="9"/>
  <c r="Z688" i="9"/>
  <c r="Z689" i="9"/>
  <c r="Z690" i="9"/>
  <c r="Z691" i="9"/>
  <c r="Z692" i="9"/>
  <c r="Z693" i="9"/>
  <c r="Z694" i="9"/>
  <c r="Z695" i="9"/>
  <c r="Z696" i="9"/>
  <c r="Z697" i="9"/>
  <c r="Z698" i="9"/>
  <c r="Z699" i="9"/>
  <c r="Z700" i="9"/>
  <c r="Z701" i="9"/>
  <c r="Z702" i="9"/>
  <c r="Z703" i="9"/>
  <c r="Z704" i="9"/>
  <c r="Z705" i="9"/>
  <c r="Z706" i="9"/>
  <c r="Z707" i="9"/>
  <c r="Z708" i="9"/>
  <c r="Z709" i="9"/>
  <c r="Z710" i="9"/>
  <c r="Z711" i="9"/>
  <c r="Z712" i="9"/>
  <c r="Z713" i="9"/>
  <c r="Z714" i="9"/>
  <c r="Z715" i="9"/>
  <c r="Z716" i="9"/>
  <c r="Z717" i="9"/>
  <c r="Z718" i="9"/>
  <c r="Z719" i="9"/>
  <c r="Z720" i="9"/>
  <c r="Z721" i="9"/>
  <c r="Z722" i="9"/>
  <c r="Z723" i="9"/>
  <c r="Z724" i="9"/>
  <c r="Z725" i="9"/>
  <c r="Z726" i="9"/>
  <c r="Z727" i="9"/>
  <c r="Z728" i="9"/>
  <c r="Z729" i="9"/>
  <c r="Z730" i="9"/>
  <c r="Z731" i="9"/>
  <c r="Z732" i="9"/>
  <c r="Z733" i="9"/>
  <c r="Z734" i="9"/>
  <c r="Z735" i="9"/>
  <c r="Z736" i="9"/>
  <c r="Z737" i="9"/>
  <c r="Z738" i="9"/>
  <c r="Z739" i="9"/>
  <c r="Z740" i="9"/>
  <c r="Z741" i="9"/>
  <c r="Z742" i="9"/>
  <c r="Z743" i="9"/>
  <c r="Z744" i="9"/>
  <c r="Z745" i="9"/>
  <c r="Z746" i="9"/>
  <c r="Z747" i="9"/>
  <c r="Z748" i="9"/>
  <c r="Z749" i="9"/>
  <c r="Z750" i="9"/>
  <c r="Z751" i="9"/>
  <c r="Z752" i="9"/>
  <c r="Z753" i="9"/>
  <c r="Z754" i="9"/>
  <c r="Z755" i="9"/>
  <c r="Z756" i="9"/>
  <c r="Z757" i="9"/>
  <c r="Z758" i="9"/>
  <c r="Z759" i="9"/>
  <c r="Z760" i="9"/>
  <c r="Z761" i="9"/>
  <c r="Z762" i="9"/>
  <c r="Z763" i="9"/>
  <c r="Z764" i="9"/>
  <c r="Z765" i="9"/>
  <c r="Z766" i="9"/>
  <c r="Z767" i="9"/>
  <c r="Z768" i="9"/>
  <c r="Z769" i="9"/>
  <c r="Z770" i="9"/>
  <c r="Z771" i="9"/>
  <c r="Z772" i="9"/>
  <c r="Z773" i="9"/>
  <c r="Z774" i="9"/>
  <c r="Z775" i="9"/>
  <c r="Z776" i="9"/>
  <c r="Z777" i="9"/>
  <c r="Z778" i="9"/>
  <c r="Z779" i="9"/>
  <c r="Z780" i="9"/>
  <c r="Z781" i="9"/>
  <c r="Z782" i="9"/>
  <c r="Z783" i="9"/>
  <c r="Z784" i="9"/>
  <c r="Z785" i="9"/>
  <c r="Z786" i="9"/>
  <c r="Z787" i="9"/>
  <c r="Z788" i="9"/>
  <c r="Z789" i="9"/>
  <c r="Z790" i="9"/>
  <c r="Z791" i="9"/>
  <c r="Z792" i="9"/>
  <c r="Z793" i="9"/>
  <c r="Z794" i="9"/>
  <c r="Z795" i="9"/>
  <c r="Z796" i="9"/>
  <c r="Z797" i="9"/>
  <c r="Z798" i="9"/>
  <c r="Z799" i="9"/>
  <c r="Z800" i="9"/>
  <c r="Z801" i="9"/>
  <c r="Z802" i="9"/>
  <c r="Z803" i="9"/>
  <c r="Z804" i="9"/>
  <c r="Z805" i="9"/>
  <c r="Z806" i="9"/>
  <c r="Z807" i="9"/>
  <c r="Z808" i="9"/>
  <c r="Z809" i="9"/>
  <c r="Z810" i="9"/>
  <c r="Z811" i="9"/>
  <c r="Z812" i="9"/>
  <c r="Z813" i="9"/>
  <c r="Z814" i="9"/>
  <c r="Z815" i="9"/>
  <c r="Z816" i="9"/>
  <c r="Z817" i="9"/>
  <c r="Z818" i="9"/>
  <c r="Z819" i="9"/>
  <c r="Z820" i="9"/>
  <c r="Z821" i="9"/>
  <c r="Z822" i="9"/>
  <c r="Z823" i="9"/>
  <c r="Z824" i="9"/>
  <c r="Z825" i="9"/>
  <c r="Z826" i="9"/>
  <c r="Z827" i="9"/>
  <c r="Z828" i="9"/>
  <c r="Z829" i="9"/>
  <c r="Z830" i="9"/>
  <c r="Z831" i="9"/>
  <c r="Z832" i="9"/>
  <c r="Z833" i="9"/>
  <c r="Z834" i="9"/>
  <c r="Z835" i="9"/>
  <c r="Z836" i="9"/>
  <c r="Z837" i="9"/>
  <c r="Z838" i="9"/>
  <c r="Z839" i="9"/>
  <c r="Z840" i="9"/>
  <c r="Z841" i="9"/>
  <c r="Z842" i="9"/>
  <c r="Z843" i="9"/>
  <c r="Z844" i="9"/>
  <c r="Z845" i="9"/>
  <c r="Z846" i="9"/>
  <c r="Z847" i="9"/>
  <c r="Z848" i="9"/>
  <c r="Z849" i="9"/>
  <c r="Z850" i="9"/>
  <c r="Z851" i="9"/>
  <c r="Z852" i="9"/>
  <c r="Z853" i="9"/>
  <c r="Z854" i="9"/>
  <c r="Z855" i="9"/>
  <c r="Z856" i="9"/>
  <c r="Z857" i="9"/>
  <c r="Z858" i="9"/>
  <c r="Z859" i="9"/>
  <c r="Z860" i="9"/>
  <c r="Z861" i="9"/>
  <c r="Z862" i="9"/>
  <c r="Z863" i="9"/>
  <c r="Z864" i="9"/>
  <c r="Z865" i="9"/>
  <c r="Z866" i="9"/>
  <c r="Z867" i="9"/>
  <c r="Z868" i="9"/>
  <c r="Z869" i="9"/>
  <c r="Z870" i="9"/>
  <c r="Z871" i="9"/>
  <c r="Z872" i="9"/>
  <c r="Z873" i="9"/>
  <c r="Z874" i="9"/>
  <c r="Z875" i="9"/>
  <c r="Z876" i="9"/>
  <c r="Z877" i="9"/>
  <c r="Z878" i="9"/>
  <c r="Z879" i="9"/>
  <c r="Z880" i="9"/>
  <c r="Z881" i="9"/>
  <c r="Z882" i="9"/>
  <c r="Z883" i="9"/>
  <c r="Z884" i="9"/>
  <c r="Z885" i="9"/>
  <c r="Z886" i="9"/>
  <c r="Z887" i="9"/>
  <c r="Z888" i="9"/>
  <c r="Z889" i="9"/>
  <c r="Z890" i="9"/>
  <c r="Z891" i="9"/>
  <c r="Z892" i="9"/>
  <c r="Z893" i="9"/>
  <c r="Z894" i="9"/>
  <c r="Z895" i="9"/>
  <c r="Z896" i="9"/>
  <c r="Z897" i="9"/>
  <c r="Z898" i="9"/>
  <c r="Z899" i="9"/>
  <c r="Z900" i="9"/>
  <c r="Z901" i="9"/>
  <c r="Z902" i="9"/>
  <c r="Z903" i="9"/>
  <c r="Z904" i="9"/>
  <c r="Z905" i="9"/>
  <c r="Z906" i="9"/>
  <c r="Z907" i="9"/>
  <c r="Z908" i="9"/>
  <c r="Z909" i="9"/>
  <c r="Z910" i="9"/>
  <c r="Z911" i="9"/>
  <c r="Z912" i="9"/>
  <c r="Z913" i="9"/>
  <c r="Z914" i="9"/>
  <c r="Z915" i="9"/>
  <c r="Z916" i="9"/>
  <c r="Z917" i="9"/>
  <c r="Z918" i="9"/>
  <c r="Z919" i="9"/>
  <c r="Z920" i="9"/>
  <c r="Z921" i="9"/>
  <c r="Z922" i="9"/>
  <c r="Z923" i="9"/>
  <c r="Z924" i="9"/>
  <c r="Z925" i="9"/>
  <c r="Z926" i="9"/>
  <c r="Z927" i="9"/>
  <c r="Z928" i="9"/>
  <c r="Z929" i="9"/>
  <c r="Z930" i="9"/>
  <c r="Z931" i="9"/>
  <c r="Z932" i="9"/>
  <c r="Z933" i="9"/>
  <c r="Z934" i="9"/>
  <c r="Z935" i="9"/>
  <c r="Z936" i="9"/>
  <c r="Z937" i="9"/>
  <c r="Z938" i="9"/>
  <c r="Z939" i="9"/>
  <c r="Z940" i="9"/>
  <c r="Z941" i="9"/>
  <c r="Z942" i="9"/>
  <c r="Z943" i="9"/>
  <c r="Z944" i="9"/>
  <c r="Z945" i="9"/>
  <c r="Z946" i="9"/>
  <c r="Z947" i="9"/>
  <c r="Z948" i="9"/>
  <c r="Z949" i="9"/>
  <c r="Z950" i="9"/>
  <c r="Z951" i="9"/>
  <c r="Z952" i="9"/>
  <c r="Z953" i="9"/>
  <c r="Z954" i="9"/>
  <c r="Z955" i="9"/>
  <c r="Z956" i="9"/>
  <c r="Z957" i="9"/>
  <c r="Z958" i="9"/>
  <c r="Z959" i="9"/>
  <c r="Z960" i="9"/>
  <c r="Z961" i="9"/>
  <c r="Z962" i="9"/>
  <c r="Z963" i="9"/>
  <c r="Z964" i="9"/>
  <c r="Z965" i="9"/>
  <c r="Z966" i="9"/>
  <c r="Z967" i="9"/>
  <c r="Z968" i="9"/>
  <c r="Z969" i="9"/>
  <c r="Z970" i="9"/>
  <c r="Z971" i="9"/>
  <c r="Z972" i="9"/>
  <c r="Z973" i="9"/>
  <c r="Z974" i="9"/>
  <c r="Z975" i="9"/>
  <c r="Z976" i="9"/>
  <c r="Z977" i="9"/>
  <c r="Z978" i="9"/>
  <c r="Z979" i="9"/>
  <c r="Z980" i="9"/>
  <c r="Z981" i="9"/>
  <c r="Z982" i="9"/>
  <c r="Z983" i="9"/>
  <c r="Z984" i="9"/>
  <c r="Z985" i="9"/>
  <c r="Z986" i="9"/>
  <c r="Z987" i="9"/>
  <c r="Z988" i="9"/>
  <c r="Z989" i="9"/>
  <c r="Z990" i="9"/>
  <c r="Z991" i="9"/>
  <c r="Z992" i="9"/>
  <c r="Z993" i="9"/>
  <c r="Z994" i="9"/>
  <c r="Z995" i="9"/>
  <c r="Z996" i="9"/>
  <c r="Z997" i="9"/>
  <c r="Z998" i="9"/>
  <c r="Z999" i="9"/>
  <c r="Z1000" i="9"/>
  <c r="Z1001" i="9"/>
  <c r="Z1002" i="9"/>
  <c r="Z1003" i="9"/>
  <c r="Z1004" i="9"/>
  <c r="Z1005" i="9"/>
  <c r="AC6" i="9"/>
  <c r="AD6" i="9"/>
  <c r="AB6" i="9"/>
  <c r="AD7" i="9"/>
  <c r="AB8" i="9"/>
  <c r="AC8" i="9"/>
  <c r="AD8" i="9"/>
  <c r="AB9" i="9"/>
  <c r="AC9" i="9"/>
  <c r="AD9" i="9"/>
  <c r="AD10" i="9"/>
  <c r="AB11" i="9"/>
  <c r="AD11" i="9"/>
  <c r="AD12" i="9"/>
  <c r="AB13" i="9"/>
  <c r="AC13" i="9"/>
  <c r="AD13" i="9"/>
  <c r="AB14" i="9"/>
  <c r="AC14" i="9"/>
  <c r="AD14" i="9"/>
  <c r="AD15" i="9"/>
  <c r="AB16" i="9"/>
  <c r="AC16" i="9"/>
  <c r="AD16" i="9"/>
  <c r="AB17" i="9"/>
  <c r="AC17" i="9"/>
  <c r="AD17" i="9"/>
  <c r="AC18" i="9"/>
  <c r="AD19" i="9"/>
  <c r="AB20" i="9"/>
  <c r="AB21" i="9"/>
  <c r="AC21" i="9"/>
  <c r="AD21" i="9"/>
  <c r="AB22" i="9"/>
  <c r="AC22" i="9"/>
  <c r="AD22" i="9"/>
  <c r="AC23" i="9"/>
  <c r="AB24" i="9"/>
  <c r="AC24" i="9"/>
  <c r="AD24" i="9"/>
  <c r="AB25" i="9"/>
  <c r="AC25" i="9"/>
  <c r="AD25" i="9"/>
  <c r="AB26" i="9"/>
  <c r="AC26" i="9"/>
  <c r="AD26" i="9"/>
  <c r="AD27" i="9"/>
  <c r="AB29" i="9"/>
  <c r="AC29" i="9"/>
  <c r="AD29" i="9"/>
  <c r="AB30" i="9"/>
  <c r="AC30" i="9"/>
  <c r="AD30" i="9"/>
  <c r="AB32" i="9"/>
  <c r="AC32" i="9"/>
  <c r="AD32" i="9"/>
  <c r="AB33" i="9"/>
  <c r="AC33" i="9"/>
  <c r="AD33" i="9"/>
  <c r="AD34" i="9"/>
  <c r="AB35" i="9"/>
  <c r="AB36" i="9"/>
  <c r="AB37" i="9"/>
  <c r="AB38" i="9"/>
  <c r="AC38" i="9"/>
  <c r="AD38" i="9"/>
  <c r="AC39" i="9"/>
  <c r="AB40" i="9"/>
  <c r="AC40" i="9"/>
  <c r="AD40" i="9"/>
  <c r="AB41" i="9"/>
  <c r="AC41" i="9"/>
  <c r="AD41" i="9"/>
  <c r="AB42" i="9"/>
  <c r="AD42" i="9"/>
  <c r="AB45" i="9"/>
  <c r="AC45" i="9"/>
  <c r="AB46" i="9"/>
  <c r="AC46" i="9"/>
  <c r="AD46" i="9"/>
  <c r="AC47" i="9"/>
  <c r="AB48" i="9"/>
  <c r="AC48" i="9"/>
  <c r="AD48" i="9"/>
  <c r="AB49" i="9"/>
  <c r="AC49" i="9"/>
  <c r="AD49" i="9"/>
  <c r="AB50" i="9"/>
  <c r="AC50" i="9"/>
  <c r="AD50" i="9"/>
  <c r="AB51" i="9"/>
  <c r="AC53" i="9"/>
  <c r="AD53" i="9"/>
  <c r="AB54" i="9"/>
  <c r="AC54" i="9"/>
  <c r="AD54" i="9"/>
  <c r="AB56" i="9"/>
  <c r="AC56" i="9"/>
  <c r="AD56" i="9"/>
  <c r="AB57" i="9"/>
  <c r="AC57" i="9"/>
  <c r="AD57" i="9"/>
  <c r="AB58" i="9"/>
  <c r="AD59" i="9"/>
  <c r="AD60" i="9"/>
  <c r="AC61" i="9"/>
  <c r="AB62" i="9"/>
  <c r="AC62" i="9"/>
  <c r="AD62" i="9"/>
  <c r="AD63" i="9"/>
  <c r="AB64" i="9"/>
  <c r="AC64" i="9"/>
  <c r="AD64" i="9"/>
  <c r="AB65" i="9"/>
  <c r="AC65" i="9"/>
  <c r="AD65" i="9"/>
  <c r="AB66" i="9"/>
  <c r="AC66" i="9"/>
  <c r="AD68" i="9"/>
  <c r="AB69" i="9"/>
  <c r="AC69" i="9"/>
  <c r="AD69" i="9"/>
  <c r="AB70" i="9"/>
  <c r="AC70" i="9"/>
  <c r="AD70" i="9"/>
  <c r="AB72" i="9"/>
  <c r="AC72" i="9"/>
  <c r="AD72" i="9"/>
  <c r="AB73" i="9"/>
  <c r="AC73" i="9"/>
  <c r="AD73" i="9"/>
  <c r="AC74" i="9"/>
  <c r="AB75" i="9"/>
  <c r="AD75" i="9"/>
  <c r="AD76" i="9"/>
  <c r="AD77" i="9"/>
  <c r="AB78" i="9"/>
  <c r="AC78" i="9"/>
  <c r="AD78" i="9"/>
  <c r="AB80" i="9"/>
  <c r="AC80" i="9"/>
  <c r="AD80" i="9"/>
  <c r="AB81" i="9"/>
  <c r="AC81" i="9"/>
  <c r="AD81" i="9"/>
  <c r="AC82" i="9"/>
  <c r="AB84" i="9"/>
  <c r="AB85" i="9"/>
  <c r="AD85" i="9"/>
  <c r="AB86" i="9"/>
  <c r="AC86" i="9"/>
  <c r="AD86" i="9"/>
  <c r="AD87" i="9"/>
  <c r="AB88" i="9"/>
  <c r="AC88" i="9"/>
  <c r="AD88" i="9"/>
  <c r="AB89" i="9"/>
  <c r="AC89" i="9"/>
  <c r="AD89" i="9"/>
  <c r="AC90" i="9"/>
  <c r="AD90" i="9"/>
  <c r="AD91" i="9"/>
  <c r="AB93" i="9"/>
  <c r="AC93" i="9"/>
  <c r="AD93" i="9"/>
  <c r="AB94" i="9"/>
  <c r="AC94" i="9"/>
  <c r="AD94" i="9"/>
  <c r="AB96" i="9"/>
  <c r="AC96" i="9"/>
  <c r="AD96" i="9"/>
  <c r="AB97" i="9"/>
  <c r="AC97" i="9"/>
  <c r="AD97" i="9"/>
  <c r="AB99" i="9"/>
  <c r="AD99" i="9"/>
  <c r="AB100" i="9"/>
  <c r="AB101" i="9"/>
  <c r="AB102" i="9"/>
  <c r="AC102" i="9"/>
  <c r="AD102" i="9"/>
  <c r="AB104" i="9"/>
  <c r="AC104" i="9"/>
  <c r="AD104" i="9"/>
  <c r="AB105" i="9"/>
  <c r="AC105" i="9"/>
  <c r="AD105" i="9"/>
  <c r="AB106" i="9"/>
  <c r="AB108" i="9"/>
  <c r="AD108" i="9"/>
  <c r="AB109" i="9"/>
  <c r="AC109" i="9"/>
  <c r="AB110" i="9"/>
  <c r="AC110" i="9"/>
  <c r="AD110" i="9"/>
  <c r="AD111" i="9"/>
  <c r="AB112" i="9"/>
  <c r="AC112" i="9"/>
  <c r="AD112" i="9"/>
  <c r="AB113" i="9"/>
  <c r="AC113" i="9"/>
  <c r="AD113" i="9"/>
  <c r="AC114" i="9"/>
  <c r="AD114" i="9"/>
  <c r="AB115" i="9"/>
  <c r="AD115" i="9"/>
  <c r="AB117" i="9"/>
  <c r="AC117" i="9"/>
  <c r="AD117" i="9"/>
  <c r="AB118" i="9"/>
  <c r="AC118" i="9"/>
  <c r="AD118" i="9"/>
  <c r="AD119" i="9"/>
  <c r="AB120" i="9"/>
  <c r="AC120" i="9"/>
  <c r="AD120" i="9"/>
  <c r="AB121" i="9"/>
  <c r="AC121" i="9"/>
  <c r="AD121" i="9"/>
  <c r="AC122" i="9"/>
  <c r="AD122" i="9"/>
  <c r="AB123" i="9"/>
  <c r="AC123" i="9"/>
  <c r="AB125" i="9"/>
  <c r="AC125" i="9"/>
  <c r="AD125" i="9"/>
  <c r="AB126" i="9"/>
  <c r="AC126" i="9"/>
  <c r="AD126" i="9"/>
  <c r="AB128" i="9"/>
  <c r="AC128" i="9"/>
  <c r="AD128" i="9"/>
  <c r="AB129" i="9"/>
  <c r="AC129" i="9"/>
  <c r="AD129" i="9"/>
  <c r="AC130" i="9"/>
  <c r="AD130" i="9"/>
  <c r="AC131" i="9"/>
  <c r="AB133" i="9"/>
  <c r="AC133" i="9"/>
  <c r="AD133" i="9"/>
  <c r="AB134" i="9"/>
  <c r="AC134" i="9"/>
  <c r="AD134" i="9"/>
  <c r="AD135" i="9"/>
  <c r="AB136" i="9"/>
  <c r="AC136" i="9"/>
  <c r="AD136" i="9"/>
  <c r="AB137" i="9"/>
  <c r="AC137" i="9"/>
  <c r="AD137" i="9"/>
  <c r="AC138" i="9"/>
  <c r="AD138" i="9"/>
  <c r="AC139" i="9"/>
  <c r="AB141" i="9"/>
  <c r="AC141" i="9"/>
  <c r="AD141" i="9"/>
  <c r="AB142" i="9"/>
  <c r="AC142" i="9"/>
  <c r="AD142" i="9"/>
  <c r="AD143" i="9"/>
  <c r="AB144" i="9"/>
  <c r="AC144" i="9"/>
  <c r="AD144" i="9"/>
  <c r="AB145" i="9"/>
  <c r="AC145" i="9"/>
  <c r="AD145" i="9"/>
  <c r="AD146" i="9"/>
  <c r="AB147" i="9"/>
  <c r="AC147" i="9"/>
  <c r="AB148" i="9"/>
  <c r="AB149" i="9"/>
  <c r="AC149" i="9"/>
  <c r="AD149" i="9"/>
  <c r="AB150" i="9"/>
  <c r="AC150" i="9"/>
  <c r="AD150" i="9"/>
  <c r="AB152" i="9"/>
  <c r="AC152" i="9"/>
  <c r="AD152" i="9"/>
  <c r="AB153" i="9"/>
  <c r="AC153" i="9"/>
  <c r="AD153" i="9"/>
  <c r="AC154" i="9"/>
  <c r="AD154" i="9"/>
  <c r="AB155" i="9"/>
  <c r="AC155" i="9"/>
  <c r="AB157" i="9"/>
  <c r="AC157" i="9"/>
  <c r="AD157" i="9"/>
  <c r="AB158" i="9"/>
  <c r="AC158" i="9"/>
  <c r="AD158" i="9"/>
  <c r="AB160" i="9"/>
  <c r="AC160" i="9"/>
  <c r="AD160" i="9"/>
  <c r="AB161" i="9"/>
  <c r="AC161" i="9"/>
  <c r="AD161" i="9"/>
  <c r="AC162" i="9"/>
  <c r="AD162" i="9"/>
  <c r="AC163" i="9"/>
  <c r="AB165" i="9"/>
  <c r="AC165" i="9"/>
  <c r="AD165" i="9"/>
  <c r="AB166" i="9"/>
  <c r="AC166" i="9"/>
  <c r="AD166" i="9"/>
  <c r="AB168" i="9"/>
  <c r="AC168" i="9"/>
  <c r="AD168" i="9"/>
  <c r="AB169" i="9"/>
  <c r="AC169" i="9"/>
  <c r="AD169" i="9"/>
  <c r="AC170" i="9"/>
  <c r="AD170" i="9"/>
  <c r="AC171" i="9"/>
  <c r="AB172" i="9"/>
  <c r="AB173" i="9"/>
  <c r="AC173" i="9"/>
  <c r="AD173" i="9"/>
  <c r="AB174" i="9"/>
  <c r="AC174" i="9"/>
  <c r="AD174" i="9"/>
  <c r="AD175" i="9"/>
  <c r="AB176" i="9"/>
  <c r="AC176" i="9"/>
  <c r="AD176" i="9"/>
  <c r="AB177" i="9"/>
  <c r="AC177" i="9"/>
  <c r="AD177" i="9"/>
  <c r="AD178" i="9"/>
  <c r="AB179" i="9"/>
  <c r="AC179" i="9"/>
  <c r="AB180" i="9"/>
  <c r="AB181" i="9"/>
  <c r="AC181" i="9"/>
  <c r="AD181" i="9"/>
  <c r="AB182" i="9"/>
  <c r="AC182" i="9"/>
  <c r="AD182" i="9"/>
  <c r="AD183" i="9"/>
  <c r="AB184" i="9"/>
  <c r="AC184" i="9"/>
  <c r="AD184" i="9"/>
  <c r="AB185" i="9"/>
  <c r="AC185" i="9"/>
  <c r="AD185" i="9"/>
  <c r="AC186" i="9"/>
  <c r="AD186" i="9"/>
  <c r="AB187" i="9"/>
  <c r="AC187" i="9"/>
  <c r="AB189" i="9"/>
  <c r="AC189" i="9"/>
  <c r="AD189" i="9"/>
  <c r="AB190" i="9"/>
  <c r="AC190" i="9"/>
  <c r="AD190" i="9"/>
  <c r="AB192" i="9"/>
  <c r="AC192" i="9"/>
  <c r="AD192" i="9"/>
  <c r="AB193" i="9"/>
  <c r="AC193" i="9"/>
  <c r="AD193" i="9"/>
  <c r="AC194" i="9"/>
  <c r="AD194" i="9"/>
  <c r="AC195" i="9"/>
  <c r="AB197" i="9"/>
  <c r="AC197" i="9"/>
  <c r="AD197" i="9"/>
  <c r="AB198" i="9"/>
  <c r="AC198" i="9"/>
  <c r="AD198" i="9"/>
  <c r="AD199" i="9"/>
  <c r="AB200" i="9"/>
  <c r="AC200" i="9"/>
  <c r="AD200" i="9"/>
  <c r="AB201" i="9"/>
  <c r="AC201" i="9"/>
  <c r="AD201" i="9"/>
  <c r="AC202" i="9"/>
  <c r="AD202" i="9"/>
  <c r="AC203" i="9"/>
  <c r="AB205" i="9"/>
  <c r="AC205" i="9"/>
  <c r="AD205" i="9"/>
  <c r="AB206" i="9"/>
  <c r="AC206" i="9"/>
  <c r="AD206" i="9"/>
  <c r="AD207" i="9"/>
  <c r="AB208" i="9"/>
  <c r="AC208" i="9"/>
  <c r="AD208" i="9"/>
  <c r="AB209" i="9"/>
  <c r="AC209" i="9"/>
  <c r="AD209" i="9"/>
  <c r="AD210" i="9"/>
  <c r="AB211" i="9"/>
  <c r="AC211" i="9"/>
  <c r="AB213" i="9"/>
  <c r="AC213" i="9"/>
  <c r="AD213" i="9"/>
  <c r="AB214" i="9"/>
  <c r="AC214" i="9"/>
  <c r="AD214" i="9"/>
  <c r="AB216" i="9"/>
  <c r="AC216" i="9"/>
  <c r="AD216" i="9"/>
  <c r="AB217" i="9"/>
  <c r="AC217" i="9"/>
  <c r="AD217" i="9"/>
  <c r="AC218" i="9"/>
  <c r="AD218" i="9"/>
  <c r="AB219" i="9"/>
  <c r="AC219" i="9"/>
  <c r="AB221" i="9"/>
  <c r="AC221" i="9"/>
  <c r="AD221" i="9"/>
  <c r="AB222" i="9"/>
  <c r="AC222" i="9"/>
  <c r="AD222" i="9"/>
  <c r="AB224" i="9"/>
  <c r="AC224" i="9"/>
  <c r="AD224" i="9"/>
  <c r="AB225" i="9"/>
  <c r="AC225" i="9"/>
  <c r="AD225" i="9"/>
  <c r="AC226" i="9"/>
  <c r="AD226" i="9"/>
  <c r="AC227" i="9"/>
  <c r="AB229" i="9"/>
  <c r="AC229" i="9"/>
  <c r="AD229" i="9"/>
  <c r="AB230" i="9"/>
  <c r="AC230" i="9"/>
  <c r="AD230" i="9"/>
  <c r="AB232" i="9"/>
  <c r="AC232" i="9"/>
  <c r="AD232" i="9"/>
  <c r="AB233" i="9"/>
  <c r="AC233" i="9"/>
  <c r="AD233" i="9"/>
  <c r="AC234" i="9"/>
  <c r="AD234" i="9"/>
  <c r="AC235" i="9"/>
  <c r="AB237" i="9"/>
  <c r="AC237" i="9"/>
  <c r="AD237" i="9"/>
  <c r="AB238" i="9"/>
  <c r="AC238" i="9"/>
  <c r="AD238" i="9"/>
  <c r="AD239" i="9"/>
  <c r="AB240" i="9"/>
  <c r="AC240" i="9"/>
  <c r="AD240" i="9"/>
  <c r="AB241" i="9"/>
  <c r="AC241" i="9"/>
  <c r="AD241" i="9"/>
  <c r="AD242" i="9"/>
  <c r="AB243" i="9"/>
  <c r="AC243" i="9"/>
  <c r="AB244" i="9"/>
  <c r="AB245" i="9"/>
  <c r="AC245" i="9"/>
  <c r="AD245" i="9"/>
  <c r="AB246" i="9"/>
  <c r="AC246" i="9"/>
  <c r="AD246" i="9"/>
  <c r="AD247" i="9"/>
  <c r="AB248" i="9"/>
  <c r="AC248" i="9"/>
  <c r="AD248" i="9"/>
  <c r="AB249" i="9"/>
  <c r="AC249" i="9"/>
  <c r="AD249" i="9"/>
  <c r="AC250" i="9"/>
  <c r="AD250" i="9"/>
  <c r="AB251" i="9"/>
  <c r="AC251" i="9"/>
  <c r="AB253" i="9"/>
  <c r="AC253" i="9"/>
  <c r="AD253" i="9"/>
  <c r="AB254" i="9"/>
  <c r="AC254" i="9"/>
  <c r="AD254" i="9"/>
  <c r="AD255" i="9"/>
  <c r="AB256" i="9"/>
  <c r="AC256" i="9"/>
  <c r="AD256" i="9"/>
  <c r="AB257" i="9"/>
  <c r="AC257" i="9"/>
  <c r="AD257" i="9"/>
  <c r="AC258" i="9"/>
  <c r="AD258" i="9"/>
  <c r="AC259" i="9"/>
  <c r="AB261" i="9"/>
  <c r="AC261" i="9"/>
  <c r="AD261" i="9"/>
  <c r="AB262" i="9"/>
  <c r="AC262" i="9"/>
  <c r="AD262" i="9"/>
  <c r="AD263" i="9"/>
  <c r="AB264" i="9"/>
  <c r="AC264" i="9"/>
  <c r="AD264" i="9"/>
  <c r="AB265" i="9"/>
  <c r="AC265" i="9"/>
  <c r="AD265" i="9"/>
  <c r="AC266" i="9"/>
  <c r="AD266" i="9"/>
  <c r="AC267" i="9"/>
  <c r="AB268" i="9"/>
  <c r="AB269" i="9"/>
  <c r="AC269" i="9"/>
  <c r="AD269" i="9"/>
  <c r="AB270" i="9"/>
  <c r="AC270" i="9"/>
  <c r="AD270" i="9"/>
  <c r="AB272" i="9"/>
  <c r="AC272" i="9"/>
  <c r="AD272" i="9"/>
  <c r="AB273" i="9"/>
  <c r="AC273" i="9"/>
  <c r="AD273" i="9"/>
  <c r="AD274" i="9"/>
  <c r="AB275" i="9"/>
  <c r="AC275" i="9"/>
  <c r="AB276" i="9"/>
  <c r="AB277" i="9"/>
  <c r="AC277" i="9"/>
  <c r="AD277" i="9"/>
  <c r="AB278" i="9"/>
  <c r="AC278" i="9"/>
  <c r="AD278" i="9"/>
  <c r="AD279" i="9"/>
  <c r="AB280" i="9"/>
  <c r="AC280" i="9"/>
  <c r="AD280" i="9"/>
  <c r="AB281" i="9"/>
  <c r="AC281" i="9"/>
  <c r="AD281" i="9"/>
  <c r="AC282" i="9"/>
  <c r="AD282" i="9"/>
  <c r="AB283" i="9"/>
  <c r="AC283" i="9"/>
  <c r="AB285" i="9"/>
  <c r="AC285" i="9"/>
  <c r="AD285" i="9"/>
  <c r="AB286" i="9"/>
  <c r="AC286" i="9"/>
  <c r="AD286" i="9"/>
  <c r="AD287" i="9"/>
  <c r="AB288" i="9"/>
  <c r="AC288" i="9"/>
  <c r="AD288" i="9"/>
  <c r="AB289" i="9"/>
  <c r="AC289" i="9"/>
  <c r="AD289" i="9"/>
  <c r="AC290" i="9"/>
  <c r="AD290" i="9"/>
  <c r="AC291" i="9"/>
  <c r="AB293" i="9"/>
  <c r="AC293" i="9"/>
  <c r="AD293" i="9"/>
  <c r="AB294" i="9"/>
  <c r="AC294" i="9"/>
  <c r="AD294" i="9"/>
  <c r="AD295" i="9"/>
  <c r="AB296" i="9"/>
  <c r="AC296" i="9"/>
  <c r="AD296" i="9"/>
  <c r="AB297" i="9"/>
  <c r="AC297" i="9"/>
  <c r="AD297" i="9"/>
  <c r="AC298" i="9"/>
  <c r="AD298" i="9"/>
  <c r="AC299" i="9"/>
  <c r="AB301" i="9"/>
  <c r="AC301" i="9"/>
  <c r="AD301" i="9"/>
  <c r="AB302" i="9"/>
  <c r="AC302" i="9"/>
  <c r="AD302" i="9"/>
  <c r="AD303" i="9"/>
  <c r="AB304" i="9"/>
  <c r="AC304" i="9"/>
  <c r="AD304" i="9"/>
  <c r="AB305" i="9"/>
  <c r="AC305" i="9"/>
  <c r="AD305" i="9"/>
  <c r="AD306" i="9"/>
  <c r="AB307" i="9"/>
  <c r="AC307" i="9"/>
  <c r="AB309" i="9"/>
  <c r="AC309" i="9"/>
  <c r="AD309" i="9"/>
  <c r="AB310" i="9"/>
  <c r="AC310" i="9"/>
  <c r="AD310" i="9"/>
  <c r="AB312" i="9"/>
  <c r="AC312" i="9"/>
  <c r="AD312" i="9"/>
  <c r="AB313" i="9"/>
  <c r="AC313" i="9"/>
  <c r="AD313" i="9"/>
  <c r="AC314" i="9"/>
  <c r="AD314" i="9"/>
  <c r="AB315" i="9"/>
  <c r="AC315" i="9"/>
  <c r="AB317" i="9"/>
  <c r="AC317" i="9"/>
  <c r="AD317" i="9"/>
  <c r="AB318" i="9"/>
  <c r="AC318" i="9"/>
  <c r="AD318" i="9"/>
  <c r="AD319" i="9"/>
  <c r="AB320" i="9"/>
  <c r="AC320" i="9"/>
  <c r="AD320" i="9"/>
  <c r="AB321" i="9"/>
  <c r="AC321" i="9"/>
  <c r="AD321" i="9"/>
  <c r="AC322" i="9"/>
  <c r="AD322" i="9"/>
  <c r="AC323" i="9"/>
  <c r="AB325" i="9"/>
  <c r="AC325" i="9"/>
  <c r="AD325" i="9"/>
  <c r="AB326" i="9"/>
  <c r="AC326" i="9"/>
  <c r="AD326" i="9"/>
  <c r="AD327" i="9"/>
  <c r="AB328" i="9"/>
  <c r="AC328" i="9"/>
  <c r="AD328" i="9"/>
  <c r="AB329" i="9"/>
  <c r="AC329" i="9"/>
  <c r="AD329" i="9"/>
  <c r="AD330" i="9"/>
  <c r="AC331" i="9"/>
  <c r="AB333" i="9"/>
  <c r="AC333" i="9"/>
  <c r="AD333" i="9"/>
  <c r="AB334" i="9"/>
  <c r="AC334" i="9"/>
  <c r="AD334" i="9"/>
  <c r="AD335" i="9"/>
  <c r="AB336" i="9"/>
  <c r="AC336" i="9"/>
  <c r="AD336" i="9"/>
  <c r="AB337" i="9"/>
  <c r="AC337" i="9"/>
  <c r="AD337" i="9"/>
  <c r="AD338" i="9"/>
  <c r="AB339" i="9"/>
  <c r="AC339" i="9"/>
  <c r="AB340" i="9"/>
  <c r="AB341" i="9"/>
  <c r="AC341" i="9"/>
  <c r="AD341" i="9"/>
  <c r="AB342" i="9"/>
  <c r="AC342" i="9"/>
  <c r="AD342" i="9"/>
  <c r="AB343" i="9"/>
  <c r="AB344" i="9"/>
  <c r="AC344" i="9"/>
  <c r="AD344" i="9"/>
  <c r="AB345" i="9"/>
  <c r="AC345" i="9"/>
  <c r="AD345" i="9"/>
  <c r="AC346" i="9"/>
  <c r="AD346" i="9"/>
  <c r="AC347" i="9"/>
  <c r="AC348" i="9"/>
  <c r="AB349" i="9"/>
  <c r="AC349" i="9"/>
  <c r="AD349" i="9"/>
  <c r="AB350" i="9"/>
  <c r="AC350" i="9"/>
  <c r="AD350" i="9"/>
  <c r="AD351" i="9"/>
  <c r="AB352" i="9"/>
  <c r="AC352" i="9"/>
  <c r="AD352" i="9"/>
  <c r="AB353" i="9"/>
  <c r="AC353" i="9"/>
  <c r="AD353" i="9"/>
  <c r="AD354" i="9"/>
  <c r="AB355" i="9"/>
  <c r="AC355" i="9"/>
  <c r="AB356" i="9"/>
  <c r="AB357" i="9"/>
  <c r="AC357" i="9"/>
  <c r="AD357" i="9"/>
  <c r="AB358" i="9"/>
  <c r="AC358" i="9"/>
  <c r="AD358" i="9"/>
  <c r="AB359" i="9"/>
  <c r="AB360" i="9"/>
  <c r="AC360" i="9"/>
  <c r="AD360" i="9"/>
  <c r="AB361" i="9"/>
  <c r="AC361" i="9"/>
  <c r="AD361" i="9"/>
  <c r="AC362" i="9"/>
  <c r="AD362" i="9"/>
  <c r="AC363" i="9"/>
  <c r="AB365" i="9"/>
  <c r="AC365" i="9"/>
  <c r="AD365" i="9"/>
  <c r="AB366" i="9"/>
  <c r="AC366" i="9"/>
  <c r="AD366" i="9"/>
  <c r="AD367" i="9"/>
  <c r="AB368" i="9"/>
  <c r="AC368" i="9"/>
  <c r="AD368" i="9"/>
  <c r="AB369" i="9"/>
  <c r="AC369" i="9"/>
  <c r="AD369" i="9"/>
  <c r="AD370" i="9"/>
  <c r="AB371" i="9"/>
  <c r="AC371" i="9"/>
  <c r="AB372" i="9"/>
  <c r="AB373" i="9"/>
  <c r="AC373" i="9"/>
  <c r="AD373" i="9"/>
  <c r="AB374" i="9"/>
  <c r="AC374" i="9"/>
  <c r="AD374" i="9"/>
  <c r="AB375" i="9"/>
  <c r="AB376" i="9"/>
  <c r="AC376" i="9"/>
  <c r="AD376" i="9"/>
  <c r="AB377" i="9"/>
  <c r="AC377" i="9"/>
  <c r="AD377" i="9"/>
  <c r="AC378" i="9"/>
  <c r="AD378" i="9"/>
  <c r="AC379" i="9"/>
  <c r="AB381" i="9"/>
  <c r="AC381" i="9"/>
  <c r="AD381" i="9"/>
  <c r="AB382" i="9"/>
  <c r="AC382" i="9"/>
  <c r="AD382" i="9"/>
  <c r="AD383" i="9"/>
  <c r="AB384" i="9"/>
  <c r="AC384" i="9"/>
  <c r="AD384" i="9"/>
  <c r="AB385" i="9"/>
  <c r="AC385" i="9"/>
  <c r="AD385" i="9"/>
  <c r="AD386" i="9"/>
  <c r="AB387" i="9"/>
  <c r="AC387" i="9"/>
  <c r="AB388" i="9"/>
  <c r="AB389" i="9"/>
  <c r="AC389" i="9"/>
  <c r="AD389" i="9"/>
  <c r="AB390" i="9"/>
  <c r="AC390" i="9"/>
  <c r="AD390" i="9"/>
  <c r="AB391" i="9"/>
  <c r="AB392" i="9"/>
  <c r="AC392" i="9"/>
  <c r="AD392" i="9"/>
  <c r="AB393" i="9"/>
  <c r="AC393" i="9"/>
  <c r="AD393" i="9"/>
  <c r="AC394" i="9"/>
  <c r="AD394" i="9"/>
  <c r="AC395" i="9"/>
  <c r="AB397" i="9"/>
  <c r="AC397" i="9"/>
  <c r="AD397" i="9"/>
  <c r="AB398" i="9"/>
  <c r="AC398" i="9"/>
  <c r="AD398" i="9"/>
  <c r="AD399" i="9"/>
  <c r="AB400" i="9"/>
  <c r="AC400" i="9"/>
  <c r="AD400" i="9"/>
  <c r="AB401" i="9"/>
  <c r="AC401" i="9"/>
  <c r="AD401" i="9"/>
  <c r="AD402" i="9"/>
  <c r="AB403" i="9"/>
  <c r="AC403" i="9"/>
  <c r="AB404" i="9"/>
  <c r="AB405" i="9"/>
  <c r="AC405" i="9"/>
  <c r="AD405" i="9"/>
  <c r="AB406" i="9"/>
  <c r="AC406" i="9"/>
  <c r="AD406" i="9"/>
  <c r="AB407" i="9"/>
  <c r="AB408" i="9"/>
  <c r="AC408" i="9"/>
  <c r="AD408" i="9"/>
  <c r="AB409" i="9"/>
  <c r="AC409" i="9"/>
  <c r="AD409" i="9"/>
  <c r="AC410" i="9"/>
  <c r="AD410" i="9"/>
  <c r="AC411" i="9"/>
  <c r="AB413" i="9"/>
  <c r="AC413" i="9"/>
  <c r="AD413" i="9"/>
  <c r="AB414" i="9"/>
  <c r="AC414" i="9"/>
  <c r="AD414" i="9"/>
  <c r="AD415" i="9"/>
  <c r="AB416" i="9"/>
  <c r="AC416" i="9"/>
  <c r="AD416" i="9"/>
  <c r="AB417" i="9"/>
  <c r="AC417" i="9"/>
  <c r="AD417" i="9"/>
  <c r="AD418" i="9"/>
  <c r="AB419" i="9"/>
  <c r="AC419" i="9"/>
  <c r="AD419" i="9"/>
  <c r="AB421" i="9"/>
  <c r="AC421" i="9"/>
  <c r="AD421" i="9"/>
  <c r="AB422" i="9"/>
  <c r="AC422" i="9"/>
  <c r="AD422" i="9"/>
  <c r="AB423" i="9"/>
  <c r="AB424" i="9"/>
  <c r="AC424" i="9"/>
  <c r="AD424" i="9"/>
  <c r="AB425" i="9"/>
  <c r="AC425" i="9"/>
  <c r="AD425" i="9"/>
  <c r="AC426" i="9"/>
  <c r="AB427" i="9"/>
  <c r="AB429" i="9"/>
  <c r="AC429" i="9"/>
  <c r="AD429" i="9"/>
  <c r="AB430" i="9"/>
  <c r="AC430" i="9"/>
  <c r="AD430" i="9"/>
  <c r="AB431" i="9"/>
  <c r="AD431" i="9"/>
  <c r="AB432" i="9"/>
  <c r="AC432" i="9"/>
  <c r="AD432" i="9"/>
  <c r="AB433" i="9"/>
  <c r="AC433" i="9"/>
  <c r="AD433" i="9"/>
  <c r="AC434" i="9"/>
  <c r="AD434" i="9"/>
  <c r="AB435" i="9"/>
  <c r="AB436" i="9"/>
  <c r="AB437" i="9"/>
  <c r="AC437" i="9"/>
  <c r="AD437" i="9"/>
  <c r="AB438" i="9"/>
  <c r="AC438" i="9"/>
  <c r="AD438" i="9"/>
  <c r="AB440" i="9"/>
  <c r="AC440" i="9"/>
  <c r="AD440" i="9"/>
  <c r="AB441" i="9"/>
  <c r="AC441" i="9"/>
  <c r="AD441" i="9"/>
  <c r="AC442" i="9"/>
  <c r="AC443" i="9"/>
  <c r="AD443" i="9"/>
  <c r="AB444" i="9"/>
  <c r="AB445" i="9"/>
  <c r="AC445" i="9"/>
  <c r="AD445" i="9"/>
  <c r="AB446" i="9"/>
  <c r="AC446" i="9"/>
  <c r="AD446" i="9"/>
  <c r="AB447" i="9"/>
  <c r="AB448" i="9"/>
  <c r="AC448" i="9"/>
  <c r="AD448" i="9"/>
  <c r="AB449" i="9"/>
  <c r="AC449" i="9"/>
  <c r="AD449" i="9"/>
  <c r="AC450" i="9"/>
  <c r="AD450" i="9"/>
  <c r="AB451" i="9"/>
  <c r="AC451" i="9"/>
  <c r="AB452" i="9"/>
  <c r="AB453" i="9"/>
  <c r="AC453" i="9"/>
  <c r="AD453" i="9"/>
  <c r="AB454" i="9"/>
  <c r="AC454" i="9"/>
  <c r="AD454" i="9"/>
  <c r="AB455" i="9"/>
  <c r="AB456" i="9"/>
  <c r="AC456" i="9"/>
  <c r="AD456" i="9"/>
  <c r="AB457" i="9"/>
  <c r="AC457" i="9"/>
  <c r="AD457" i="9"/>
  <c r="AC458" i="9"/>
  <c r="AD458" i="9"/>
  <c r="AB459" i="9"/>
  <c r="AC459" i="9"/>
  <c r="AD459" i="9"/>
  <c r="AB461" i="9"/>
  <c r="AC461" i="9"/>
  <c r="AD461" i="9"/>
  <c r="AB462" i="9"/>
  <c r="AC462" i="9"/>
  <c r="AD462" i="9"/>
  <c r="AD463" i="9"/>
  <c r="AB464" i="9"/>
  <c r="AC464" i="9"/>
  <c r="AD464" i="9"/>
  <c r="AB465" i="9"/>
  <c r="AC465" i="9"/>
  <c r="AD465" i="9"/>
  <c r="AC466" i="9"/>
  <c r="AD466" i="9"/>
  <c r="AC467" i="9"/>
  <c r="AD467" i="9"/>
  <c r="AC468" i="9"/>
  <c r="AB469" i="9"/>
  <c r="AC469" i="9"/>
  <c r="AD469" i="9"/>
  <c r="AB470" i="9"/>
  <c r="AC470" i="9"/>
  <c r="AD470" i="9"/>
  <c r="AD471" i="9"/>
  <c r="AB472" i="9"/>
  <c r="AC472" i="9"/>
  <c r="AD472" i="9"/>
  <c r="AB473" i="9"/>
  <c r="AC473" i="9"/>
  <c r="AD473" i="9"/>
  <c r="AC474" i="9"/>
  <c r="AD474" i="9"/>
  <c r="AB475" i="9"/>
  <c r="AC475" i="9"/>
  <c r="AB477" i="9"/>
  <c r="AC477" i="9"/>
  <c r="AD477" i="9"/>
  <c r="AB478" i="9"/>
  <c r="AC478" i="9"/>
  <c r="AD478" i="9"/>
  <c r="AB479" i="9"/>
  <c r="AC479" i="9"/>
  <c r="AD479" i="9"/>
  <c r="AB480" i="9"/>
  <c r="AC480" i="9"/>
  <c r="AD480" i="9"/>
  <c r="AB481" i="9"/>
  <c r="AC481" i="9"/>
  <c r="AD481" i="9"/>
  <c r="AB482" i="9"/>
  <c r="AC482" i="9"/>
  <c r="AD482" i="9"/>
  <c r="AB483" i="9"/>
  <c r="AC483" i="9"/>
  <c r="AD483" i="9"/>
  <c r="AB485" i="9"/>
  <c r="AC485" i="9"/>
  <c r="AD485" i="9"/>
  <c r="AB486" i="9"/>
  <c r="AC486" i="9"/>
  <c r="AD486" i="9"/>
  <c r="AC487" i="9"/>
  <c r="AD487" i="9"/>
  <c r="AB488" i="9"/>
  <c r="AC488" i="9"/>
  <c r="AD488" i="9"/>
  <c r="AB489" i="9"/>
  <c r="AC489" i="9"/>
  <c r="AD489" i="9"/>
  <c r="AB490" i="9"/>
  <c r="AC490" i="9"/>
  <c r="AD490" i="9"/>
  <c r="AC491" i="9"/>
  <c r="AD491" i="9"/>
  <c r="AC492" i="9"/>
  <c r="AB493" i="9"/>
  <c r="AC493" i="9"/>
  <c r="AD493" i="9"/>
  <c r="AB494" i="9"/>
  <c r="AC494" i="9"/>
  <c r="AD494" i="9"/>
  <c r="AB495" i="9"/>
  <c r="AD495" i="9"/>
  <c r="AB496" i="9"/>
  <c r="AC496" i="9"/>
  <c r="AD496" i="9"/>
  <c r="AB497" i="9"/>
  <c r="AC497" i="9"/>
  <c r="AD497" i="9"/>
  <c r="AB498" i="9"/>
  <c r="AC498" i="9"/>
  <c r="AD498" i="9"/>
  <c r="AB499" i="9"/>
  <c r="AD499" i="9"/>
  <c r="AD500" i="9"/>
  <c r="AB501" i="9"/>
  <c r="AC501" i="9"/>
  <c r="AD501" i="9"/>
  <c r="AB502" i="9"/>
  <c r="AC502" i="9"/>
  <c r="AD502" i="9"/>
  <c r="AB503" i="9"/>
  <c r="AC503" i="9"/>
  <c r="AB504" i="9"/>
  <c r="AC504" i="9"/>
  <c r="AD504" i="9"/>
  <c r="AB505" i="9"/>
  <c r="AC505" i="9"/>
  <c r="AD505" i="9"/>
  <c r="AB506" i="9"/>
  <c r="AC506" i="9"/>
  <c r="AD506" i="9"/>
  <c r="AB507" i="9"/>
  <c r="AC507" i="9"/>
  <c r="AC508" i="9"/>
  <c r="AD508" i="9"/>
  <c r="AB509" i="9"/>
  <c r="AC509" i="9"/>
  <c r="AD509" i="9"/>
  <c r="AB510" i="9"/>
  <c r="AC510" i="9"/>
  <c r="AD510" i="9"/>
  <c r="AB511" i="9"/>
  <c r="AC511" i="9"/>
  <c r="AD511" i="9"/>
  <c r="AB512" i="9"/>
  <c r="AC512" i="9"/>
  <c r="AD512" i="9"/>
  <c r="AB513" i="9"/>
  <c r="AC513" i="9"/>
  <c r="AD513" i="9"/>
  <c r="AB514" i="9"/>
  <c r="AC514" i="9"/>
  <c r="AD514" i="9"/>
  <c r="AB515" i="9"/>
  <c r="AC515" i="9"/>
  <c r="AD515" i="9"/>
  <c r="AD516" i="9"/>
  <c r="AB517" i="9"/>
  <c r="AC517" i="9"/>
  <c r="AD517" i="9"/>
  <c r="AB518" i="9"/>
  <c r="AC518" i="9"/>
  <c r="AD518" i="9"/>
  <c r="AC519" i="9"/>
  <c r="AD519" i="9"/>
  <c r="AB520" i="9"/>
  <c r="AC520" i="9"/>
  <c r="AD520" i="9"/>
  <c r="AB521" i="9"/>
  <c r="AC521" i="9"/>
  <c r="AD521" i="9"/>
  <c r="AB522" i="9"/>
  <c r="AC522" i="9"/>
  <c r="AD522" i="9"/>
  <c r="AC523" i="9"/>
  <c r="AD523" i="9"/>
  <c r="AC524" i="9"/>
  <c r="AD524" i="9"/>
  <c r="AB525" i="9"/>
  <c r="AC525" i="9"/>
  <c r="AD525" i="9"/>
  <c r="AB526" i="9"/>
  <c r="AC526" i="9"/>
  <c r="AD526" i="9"/>
  <c r="AB527" i="9"/>
  <c r="AC527" i="9"/>
  <c r="AD527" i="9"/>
  <c r="AB528" i="9"/>
  <c r="AC528" i="9"/>
  <c r="AD528" i="9"/>
  <c r="AB529" i="9"/>
  <c r="AC529" i="9"/>
  <c r="AD529" i="9"/>
  <c r="AB530" i="9"/>
  <c r="AC530" i="9"/>
  <c r="AD530" i="9"/>
  <c r="AB531" i="9"/>
  <c r="AD531" i="9"/>
  <c r="AD532" i="9"/>
  <c r="AB533" i="9"/>
  <c r="AC533" i="9"/>
  <c r="AD533" i="9"/>
  <c r="AB534" i="9"/>
  <c r="AC534" i="9"/>
  <c r="AD534" i="9"/>
  <c r="AB535" i="9"/>
  <c r="AC535" i="9"/>
  <c r="AD535" i="9"/>
  <c r="AB536" i="9"/>
  <c r="AC536" i="9"/>
  <c r="AD536" i="9"/>
  <c r="AB537" i="9"/>
  <c r="AC537" i="9"/>
  <c r="AD537" i="9"/>
  <c r="AB538" i="9"/>
  <c r="AC538" i="9"/>
  <c r="AD538" i="9"/>
  <c r="AB539" i="9"/>
  <c r="AC539" i="9"/>
  <c r="AB541" i="9"/>
  <c r="AC541" i="9"/>
  <c r="AD541" i="9"/>
  <c r="AB542" i="9"/>
  <c r="AC542" i="9"/>
  <c r="AD542" i="9"/>
  <c r="AB543" i="9"/>
  <c r="AC543" i="9"/>
  <c r="AD543" i="9"/>
  <c r="AB544" i="9"/>
  <c r="AC544" i="9"/>
  <c r="AD544" i="9"/>
  <c r="AB545" i="9"/>
  <c r="AC545" i="9"/>
  <c r="AD545" i="9"/>
  <c r="AB546" i="9"/>
  <c r="AC546" i="9"/>
  <c r="AD546" i="9"/>
  <c r="AB547" i="9"/>
  <c r="AC547" i="9"/>
  <c r="AD547" i="9"/>
  <c r="AB549" i="9"/>
  <c r="AC549" i="9"/>
  <c r="AD549" i="9"/>
  <c r="AB550" i="9"/>
  <c r="AC550" i="9"/>
  <c r="AD550" i="9"/>
  <c r="AC551" i="9"/>
  <c r="AD551" i="9"/>
  <c r="AB552" i="9"/>
  <c r="AC552" i="9"/>
  <c r="AD552" i="9"/>
  <c r="AB553" i="9"/>
  <c r="AC553" i="9"/>
  <c r="AD553" i="9"/>
  <c r="AB554" i="9"/>
  <c r="AC554" i="9"/>
  <c r="AD554" i="9"/>
  <c r="AB555" i="9"/>
  <c r="AC555" i="9"/>
  <c r="AD555" i="9"/>
  <c r="AC556" i="9"/>
  <c r="AB557" i="9"/>
  <c r="AC557" i="9"/>
  <c r="AD557" i="9"/>
  <c r="AB558" i="9"/>
  <c r="AC558" i="9"/>
  <c r="AD558" i="9"/>
  <c r="AB559" i="9"/>
  <c r="AD559" i="9"/>
  <c r="AB560" i="9"/>
  <c r="AC560" i="9"/>
  <c r="AD560" i="9"/>
  <c r="AB561" i="9"/>
  <c r="AC561" i="9"/>
  <c r="AD561" i="9"/>
  <c r="AB562" i="9"/>
  <c r="AC562" i="9"/>
  <c r="AD562" i="9"/>
  <c r="AB563" i="9"/>
  <c r="AC563" i="9"/>
  <c r="AD563" i="9"/>
  <c r="AC564" i="9"/>
  <c r="AD564" i="9"/>
  <c r="AB565" i="9"/>
  <c r="AC565" i="9"/>
  <c r="AD565" i="9"/>
  <c r="AB566" i="9"/>
  <c r="AC566" i="9"/>
  <c r="AD566" i="9"/>
  <c r="AB567" i="9"/>
  <c r="AC567" i="9"/>
  <c r="AB568" i="9"/>
  <c r="AC568" i="9"/>
  <c r="AD568" i="9"/>
  <c r="AB569" i="9"/>
  <c r="AC569" i="9"/>
  <c r="AD569" i="9"/>
  <c r="AB570" i="9"/>
  <c r="AC570" i="9"/>
  <c r="AD570" i="9"/>
  <c r="AB571" i="9"/>
  <c r="AC571" i="9"/>
  <c r="AD571" i="9"/>
  <c r="AC572" i="9"/>
  <c r="AD572" i="9"/>
  <c r="AB573" i="9"/>
  <c r="AC573" i="9"/>
  <c r="AD573" i="9"/>
  <c r="AB574" i="9"/>
  <c r="AC574" i="9"/>
  <c r="AD574" i="9"/>
  <c r="AB575" i="9"/>
  <c r="AC575" i="9"/>
  <c r="AD575" i="9"/>
  <c r="AB576" i="9"/>
  <c r="AC576" i="9"/>
  <c r="AD576" i="9"/>
  <c r="AB577" i="9"/>
  <c r="AC577" i="9"/>
  <c r="AD577" i="9"/>
  <c r="AB578" i="9"/>
  <c r="AC578" i="9"/>
  <c r="AD578" i="9"/>
  <c r="AB579" i="9"/>
  <c r="AC579" i="9"/>
  <c r="AD579" i="9"/>
  <c r="AC580" i="9"/>
  <c r="AD580" i="9"/>
  <c r="AB581" i="9"/>
  <c r="AC581" i="9"/>
  <c r="AD581" i="9"/>
  <c r="AB582" i="9"/>
  <c r="AC582" i="9"/>
  <c r="AD582" i="9"/>
  <c r="AB583" i="9"/>
  <c r="AC583" i="9"/>
  <c r="AD583" i="9"/>
  <c r="AB584" i="9"/>
  <c r="AC584" i="9"/>
  <c r="AD584" i="9"/>
  <c r="AB585" i="9"/>
  <c r="AC585" i="9"/>
  <c r="AD585" i="9"/>
  <c r="AB586" i="9"/>
  <c r="AC586" i="9"/>
  <c r="AD586" i="9"/>
  <c r="AC587" i="9"/>
  <c r="AD587" i="9"/>
  <c r="AC588" i="9"/>
  <c r="AD588" i="9"/>
  <c r="AB589" i="9"/>
  <c r="AC589" i="9"/>
  <c r="AD589" i="9"/>
  <c r="AB590" i="9"/>
  <c r="AC590" i="9"/>
  <c r="AD590" i="9"/>
  <c r="AB591" i="9"/>
  <c r="AC591" i="9"/>
  <c r="AD591" i="9"/>
  <c r="AB592" i="9"/>
  <c r="AC592" i="9"/>
  <c r="AD592" i="9"/>
  <c r="AB593" i="9"/>
  <c r="AC593" i="9"/>
  <c r="AD593" i="9"/>
  <c r="AB594" i="9"/>
  <c r="AC594" i="9"/>
  <c r="AD594" i="9"/>
  <c r="AB595" i="9"/>
  <c r="AD595" i="9"/>
  <c r="AD596" i="9"/>
  <c r="AB597" i="9"/>
  <c r="AC597" i="9"/>
  <c r="AD597" i="9"/>
  <c r="AB598" i="9"/>
  <c r="AC598" i="9"/>
  <c r="AD598" i="9"/>
  <c r="AB599" i="9"/>
  <c r="AC599" i="9"/>
  <c r="AD599" i="9"/>
  <c r="AB600" i="9"/>
  <c r="AC600" i="9"/>
  <c r="AD600" i="9"/>
  <c r="AB601" i="9"/>
  <c r="AC601" i="9"/>
  <c r="AD601" i="9"/>
  <c r="AB602" i="9"/>
  <c r="AC602" i="9"/>
  <c r="AD602" i="9"/>
  <c r="AB603" i="9"/>
  <c r="AC603" i="9"/>
  <c r="AB605" i="9"/>
  <c r="AC605" i="9"/>
  <c r="AD605" i="9"/>
  <c r="AB606" i="9"/>
  <c r="AC606" i="9"/>
  <c r="AD606" i="9"/>
  <c r="AB607" i="9"/>
  <c r="AC607" i="9"/>
  <c r="AD607" i="9"/>
  <c r="AB608" i="9"/>
  <c r="AC608" i="9"/>
  <c r="AD608" i="9"/>
  <c r="AB609" i="9"/>
  <c r="AC609" i="9"/>
  <c r="AD609" i="9"/>
  <c r="AB610" i="9"/>
  <c r="AC610" i="9"/>
  <c r="AD610" i="9"/>
  <c r="AB611" i="9"/>
  <c r="AC611" i="9"/>
  <c r="AD611" i="9"/>
  <c r="AB613" i="9"/>
  <c r="AC613" i="9"/>
  <c r="AD613" i="9"/>
  <c r="AB614" i="9"/>
  <c r="AC614" i="9"/>
  <c r="AD614" i="9"/>
  <c r="AC615" i="9"/>
  <c r="AD615" i="9"/>
  <c r="AB616" i="9"/>
  <c r="AC616" i="9"/>
  <c r="AD616" i="9"/>
  <c r="AB617" i="9"/>
  <c r="AC617" i="9"/>
  <c r="AD617" i="9"/>
  <c r="AB618" i="9"/>
  <c r="AC618" i="9"/>
  <c r="AD618" i="9"/>
  <c r="AB619" i="9"/>
  <c r="AC619" i="9"/>
  <c r="AD619" i="9"/>
  <c r="AC620" i="9"/>
  <c r="AB621" i="9"/>
  <c r="AC621" i="9"/>
  <c r="AD621" i="9"/>
  <c r="AB622" i="9"/>
  <c r="AC622" i="9"/>
  <c r="AD622" i="9"/>
  <c r="AB623" i="9"/>
  <c r="AD623" i="9"/>
  <c r="AB624" i="9"/>
  <c r="AC624" i="9"/>
  <c r="AD624" i="9"/>
  <c r="AB625" i="9"/>
  <c r="AC625" i="9"/>
  <c r="AD625" i="9"/>
  <c r="AB626" i="9"/>
  <c r="AC626" i="9"/>
  <c r="AD626" i="9"/>
  <c r="AB627" i="9"/>
  <c r="AC627" i="9"/>
  <c r="AD627" i="9"/>
  <c r="AC628" i="9"/>
  <c r="AD628" i="9"/>
  <c r="AB629" i="9"/>
  <c r="AC629" i="9"/>
  <c r="AD629" i="9"/>
  <c r="AB630" i="9"/>
  <c r="AC630" i="9"/>
  <c r="AD630" i="9"/>
  <c r="AB631" i="9"/>
  <c r="AC631" i="9"/>
  <c r="AB632" i="9"/>
  <c r="AC632" i="9"/>
  <c r="AD632" i="9"/>
  <c r="AB633" i="9"/>
  <c r="AC633" i="9"/>
  <c r="AD633" i="9"/>
  <c r="AB634" i="9"/>
  <c r="AC634" i="9"/>
  <c r="AD634" i="9"/>
  <c r="AB635" i="9"/>
  <c r="AC635" i="9"/>
  <c r="AD635" i="9"/>
  <c r="AC636" i="9"/>
  <c r="AD636" i="9"/>
  <c r="AB637" i="9"/>
  <c r="AC637" i="9"/>
  <c r="AD637" i="9"/>
  <c r="AB638" i="9"/>
  <c r="AC638" i="9"/>
  <c r="AD638" i="9"/>
  <c r="AB639" i="9"/>
  <c r="AC639" i="9"/>
  <c r="AD639" i="9"/>
  <c r="AB640" i="9"/>
  <c r="AC640" i="9"/>
  <c r="AD640" i="9"/>
  <c r="AB641" i="9"/>
  <c r="AC641" i="9"/>
  <c r="AD641" i="9"/>
  <c r="AB642" i="9"/>
  <c r="AC642" i="9"/>
  <c r="AD642" i="9"/>
  <c r="AB643" i="9"/>
  <c r="AC643" i="9"/>
  <c r="AD643" i="9"/>
  <c r="AC644" i="9"/>
  <c r="AD644" i="9"/>
  <c r="AB645" i="9"/>
  <c r="AC645" i="9"/>
  <c r="AD645" i="9"/>
  <c r="AB646" i="9"/>
  <c r="AC646" i="9"/>
  <c r="AD646" i="9"/>
  <c r="AB647" i="9"/>
  <c r="AC647" i="9"/>
  <c r="AD647" i="9"/>
  <c r="AB648" i="9"/>
  <c r="AC648" i="9"/>
  <c r="AD648" i="9"/>
  <c r="AB649" i="9"/>
  <c r="AC649" i="9"/>
  <c r="AD649" i="9"/>
  <c r="AB650" i="9"/>
  <c r="AC650" i="9"/>
  <c r="AD650" i="9"/>
  <c r="AB651" i="9"/>
  <c r="AC651" i="9"/>
  <c r="AD651" i="9"/>
  <c r="AB652" i="9"/>
  <c r="AC652" i="9"/>
  <c r="AD652" i="9"/>
  <c r="AB653" i="9"/>
  <c r="AC653" i="9"/>
  <c r="AD653" i="9"/>
  <c r="AB654" i="9"/>
  <c r="AC654" i="9"/>
  <c r="AD654" i="9"/>
  <c r="AB655" i="9"/>
  <c r="AC655" i="9"/>
  <c r="AD655" i="9"/>
  <c r="AB656" i="9"/>
  <c r="AC656" i="9"/>
  <c r="AD656" i="9"/>
  <c r="AB657" i="9"/>
  <c r="AC657" i="9"/>
  <c r="AD657" i="9"/>
  <c r="AB658" i="9"/>
  <c r="AC658" i="9"/>
  <c r="AD658" i="9"/>
  <c r="AB659" i="9"/>
  <c r="AC659" i="9"/>
  <c r="AD659" i="9"/>
  <c r="AB660" i="9"/>
  <c r="AC660" i="9"/>
  <c r="AD660" i="9"/>
  <c r="AB661" i="9"/>
  <c r="AC661" i="9"/>
  <c r="AD661" i="9"/>
  <c r="AB662" i="9"/>
  <c r="AC662" i="9"/>
  <c r="AD662" i="9"/>
  <c r="AB663" i="9"/>
  <c r="AC663" i="9"/>
  <c r="AD663" i="9"/>
  <c r="AB664" i="9"/>
  <c r="AC664" i="9"/>
  <c r="AD664" i="9"/>
  <c r="AB665" i="9"/>
  <c r="AC665" i="9"/>
  <c r="AD665" i="9"/>
  <c r="AB666" i="9"/>
  <c r="AC666" i="9"/>
  <c r="AD666" i="9"/>
  <c r="AB667" i="9"/>
  <c r="AC667" i="9"/>
  <c r="AD667" i="9"/>
  <c r="AB668" i="9"/>
  <c r="AC668" i="9"/>
  <c r="AD668" i="9"/>
  <c r="AB669" i="9"/>
  <c r="AC669" i="9"/>
  <c r="AD669" i="9"/>
  <c r="AB670" i="9"/>
  <c r="AC670" i="9"/>
  <c r="AD670" i="9"/>
  <c r="AB671" i="9"/>
  <c r="AC671" i="9"/>
  <c r="AD671" i="9"/>
  <c r="AB672" i="9"/>
  <c r="AC672" i="9"/>
  <c r="AD672" i="9"/>
  <c r="AB673" i="9"/>
  <c r="AC673" i="9"/>
  <c r="AD673" i="9"/>
  <c r="AB674" i="9"/>
  <c r="AC674" i="9"/>
  <c r="AD674" i="9"/>
  <c r="AB675" i="9"/>
  <c r="AC675" i="9"/>
  <c r="AD675" i="9"/>
  <c r="AB676" i="9"/>
  <c r="AC676" i="9"/>
  <c r="AD676" i="9"/>
  <c r="AB677" i="9"/>
  <c r="AC677" i="9"/>
  <c r="AD677" i="9"/>
  <c r="AB678" i="9"/>
  <c r="AC678" i="9"/>
  <c r="AD678" i="9"/>
  <c r="AB679" i="9"/>
  <c r="AC679" i="9"/>
  <c r="AD679" i="9"/>
  <c r="AB680" i="9"/>
  <c r="AC680" i="9"/>
  <c r="AD680" i="9"/>
  <c r="AB681" i="9"/>
  <c r="AC681" i="9"/>
  <c r="AD681" i="9"/>
  <c r="AB682" i="9"/>
  <c r="AC682" i="9"/>
  <c r="AD682" i="9"/>
  <c r="AB683" i="9"/>
  <c r="AC683" i="9"/>
  <c r="AD683" i="9"/>
  <c r="AB684" i="9"/>
  <c r="AC684" i="9"/>
  <c r="AD684" i="9"/>
  <c r="AB685" i="9"/>
  <c r="AC685" i="9"/>
  <c r="AD685" i="9"/>
  <c r="AB686" i="9"/>
  <c r="AC686" i="9"/>
  <c r="AD686" i="9"/>
  <c r="AB687" i="9"/>
  <c r="AC687" i="9"/>
  <c r="AD687" i="9"/>
  <c r="AB688" i="9"/>
  <c r="AC688" i="9"/>
  <c r="AD688" i="9"/>
  <c r="AB689" i="9"/>
  <c r="AC689" i="9"/>
  <c r="AD689" i="9"/>
  <c r="AB690" i="9"/>
  <c r="AC690" i="9"/>
  <c r="AD690" i="9"/>
  <c r="AB691" i="9"/>
  <c r="AC691" i="9"/>
  <c r="AD691" i="9"/>
  <c r="AB692" i="9"/>
  <c r="AC692" i="9"/>
  <c r="AD692" i="9"/>
  <c r="AB693" i="9"/>
  <c r="AC693" i="9"/>
  <c r="AD693" i="9"/>
  <c r="AB694" i="9"/>
  <c r="AC694" i="9"/>
  <c r="AD694" i="9"/>
  <c r="AB695" i="9"/>
  <c r="AC695" i="9"/>
  <c r="AD695" i="9"/>
  <c r="AB696" i="9"/>
  <c r="AC696" i="9"/>
  <c r="AD696" i="9"/>
  <c r="AB697" i="9"/>
  <c r="AC697" i="9"/>
  <c r="AD697" i="9"/>
  <c r="AB698" i="9"/>
  <c r="AC698" i="9"/>
  <c r="AD698" i="9"/>
  <c r="AB699" i="9"/>
  <c r="AC699" i="9"/>
  <c r="AD699" i="9"/>
  <c r="AB700" i="9"/>
  <c r="AC700" i="9"/>
  <c r="AD700" i="9"/>
  <c r="AB701" i="9"/>
  <c r="AC701" i="9"/>
  <c r="AD701" i="9"/>
  <c r="AB702" i="9"/>
  <c r="AC702" i="9"/>
  <c r="AD702" i="9"/>
  <c r="AB703" i="9"/>
  <c r="AC703" i="9"/>
  <c r="AD703" i="9"/>
  <c r="AB704" i="9"/>
  <c r="AC704" i="9"/>
  <c r="AD704" i="9"/>
  <c r="AB705" i="9"/>
  <c r="AC705" i="9"/>
  <c r="AD705" i="9"/>
  <c r="AB706" i="9"/>
  <c r="AC706" i="9"/>
  <c r="AD706" i="9"/>
  <c r="AB707" i="9"/>
  <c r="AC707" i="9"/>
  <c r="AD707" i="9"/>
  <c r="AB708" i="9"/>
  <c r="AC708" i="9"/>
  <c r="AD708" i="9"/>
  <c r="AB709" i="9"/>
  <c r="AC709" i="9"/>
  <c r="AD709" i="9"/>
  <c r="AB710" i="9"/>
  <c r="AC710" i="9"/>
  <c r="AD710" i="9"/>
  <c r="AB711" i="9"/>
  <c r="AC711" i="9"/>
  <c r="AD711" i="9"/>
  <c r="AB712" i="9"/>
  <c r="AC712" i="9"/>
  <c r="AD712" i="9"/>
  <c r="AB713" i="9"/>
  <c r="AC713" i="9"/>
  <c r="AD713" i="9"/>
  <c r="AB714" i="9"/>
  <c r="AC714" i="9"/>
  <c r="AD714" i="9"/>
  <c r="AB715" i="9"/>
  <c r="AC715" i="9"/>
  <c r="AD715" i="9"/>
  <c r="AB716" i="9"/>
  <c r="AC716" i="9"/>
  <c r="AD716" i="9"/>
  <c r="AB717" i="9"/>
  <c r="AC717" i="9"/>
  <c r="AD717" i="9"/>
  <c r="AB718" i="9"/>
  <c r="AC718" i="9"/>
  <c r="AD718" i="9"/>
  <c r="AB719" i="9"/>
  <c r="AC719" i="9"/>
  <c r="AD719" i="9"/>
  <c r="AB720" i="9"/>
  <c r="AC720" i="9"/>
  <c r="AD720" i="9"/>
  <c r="AB721" i="9"/>
  <c r="AC721" i="9"/>
  <c r="AD721" i="9"/>
  <c r="AB722" i="9"/>
  <c r="AC722" i="9"/>
  <c r="AD722" i="9"/>
  <c r="AB723" i="9"/>
  <c r="AC723" i="9"/>
  <c r="AD723" i="9"/>
  <c r="AB724" i="9"/>
  <c r="AC724" i="9"/>
  <c r="AD724" i="9"/>
  <c r="AB725" i="9"/>
  <c r="AC725" i="9"/>
  <c r="AD725" i="9"/>
  <c r="AB726" i="9"/>
  <c r="AC726" i="9"/>
  <c r="AD726" i="9"/>
  <c r="AB727" i="9"/>
  <c r="AC727" i="9"/>
  <c r="AD727" i="9"/>
  <c r="AB728" i="9"/>
  <c r="AC728" i="9"/>
  <c r="AD728" i="9"/>
  <c r="AB729" i="9"/>
  <c r="AC729" i="9"/>
  <c r="AD729" i="9"/>
  <c r="AB730" i="9"/>
  <c r="AC730" i="9"/>
  <c r="AD730" i="9"/>
  <c r="AB731" i="9"/>
  <c r="AC731" i="9"/>
  <c r="AD731" i="9"/>
  <c r="AB732" i="9"/>
  <c r="AC732" i="9"/>
  <c r="AD732" i="9"/>
  <c r="AB733" i="9"/>
  <c r="AC733" i="9"/>
  <c r="AD733" i="9"/>
  <c r="AB734" i="9"/>
  <c r="AC734" i="9"/>
  <c r="AD734" i="9"/>
  <c r="AB735" i="9"/>
  <c r="AC735" i="9"/>
  <c r="AD735" i="9"/>
  <c r="AB736" i="9"/>
  <c r="AC736" i="9"/>
  <c r="AD736" i="9"/>
  <c r="AB737" i="9"/>
  <c r="AC737" i="9"/>
  <c r="AD737" i="9"/>
  <c r="AB738" i="9"/>
  <c r="AC738" i="9"/>
  <c r="AD738" i="9"/>
  <c r="AB739" i="9"/>
  <c r="AC739" i="9"/>
  <c r="AD739" i="9"/>
  <c r="AB740" i="9"/>
  <c r="AC740" i="9"/>
  <c r="AD740" i="9"/>
  <c r="AB741" i="9"/>
  <c r="AC741" i="9"/>
  <c r="AD741" i="9"/>
  <c r="AB742" i="9"/>
  <c r="AC742" i="9"/>
  <c r="AD742" i="9"/>
  <c r="AB743" i="9"/>
  <c r="AC743" i="9"/>
  <c r="AD743" i="9"/>
  <c r="AB744" i="9"/>
  <c r="AC744" i="9"/>
  <c r="AD744" i="9"/>
  <c r="AB745" i="9"/>
  <c r="AC745" i="9"/>
  <c r="AD745" i="9"/>
  <c r="AB746" i="9"/>
  <c r="AC746" i="9"/>
  <c r="AD746" i="9"/>
  <c r="AB747" i="9"/>
  <c r="AC747" i="9"/>
  <c r="AD747" i="9"/>
  <c r="AB748" i="9"/>
  <c r="AC748" i="9"/>
  <c r="AD748" i="9"/>
  <c r="AB749" i="9"/>
  <c r="AC749" i="9"/>
  <c r="AD749" i="9"/>
  <c r="AB750" i="9"/>
  <c r="AC750" i="9"/>
  <c r="AD750" i="9"/>
  <c r="AB751" i="9"/>
  <c r="AC751" i="9"/>
  <c r="AD751" i="9"/>
  <c r="AB752" i="9"/>
  <c r="AC752" i="9"/>
  <c r="AD752" i="9"/>
  <c r="AB753" i="9"/>
  <c r="AC753" i="9"/>
  <c r="AD753" i="9"/>
  <c r="AB754" i="9"/>
  <c r="AC754" i="9"/>
  <c r="AD754" i="9"/>
  <c r="AB755" i="9"/>
  <c r="AC755" i="9"/>
  <c r="AD755" i="9"/>
  <c r="AB756" i="9"/>
  <c r="AC756" i="9"/>
  <c r="AD756" i="9"/>
  <c r="AB757" i="9"/>
  <c r="AC757" i="9"/>
  <c r="AD757" i="9"/>
  <c r="AB758" i="9"/>
  <c r="AC758" i="9"/>
  <c r="AD758" i="9"/>
  <c r="AB759" i="9"/>
  <c r="AC759" i="9"/>
  <c r="AD759" i="9"/>
  <c r="AB760" i="9"/>
  <c r="AC760" i="9"/>
  <c r="AD760" i="9"/>
  <c r="AB761" i="9"/>
  <c r="AC761" i="9"/>
  <c r="AD761" i="9"/>
  <c r="AB762" i="9"/>
  <c r="AC762" i="9"/>
  <c r="AD762" i="9"/>
  <c r="AB763" i="9"/>
  <c r="AC763" i="9"/>
  <c r="AD763" i="9"/>
  <c r="AB764" i="9"/>
  <c r="AC764" i="9"/>
  <c r="AD764" i="9"/>
  <c r="AB765" i="9"/>
  <c r="AC765" i="9"/>
  <c r="AD765" i="9"/>
  <c r="AB766" i="9"/>
  <c r="AC766" i="9"/>
  <c r="AD766" i="9"/>
  <c r="AB767" i="9"/>
  <c r="AC767" i="9"/>
  <c r="AD767" i="9"/>
  <c r="AB768" i="9"/>
  <c r="AC768" i="9"/>
  <c r="AD768" i="9"/>
  <c r="AB769" i="9"/>
  <c r="AC769" i="9"/>
  <c r="AD769" i="9"/>
  <c r="AB770" i="9"/>
  <c r="AC770" i="9"/>
  <c r="AD770" i="9"/>
  <c r="AB771" i="9"/>
  <c r="AC771" i="9"/>
  <c r="AD771" i="9"/>
  <c r="AB772" i="9"/>
  <c r="AC772" i="9"/>
  <c r="AD772" i="9"/>
  <c r="AB773" i="9"/>
  <c r="AC773" i="9"/>
  <c r="AD773" i="9"/>
  <c r="AB774" i="9"/>
  <c r="AC774" i="9"/>
  <c r="AD774" i="9"/>
  <c r="AB775" i="9"/>
  <c r="AC775" i="9"/>
  <c r="AD775" i="9"/>
  <c r="AB776" i="9"/>
  <c r="AC776" i="9"/>
  <c r="AD776" i="9"/>
  <c r="AB777" i="9"/>
  <c r="AC777" i="9"/>
  <c r="AD777" i="9"/>
  <c r="AB778" i="9"/>
  <c r="AC778" i="9"/>
  <c r="AD778" i="9"/>
  <c r="AB779" i="9"/>
  <c r="AC779" i="9"/>
  <c r="AD779" i="9"/>
  <c r="AB780" i="9"/>
  <c r="AC780" i="9"/>
  <c r="AD780" i="9"/>
  <c r="AB781" i="9"/>
  <c r="AC781" i="9"/>
  <c r="AD781" i="9"/>
  <c r="AB782" i="9"/>
  <c r="AC782" i="9"/>
  <c r="AD782" i="9"/>
  <c r="AB783" i="9"/>
  <c r="AC783" i="9"/>
  <c r="AD783" i="9"/>
  <c r="AB784" i="9"/>
  <c r="AC784" i="9"/>
  <c r="AD784" i="9"/>
  <c r="AB785" i="9"/>
  <c r="AC785" i="9"/>
  <c r="AD785" i="9"/>
  <c r="AB786" i="9"/>
  <c r="AC786" i="9"/>
  <c r="AD786" i="9"/>
  <c r="AB787" i="9"/>
  <c r="AC787" i="9"/>
  <c r="AD787" i="9"/>
  <c r="AB788" i="9"/>
  <c r="AC788" i="9"/>
  <c r="AD788" i="9"/>
  <c r="AB789" i="9"/>
  <c r="AC789" i="9"/>
  <c r="AD789" i="9"/>
  <c r="AB790" i="9"/>
  <c r="AC790" i="9"/>
  <c r="AD790" i="9"/>
  <c r="AB791" i="9"/>
  <c r="AC791" i="9"/>
  <c r="AD791" i="9"/>
  <c r="AB792" i="9"/>
  <c r="AC792" i="9"/>
  <c r="AD792" i="9"/>
  <c r="AB793" i="9"/>
  <c r="AC793" i="9"/>
  <c r="AD793" i="9"/>
  <c r="AB794" i="9"/>
  <c r="AC794" i="9"/>
  <c r="AD794" i="9"/>
  <c r="AB795" i="9"/>
  <c r="AC795" i="9"/>
  <c r="AD795" i="9"/>
  <c r="AB796" i="9"/>
  <c r="AC796" i="9"/>
  <c r="AD796" i="9"/>
  <c r="AB797" i="9"/>
  <c r="AC797" i="9"/>
  <c r="AD797" i="9"/>
  <c r="AB798" i="9"/>
  <c r="AC798" i="9"/>
  <c r="AD798" i="9"/>
  <c r="AB799" i="9"/>
  <c r="AC799" i="9"/>
  <c r="AD799" i="9"/>
  <c r="AB800" i="9"/>
  <c r="AC800" i="9"/>
  <c r="AD800" i="9"/>
  <c r="AB801" i="9"/>
  <c r="AC801" i="9"/>
  <c r="AD801" i="9"/>
  <c r="AB802" i="9"/>
  <c r="AC802" i="9"/>
  <c r="AD802" i="9"/>
  <c r="AB803" i="9"/>
  <c r="AC803" i="9"/>
  <c r="AD803" i="9"/>
  <c r="AB804" i="9"/>
  <c r="AC804" i="9"/>
  <c r="AD804" i="9"/>
  <c r="AB805" i="9"/>
  <c r="AC805" i="9"/>
  <c r="AD805" i="9"/>
  <c r="AB806" i="9"/>
  <c r="AC806" i="9"/>
  <c r="AD806" i="9"/>
  <c r="AB807" i="9"/>
  <c r="AC807" i="9"/>
  <c r="AD807" i="9"/>
  <c r="AB808" i="9"/>
  <c r="AC808" i="9"/>
  <c r="AD808" i="9"/>
  <c r="AB809" i="9"/>
  <c r="AC809" i="9"/>
  <c r="AD809" i="9"/>
  <c r="AB810" i="9"/>
  <c r="AC810" i="9"/>
  <c r="AD810" i="9"/>
  <c r="AB811" i="9"/>
  <c r="AC811" i="9"/>
  <c r="AD811" i="9"/>
  <c r="AB812" i="9"/>
  <c r="AC812" i="9"/>
  <c r="AD812" i="9"/>
  <c r="AB813" i="9"/>
  <c r="AC813" i="9"/>
  <c r="AD813" i="9"/>
  <c r="AB814" i="9"/>
  <c r="AC814" i="9"/>
  <c r="AD814" i="9"/>
  <c r="AB815" i="9"/>
  <c r="AC815" i="9"/>
  <c r="AD815" i="9"/>
  <c r="AB816" i="9"/>
  <c r="AC816" i="9"/>
  <c r="AD816" i="9"/>
  <c r="AB817" i="9"/>
  <c r="AC817" i="9"/>
  <c r="AD817" i="9"/>
  <c r="AB818" i="9"/>
  <c r="AC818" i="9"/>
  <c r="AD818" i="9"/>
  <c r="AB819" i="9"/>
  <c r="AC819" i="9"/>
  <c r="AD819" i="9"/>
  <c r="AB820" i="9"/>
  <c r="AC820" i="9"/>
  <c r="AD820" i="9"/>
  <c r="AB821" i="9"/>
  <c r="AC821" i="9"/>
  <c r="AD821" i="9"/>
  <c r="AB822" i="9"/>
  <c r="AC822" i="9"/>
  <c r="AD822" i="9"/>
  <c r="AB823" i="9"/>
  <c r="AC823" i="9"/>
  <c r="AD823" i="9"/>
  <c r="AB824" i="9"/>
  <c r="AC824" i="9"/>
  <c r="AD824" i="9"/>
  <c r="AB825" i="9"/>
  <c r="AC825" i="9"/>
  <c r="AD825" i="9"/>
  <c r="AB826" i="9"/>
  <c r="AC826" i="9"/>
  <c r="AD826" i="9"/>
  <c r="AB827" i="9"/>
  <c r="AC827" i="9"/>
  <c r="AD827" i="9"/>
  <c r="AB828" i="9"/>
  <c r="AC828" i="9"/>
  <c r="AD828" i="9"/>
  <c r="AB829" i="9"/>
  <c r="AC829" i="9"/>
  <c r="AD829" i="9"/>
  <c r="AB830" i="9"/>
  <c r="AC830" i="9"/>
  <c r="AD830" i="9"/>
  <c r="AB831" i="9"/>
  <c r="AC831" i="9"/>
  <c r="AD831" i="9"/>
  <c r="AB832" i="9"/>
  <c r="AC832" i="9"/>
  <c r="AD832" i="9"/>
  <c r="AB833" i="9"/>
  <c r="AC833" i="9"/>
  <c r="AD833" i="9"/>
  <c r="AB834" i="9"/>
  <c r="AC834" i="9"/>
  <c r="AD834" i="9"/>
  <c r="AB835" i="9"/>
  <c r="AC835" i="9"/>
  <c r="AD835" i="9"/>
  <c r="AB836" i="9"/>
  <c r="AC836" i="9"/>
  <c r="AD836" i="9"/>
  <c r="AB837" i="9"/>
  <c r="AC837" i="9"/>
  <c r="AD837" i="9"/>
  <c r="AB838" i="9"/>
  <c r="AC838" i="9"/>
  <c r="AD838" i="9"/>
  <c r="AB839" i="9"/>
  <c r="AC839" i="9"/>
  <c r="AD839" i="9"/>
  <c r="AB840" i="9"/>
  <c r="AC840" i="9"/>
  <c r="AD840" i="9"/>
  <c r="AB841" i="9"/>
  <c r="AC841" i="9"/>
  <c r="AD841" i="9"/>
  <c r="AB842" i="9"/>
  <c r="AC842" i="9"/>
  <c r="AD842" i="9"/>
  <c r="AB843" i="9"/>
  <c r="AC843" i="9"/>
  <c r="AD843" i="9"/>
  <c r="AB844" i="9"/>
  <c r="AC844" i="9"/>
  <c r="AD844" i="9"/>
  <c r="AB845" i="9"/>
  <c r="AC845" i="9"/>
  <c r="AD845" i="9"/>
  <c r="AB846" i="9"/>
  <c r="AC846" i="9"/>
  <c r="AD846" i="9"/>
  <c r="AB847" i="9"/>
  <c r="AC847" i="9"/>
  <c r="AD847" i="9"/>
  <c r="AB848" i="9"/>
  <c r="AC848" i="9"/>
  <c r="AD848" i="9"/>
  <c r="AB849" i="9"/>
  <c r="AC849" i="9"/>
  <c r="AD849" i="9"/>
  <c r="AB850" i="9"/>
  <c r="AC850" i="9"/>
  <c r="AD850" i="9"/>
  <c r="AB851" i="9"/>
  <c r="AC851" i="9"/>
  <c r="AD851" i="9"/>
  <c r="AB852" i="9"/>
  <c r="AC852" i="9"/>
  <c r="AD852" i="9"/>
  <c r="AB853" i="9"/>
  <c r="AC853" i="9"/>
  <c r="AD853" i="9"/>
  <c r="AB854" i="9"/>
  <c r="AC854" i="9"/>
  <c r="AD854" i="9"/>
  <c r="AB855" i="9"/>
  <c r="AC855" i="9"/>
  <c r="AD855" i="9"/>
  <c r="AB856" i="9"/>
  <c r="AC856" i="9"/>
  <c r="AD856" i="9"/>
  <c r="AB857" i="9"/>
  <c r="AC857" i="9"/>
  <c r="AD857" i="9"/>
  <c r="AB858" i="9"/>
  <c r="AC858" i="9"/>
  <c r="AD858" i="9"/>
  <c r="AB859" i="9"/>
  <c r="AC859" i="9"/>
  <c r="AD859" i="9"/>
  <c r="AB860" i="9"/>
  <c r="AC860" i="9"/>
  <c r="AD860" i="9"/>
  <c r="AB861" i="9"/>
  <c r="AC861" i="9"/>
  <c r="AD861" i="9"/>
  <c r="AB862" i="9"/>
  <c r="AC862" i="9"/>
  <c r="AD862" i="9"/>
  <c r="AB863" i="9"/>
  <c r="AC863" i="9"/>
  <c r="AD863" i="9"/>
  <c r="AB864" i="9"/>
  <c r="AC864" i="9"/>
  <c r="AD864" i="9"/>
  <c r="AB865" i="9"/>
  <c r="AC865" i="9"/>
  <c r="AD865" i="9"/>
  <c r="AB866" i="9"/>
  <c r="AC866" i="9"/>
  <c r="AD866" i="9"/>
  <c r="AB867" i="9"/>
  <c r="AC867" i="9"/>
  <c r="AD867" i="9"/>
  <c r="AB868" i="9"/>
  <c r="AC868" i="9"/>
  <c r="AD868" i="9"/>
  <c r="AB869" i="9"/>
  <c r="AC869" i="9"/>
  <c r="AD869" i="9"/>
  <c r="AB870" i="9"/>
  <c r="AC870" i="9"/>
  <c r="AD870" i="9"/>
  <c r="AB871" i="9"/>
  <c r="AC871" i="9"/>
  <c r="AD871" i="9"/>
  <c r="AB872" i="9"/>
  <c r="AC872" i="9"/>
  <c r="AD872" i="9"/>
  <c r="AB873" i="9"/>
  <c r="AC873" i="9"/>
  <c r="AD873" i="9"/>
  <c r="AB874" i="9"/>
  <c r="AC874" i="9"/>
  <c r="AD874" i="9"/>
  <c r="AB875" i="9"/>
  <c r="AC875" i="9"/>
  <c r="AD875" i="9"/>
  <c r="AB876" i="9"/>
  <c r="AC876" i="9"/>
  <c r="AD876" i="9"/>
  <c r="AB877" i="9"/>
  <c r="AC877" i="9"/>
  <c r="AD877" i="9"/>
  <c r="AB878" i="9"/>
  <c r="AC878" i="9"/>
  <c r="AD878" i="9"/>
  <c r="AB879" i="9"/>
  <c r="AC879" i="9"/>
  <c r="AD879" i="9"/>
  <c r="AB880" i="9"/>
  <c r="AC880" i="9"/>
  <c r="AD880" i="9"/>
  <c r="AB881" i="9"/>
  <c r="AC881" i="9"/>
  <c r="AD881" i="9"/>
  <c r="AB882" i="9"/>
  <c r="AC882" i="9"/>
  <c r="AD882" i="9"/>
  <c r="AB883" i="9"/>
  <c r="AC883" i="9"/>
  <c r="AD883" i="9"/>
  <c r="AB884" i="9"/>
  <c r="AC884" i="9"/>
  <c r="AD884" i="9"/>
  <c r="AB885" i="9"/>
  <c r="AC885" i="9"/>
  <c r="AD885" i="9"/>
  <c r="AB886" i="9"/>
  <c r="AC886" i="9"/>
  <c r="AD886" i="9"/>
  <c r="AB887" i="9"/>
  <c r="AC887" i="9"/>
  <c r="AD887" i="9"/>
  <c r="AB888" i="9"/>
  <c r="AC888" i="9"/>
  <c r="AD888" i="9"/>
  <c r="AB889" i="9"/>
  <c r="AC889" i="9"/>
  <c r="AD889" i="9"/>
  <c r="AB890" i="9"/>
  <c r="AC890" i="9"/>
  <c r="AD890" i="9"/>
  <c r="AB891" i="9"/>
  <c r="AC891" i="9"/>
  <c r="AD891" i="9"/>
  <c r="AB892" i="9"/>
  <c r="AC892" i="9"/>
  <c r="AD892" i="9"/>
  <c r="AB893" i="9"/>
  <c r="AC893" i="9"/>
  <c r="AD893" i="9"/>
  <c r="AB894" i="9"/>
  <c r="AC894" i="9"/>
  <c r="AD894" i="9"/>
  <c r="AB895" i="9"/>
  <c r="AC895" i="9"/>
  <c r="AD895" i="9"/>
  <c r="AB896" i="9"/>
  <c r="AC896" i="9"/>
  <c r="AD896" i="9"/>
  <c r="AB897" i="9"/>
  <c r="AC897" i="9"/>
  <c r="AD897" i="9"/>
  <c r="AB898" i="9"/>
  <c r="AC898" i="9"/>
  <c r="AD898" i="9"/>
  <c r="AB899" i="9"/>
  <c r="AC899" i="9"/>
  <c r="AD899" i="9"/>
  <c r="AB900" i="9"/>
  <c r="AC900" i="9"/>
  <c r="AD900" i="9"/>
  <c r="AB901" i="9"/>
  <c r="AC901" i="9"/>
  <c r="AD901" i="9"/>
  <c r="AB902" i="9"/>
  <c r="AC902" i="9"/>
  <c r="AD902" i="9"/>
  <c r="AB903" i="9"/>
  <c r="AC903" i="9"/>
  <c r="AD903" i="9"/>
  <c r="AB904" i="9"/>
  <c r="AC904" i="9"/>
  <c r="AD904" i="9"/>
  <c r="AB905" i="9"/>
  <c r="AC905" i="9"/>
  <c r="AD905" i="9"/>
  <c r="AB906" i="9"/>
  <c r="AC906" i="9"/>
  <c r="AD906" i="9"/>
  <c r="AB907" i="9"/>
  <c r="AC907" i="9"/>
  <c r="AD907" i="9"/>
  <c r="AB908" i="9"/>
  <c r="AC908" i="9"/>
  <c r="AD908" i="9"/>
  <c r="AB909" i="9"/>
  <c r="AC909" i="9"/>
  <c r="AD909" i="9"/>
  <c r="AB910" i="9"/>
  <c r="AC910" i="9"/>
  <c r="AD910" i="9"/>
  <c r="AB911" i="9"/>
  <c r="AC911" i="9"/>
  <c r="AD911" i="9"/>
  <c r="AB912" i="9"/>
  <c r="AC912" i="9"/>
  <c r="AD912" i="9"/>
  <c r="AB913" i="9"/>
  <c r="AC913" i="9"/>
  <c r="AD913" i="9"/>
  <c r="AB914" i="9"/>
  <c r="AC914" i="9"/>
  <c r="AD914" i="9"/>
  <c r="AB915" i="9"/>
  <c r="AC915" i="9"/>
  <c r="AD915" i="9"/>
  <c r="AB916" i="9"/>
  <c r="AC916" i="9"/>
  <c r="AD916" i="9"/>
  <c r="AB917" i="9"/>
  <c r="AC917" i="9"/>
  <c r="AD917" i="9"/>
  <c r="AB918" i="9"/>
  <c r="AC918" i="9"/>
  <c r="AD918" i="9"/>
  <c r="AB919" i="9"/>
  <c r="AC919" i="9"/>
  <c r="AD919" i="9"/>
  <c r="AB920" i="9"/>
  <c r="AC920" i="9"/>
  <c r="AD920" i="9"/>
  <c r="AB921" i="9"/>
  <c r="AC921" i="9"/>
  <c r="AD921" i="9"/>
  <c r="AB922" i="9"/>
  <c r="AC922" i="9"/>
  <c r="AD922" i="9"/>
  <c r="AB923" i="9"/>
  <c r="AC923" i="9"/>
  <c r="AD923" i="9"/>
  <c r="AB924" i="9"/>
  <c r="AC924" i="9"/>
  <c r="AD924" i="9"/>
  <c r="AB925" i="9"/>
  <c r="AC925" i="9"/>
  <c r="AD925" i="9"/>
  <c r="AB926" i="9"/>
  <c r="AC926" i="9"/>
  <c r="AD926" i="9"/>
  <c r="AB927" i="9"/>
  <c r="AC927" i="9"/>
  <c r="AD927" i="9"/>
  <c r="AB928" i="9"/>
  <c r="AC928" i="9"/>
  <c r="AD928" i="9"/>
  <c r="AB929" i="9"/>
  <c r="AC929" i="9"/>
  <c r="AD929" i="9"/>
  <c r="AB930" i="9"/>
  <c r="AC930" i="9"/>
  <c r="AD930" i="9"/>
  <c r="AB931" i="9"/>
  <c r="AC931" i="9"/>
  <c r="AD931" i="9"/>
  <c r="AB932" i="9"/>
  <c r="AC932" i="9"/>
  <c r="AD932" i="9"/>
  <c r="AB933" i="9"/>
  <c r="AC933" i="9"/>
  <c r="AD933" i="9"/>
  <c r="AB934" i="9"/>
  <c r="AC934" i="9"/>
  <c r="AD934" i="9"/>
  <c r="AB935" i="9"/>
  <c r="AC935" i="9"/>
  <c r="AD935" i="9"/>
  <c r="AB936" i="9"/>
  <c r="AC936" i="9"/>
  <c r="AD936" i="9"/>
  <c r="AB937" i="9"/>
  <c r="AC937" i="9"/>
  <c r="AD937" i="9"/>
  <c r="AB938" i="9"/>
  <c r="AC938" i="9"/>
  <c r="AD938" i="9"/>
  <c r="AB939" i="9"/>
  <c r="AC939" i="9"/>
  <c r="AD939" i="9"/>
  <c r="AB940" i="9"/>
  <c r="AC940" i="9"/>
  <c r="AD940" i="9"/>
  <c r="AB941" i="9"/>
  <c r="AC941" i="9"/>
  <c r="AD941" i="9"/>
  <c r="AB942" i="9"/>
  <c r="AC942" i="9"/>
  <c r="AD942" i="9"/>
  <c r="AB943" i="9"/>
  <c r="AC943" i="9"/>
  <c r="AD943" i="9"/>
  <c r="AB944" i="9"/>
  <c r="AC944" i="9"/>
  <c r="AD944" i="9"/>
  <c r="AB945" i="9"/>
  <c r="AC945" i="9"/>
  <c r="AD945" i="9"/>
  <c r="AB946" i="9"/>
  <c r="AC946" i="9"/>
  <c r="AD946" i="9"/>
  <c r="AB947" i="9"/>
  <c r="AC947" i="9"/>
  <c r="AD947" i="9"/>
  <c r="AB948" i="9"/>
  <c r="AC948" i="9"/>
  <c r="AD948" i="9"/>
  <c r="AB949" i="9"/>
  <c r="AC949" i="9"/>
  <c r="AD949" i="9"/>
  <c r="AB950" i="9"/>
  <c r="AC950" i="9"/>
  <c r="AD950" i="9"/>
  <c r="AB951" i="9"/>
  <c r="AC951" i="9"/>
  <c r="AD951" i="9"/>
  <c r="AB952" i="9"/>
  <c r="AC952" i="9"/>
  <c r="AD952" i="9"/>
  <c r="AB953" i="9"/>
  <c r="AC953" i="9"/>
  <c r="AD953" i="9"/>
  <c r="AB954" i="9"/>
  <c r="AC954" i="9"/>
  <c r="AD954" i="9"/>
  <c r="AB955" i="9"/>
  <c r="AC955" i="9"/>
  <c r="AD955" i="9"/>
  <c r="AB956" i="9"/>
  <c r="AC956" i="9"/>
  <c r="AD956" i="9"/>
  <c r="AB957" i="9"/>
  <c r="AC957" i="9"/>
  <c r="AD957" i="9"/>
  <c r="AB958" i="9"/>
  <c r="AC958" i="9"/>
  <c r="AD958" i="9"/>
  <c r="AB959" i="9"/>
  <c r="AC959" i="9"/>
  <c r="AD959" i="9"/>
  <c r="AB960" i="9"/>
  <c r="AC960" i="9"/>
  <c r="AD960" i="9"/>
  <c r="AB961" i="9"/>
  <c r="AC961" i="9"/>
  <c r="AD961" i="9"/>
  <c r="AB962" i="9"/>
  <c r="AC962" i="9"/>
  <c r="AD962" i="9"/>
  <c r="AB963" i="9"/>
  <c r="AC963" i="9"/>
  <c r="AD963" i="9"/>
  <c r="AB964" i="9"/>
  <c r="AC964" i="9"/>
  <c r="AD964" i="9"/>
  <c r="AB965" i="9"/>
  <c r="AC965" i="9"/>
  <c r="AD965" i="9"/>
  <c r="AB966" i="9"/>
  <c r="AC966" i="9"/>
  <c r="AD966" i="9"/>
  <c r="AB967" i="9"/>
  <c r="AC967" i="9"/>
  <c r="AD967" i="9"/>
  <c r="AB968" i="9"/>
  <c r="AC968" i="9"/>
  <c r="AD968" i="9"/>
  <c r="AB969" i="9"/>
  <c r="AC969" i="9"/>
  <c r="AD969" i="9"/>
  <c r="AB970" i="9"/>
  <c r="AC970" i="9"/>
  <c r="AD970" i="9"/>
  <c r="AB971" i="9"/>
  <c r="AC971" i="9"/>
  <c r="AD971" i="9"/>
  <c r="AB972" i="9"/>
  <c r="AC972" i="9"/>
  <c r="AD972" i="9"/>
  <c r="AB973" i="9"/>
  <c r="AC973" i="9"/>
  <c r="AD973" i="9"/>
  <c r="AB974" i="9"/>
  <c r="AC974" i="9"/>
  <c r="AD974" i="9"/>
  <c r="AB975" i="9"/>
  <c r="AC975" i="9"/>
  <c r="AD975" i="9"/>
  <c r="AB976" i="9"/>
  <c r="AC976" i="9"/>
  <c r="AD976" i="9"/>
  <c r="AB977" i="9"/>
  <c r="AC977" i="9"/>
  <c r="AD977" i="9"/>
  <c r="AB978" i="9"/>
  <c r="AC978" i="9"/>
  <c r="AD978" i="9"/>
  <c r="AB979" i="9"/>
  <c r="AC979" i="9"/>
  <c r="AD979" i="9"/>
  <c r="AB980" i="9"/>
  <c r="AC980" i="9"/>
  <c r="AD980" i="9"/>
  <c r="AB981" i="9"/>
  <c r="AC981" i="9"/>
  <c r="AD981" i="9"/>
  <c r="AB982" i="9"/>
  <c r="AC982" i="9"/>
  <c r="AD982" i="9"/>
  <c r="AB983" i="9"/>
  <c r="AC983" i="9"/>
  <c r="AD983" i="9"/>
  <c r="AB984" i="9"/>
  <c r="AC984" i="9"/>
  <c r="AD984" i="9"/>
  <c r="AB985" i="9"/>
  <c r="AC985" i="9"/>
  <c r="AD985" i="9"/>
  <c r="AB986" i="9"/>
  <c r="AC986" i="9"/>
  <c r="AD986" i="9"/>
  <c r="AB987" i="9"/>
  <c r="AC987" i="9"/>
  <c r="AD987" i="9"/>
  <c r="AB988" i="9"/>
  <c r="AC988" i="9"/>
  <c r="AD988" i="9"/>
  <c r="AB989" i="9"/>
  <c r="AC989" i="9"/>
  <c r="AD989" i="9"/>
  <c r="AB990" i="9"/>
  <c r="AC990" i="9"/>
  <c r="AD990" i="9"/>
  <c r="AB991" i="9"/>
  <c r="AC991" i="9"/>
  <c r="AD991" i="9"/>
  <c r="AB992" i="9"/>
  <c r="AC992" i="9"/>
  <c r="AD992" i="9"/>
  <c r="AB993" i="9"/>
  <c r="AC993" i="9"/>
  <c r="AD993" i="9"/>
  <c r="AB994" i="9"/>
  <c r="AC994" i="9"/>
  <c r="AD994" i="9"/>
  <c r="AB995" i="9"/>
  <c r="AC995" i="9"/>
  <c r="AD995" i="9"/>
  <c r="AB996" i="9"/>
  <c r="AC996" i="9"/>
  <c r="AD996" i="9"/>
  <c r="AB997" i="9"/>
  <c r="AC997" i="9"/>
  <c r="AD997" i="9"/>
  <c r="AB998" i="9"/>
  <c r="AC998" i="9"/>
  <c r="AD998" i="9"/>
  <c r="AB999" i="9"/>
  <c r="AC999" i="9"/>
  <c r="AD999" i="9"/>
  <c r="AB1000" i="9"/>
  <c r="AC1000" i="9"/>
  <c r="AD1000" i="9"/>
  <c r="AB1001" i="9"/>
  <c r="AC1001" i="9"/>
  <c r="AD1001" i="9"/>
  <c r="AB1002" i="9"/>
  <c r="AC1002" i="9"/>
  <c r="AD1002" i="9"/>
  <c r="AB1003" i="9"/>
  <c r="AC1003" i="9"/>
  <c r="AD1003" i="9"/>
  <c r="AB1004" i="9"/>
  <c r="AC1004" i="9"/>
  <c r="AD1004" i="9"/>
  <c r="AB1005" i="9"/>
  <c r="AC1005" i="9"/>
  <c r="AD1005" i="9"/>
  <c r="I4" i="9"/>
  <c r="H4" i="9"/>
  <c r="L4" i="9"/>
  <c r="K4" i="9"/>
  <c r="F4" i="9"/>
  <c r="E4" i="9"/>
  <c r="C4" i="9"/>
  <c r="K1007" i="9"/>
  <c r="L1007" i="9"/>
  <c r="L1009" i="9"/>
  <c r="J4" i="9"/>
  <c r="D4" i="9"/>
  <c r="G4" i="9"/>
  <c r="N4" i="9"/>
  <c r="M4" i="9"/>
  <c r="O4" i="9"/>
  <c r="L6" i="6"/>
  <c r="AB471" i="9" l="1"/>
  <c r="AB468" i="9"/>
  <c r="AD455" i="9"/>
  <c r="AC452" i="9"/>
  <c r="AC435" i="9"/>
  <c r="AD407" i="9"/>
  <c r="AC404" i="9"/>
  <c r="AD375" i="9"/>
  <c r="AC372" i="9"/>
  <c r="AD343" i="9"/>
  <c r="AC340" i="9"/>
  <c r="AB140" i="9"/>
  <c r="AD420" i="9"/>
  <c r="AC420" i="9"/>
  <c r="AD316" i="9"/>
  <c r="AB316" i="9"/>
  <c r="AD284" i="9"/>
  <c r="AB284" i="9"/>
  <c r="AD252" i="9"/>
  <c r="AB252" i="9"/>
  <c r="AD220" i="9"/>
  <c r="AB220" i="9"/>
  <c r="AD188" i="9"/>
  <c r="AB188" i="9"/>
  <c r="AD156" i="9"/>
  <c r="AB156" i="9"/>
  <c r="AB44" i="9"/>
  <c r="AD44" i="9"/>
  <c r="AB564" i="9"/>
  <c r="AB556" i="9"/>
  <c r="AB548" i="9"/>
  <c r="AB540" i="9"/>
  <c r="AB532" i="9"/>
  <c r="AB524" i="9"/>
  <c r="AB516" i="9"/>
  <c r="AB508" i="9"/>
  <c r="AB500" i="9"/>
  <c r="AB492" i="9"/>
  <c r="AB484" i="9"/>
  <c r="AB476" i="9"/>
  <c r="AC436" i="9"/>
  <c r="AB412" i="9"/>
  <c r="AB396" i="9"/>
  <c r="AB380" i="9"/>
  <c r="AB364" i="9"/>
  <c r="AB348" i="9"/>
  <c r="AB324" i="9"/>
  <c r="AB292" i="9"/>
  <c r="AB260" i="9"/>
  <c r="AB228" i="9"/>
  <c r="AB196" i="9"/>
  <c r="AB164" i="9"/>
  <c r="AB132" i="9"/>
  <c r="AB124" i="9"/>
  <c r="AB60" i="9"/>
  <c r="AB52" i="9"/>
  <c r="AD604" i="9"/>
  <c r="AC596" i="9"/>
  <c r="AD540" i="9"/>
  <c r="AD476" i="9"/>
  <c r="AC428" i="9"/>
  <c r="AC396" i="9"/>
  <c r="AC364" i="9"/>
  <c r="AB332" i="9"/>
  <c r="AB236" i="9"/>
  <c r="AD411" i="9"/>
  <c r="AB411" i="9"/>
  <c r="AD395" i="9"/>
  <c r="AB395" i="9"/>
  <c r="AD379" i="9"/>
  <c r="AB379" i="9"/>
  <c r="AD363" i="9"/>
  <c r="AB363" i="9"/>
  <c r="AD347" i="9"/>
  <c r="AB347" i="9"/>
  <c r="AD331" i="9"/>
  <c r="AB331" i="9"/>
  <c r="AD323" i="9"/>
  <c r="AB323" i="9"/>
  <c r="AD612" i="9"/>
  <c r="AC604" i="9"/>
  <c r="AD548" i="9"/>
  <c r="AD484" i="9"/>
  <c r="AC460" i="9"/>
  <c r="AB428" i="9"/>
  <c r="AB308" i="9"/>
  <c r="AB212" i="9"/>
  <c r="AD620" i="9"/>
  <c r="AC612" i="9"/>
  <c r="AB463" i="9"/>
  <c r="AB460" i="9"/>
  <c r="AD447" i="9"/>
  <c r="AC444" i="9"/>
  <c r="AD427" i="9"/>
  <c r="AB420" i="9"/>
  <c r="AD391" i="9"/>
  <c r="AC388" i="9"/>
  <c r="AD359" i="9"/>
  <c r="AC356" i="9"/>
  <c r="AB300" i="9"/>
  <c r="AB204" i="9"/>
  <c r="AC412" i="9"/>
  <c r="AC380" i="9"/>
  <c r="AC439" i="9"/>
  <c r="AD439" i="9"/>
  <c r="AC423" i="9"/>
  <c r="AD423" i="9"/>
  <c r="AC415" i="9"/>
  <c r="AB415" i="9"/>
  <c r="AC399" i="9"/>
  <c r="AB399" i="9"/>
  <c r="AC383" i="9"/>
  <c r="AB383" i="9"/>
  <c r="AC367" i="9"/>
  <c r="AB367" i="9"/>
  <c r="AC351" i="9"/>
  <c r="AB351" i="9"/>
  <c r="AB335" i="9"/>
  <c r="AC335" i="9"/>
  <c r="AB327" i="9"/>
  <c r="AC327" i="9"/>
  <c r="AB319" i="9"/>
  <c r="AC319" i="9"/>
  <c r="AB311" i="9"/>
  <c r="AC311" i="9"/>
  <c r="AB303" i="9"/>
  <c r="AC303" i="9"/>
  <c r="AB295" i="9"/>
  <c r="AC295" i="9"/>
  <c r="AB287" i="9"/>
  <c r="AC287" i="9"/>
  <c r="AB279" i="9"/>
  <c r="AC279" i="9"/>
  <c r="AB271" i="9"/>
  <c r="AC271" i="9"/>
  <c r="AB263" i="9"/>
  <c r="AC263" i="9"/>
  <c r="AB255" i="9"/>
  <c r="AC255" i="9"/>
  <c r="AB247" i="9"/>
  <c r="AC247" i="9"/>
  <c r="AB239" i="9"/>
  <c r="AC239" i="9"/>
  <c r="AB231" i="9"/>
  <c r="AC231" i="9"/>
  <c r="AB223" i="9"/>
  <c r="AC223" i="9"/>
  <c r="AD223" i="9"/>
  <c r="AB215" i="9"/>
  <c r="AC215" i="9"/>
  <c r="AB207" i="9"/>
  <c r="AC207" i="9"/>
  <c r="AB199" i="9"/>
  <c r="AC199" i="9"/>
  <c r="AB191" i="9"/>
  <c r="AC191" i="9"/>
  <c r="AD191" i="9"/>
  <c r="AB183" i="9"/>
  <c r="AC183" i="9"/>
  <c r="AB175" i="9"/>
  <c r="AC175" i="9"/>
  <c r="AB167" i="9"/>
  <c r="AC167" i="9"/>
  <c r="AB159" i="9"/>
  <c r="AC159" i="9"/>
  <c r="AD159" i="9"/>
  <c r="AB151" i="9"/>
  <c r="AC151" i="9"/>
  <c r="AB143" i="9"/>
  <c r="AC143" i="9"/>
  <c r="AB135" i="9"/>
  <c r="AC135" i="9"/>
  <c r="AB127" i="9"/>
  <c r="AC127" i="9"/>
  <c r="AD127" i="9"/>
  <c r="AB119" i="9"/>
  <c r="AC119" i="9"/>
  <c r="AB111" i="9"/>
  <c r="AC111" i="9"/>
  <c r="AB103" i="9"/>
  <c r="AD103" i="9"/>
  <c r="AC103" i="9"/>
  <c r="AB95" i="9"/>
  <c r="AC95" i="9"/>
  <c r="AD95" i="9"/>
  <c r="AB87" i="9"/>
  <c r="AC87" i="9"/>
  <c r="AC418" i="9"/>
  <c r="AC402" i="9"/>
  <c r="AC386" i="9"/>
  <c r="AC370" i="9"/>
  <c r="AC354" i="9"/>
  <c r="AC338" i="9"/>
  <c r="AC306" i="9"/>
  <c r="AB299" i="9"/>
  <c r="AC274" i="9"/>
  <c r="AB267" i="9"/>
  <c r="AC242" i="9"/>
  <c r="AB235" i="9"/>
  <c r="AC210" i="9"/>
  <c r="AB203" i="9"/>
  <c r="AC178" i="9"/>
  <c r="AB171" i="9"/>
  <c r="AC146" i="9"/>
  <c r="AB139" i="9"/>
  <c r="AD106" i="9"/>
  <c r="AD74" i="9"/>
  <c r="AB67" i="9"/>
  <c r="AC10" i="9"/>
  <c r="AB79" i="9"/>
  <c r="AC79" i="9"/>
  <c r="AB71" i="9"/>
  <c r="AC71" i="9"/>
  <c r="AB55" i="9"/>
  <c r="AD55" i="9"/>
  <c r="AB39" i="9"/>
  <c r="AD39" i="9"/>
  <c r="AB31" i="9"/>
  <c r="AC31" i="9"/>
  <c r="AD31" i="9"/>
  <c r="AB15" i="9"/>
  <c r="AC15" i="9"/>
  <c r="AB7" i="9"/>
  <c r="AC7" i="9"/>
  <c r="AD426" i="9"/>
  <c r="AC330" i="9"/>
  <c r="AB291" i="9"/>
  <c r="AB259" i="9"/>
  <c r="AB227" i="9"/>
  <c r="AB195" i="9"/>
  <c r="AB163" i="9"/>
  <c r="AB131" i="9"/>
  <c r="AC63" i="9"/>
  <c r="AC55" i="9"/>
  <c r="AD47" i="9"/>
  <c r="AD23" i="9"/>
  <c r="AC101" i="9"/>
  <c r="AD101" i="9"/>
  <c r="AB77" i="9"/>
  <c r="AC77" i="9"/>
  <c r="AB61" i="9"/>
  <c r="AD61" i="9"/>
  <c r="AC37" i="9"/>
  <c r="AD37" i="9"/>
  <c r="AC332" i="9"/>
  <c r="AC324" i="9"/>
  <c r="AC316" i="9"/>
  <c r="AC308" i="9"/>
  <c r="AC300" i="9"/>
  <c r="AC292" i="9"/>
  <c r="AC284" i="9"/>
  <c r="AC276" i="9"/>
  <c r="AC268" i="9"/>
  <c r="AC260" i="9"/>
  <c r="AC252" i="9"/>
  <c r="AC244" i="9"/>
  <c r="AC236" i="9"/>
  <c r="AC228" i="9"/>
  <c r="AC220" i="9"/>
  <c r="AC212" i="9"/>
  <c r="AC204" i="9"/>
  <c r="AC196" i="9"/>
  <c r="AC188" i="9"/>
  <c r="AC180" i="9"/>
  <c r="AC172" i="9"/>
  <c r="AC164" i="9"/>
  <c r="AC156" i="9"/>
  <c r="AC148" i="9"/>
  <c r="AC140" i="9"/>
  <c r="AC132" i="9"/>
  <c r="AC124" i="9"/>
  <c r="AC116" i="9"/>
  <c r="AC108" i="9"/>
  <c r="AC100" i="9"/>
  <c r="AC92" i="9"/>
  <c r="AC84" i="9"/>
  <c r="AC76" i="9"/>
  <c r="AC68" i="9"/>
  <c r="AC60" i="9"/>
  <c r="AC52" i="9"/>
  <c r="AC44" i="9"/>
  <c r="AC36" i="9"/>
  <c r="AC28" i="9"/>
  <c r="AC20" i="9"/>
  <c r="AC12" i="9"/>
  <c r="AB116" i="9"/>
  <c r="AB92" i="9"/>
  <c r="AB76" i="9"/>
  <c r="AB68" i="9"/>
  <c r="AB28" i="9"/>
  <c r="AB12" i="9"/>
  <c r="AC115" i="9"/>
  <c r="AC107" i="9"/>
  <c r="AB107" i="9"/>
  <c r="AC99" i="9"/>
  <c r="AC91" i="9"/>
  <c r="AB91" i="9"/>
  <c r="AC83" i="9"/>
  <c r="AB83" i="9"/>
  <c r="AC75" i="9"/>
  <c r="AC67" i="9"/>
  <c r="AC59" i="9"/>
  <c r="AC51" i="9"/>
  <c r="AC43" i="9"/>
  <c r="AB43" i="9"/>
  <c r="AC35" i="9"/>
  <c r="AB98" i="9"/>
  <c r="AC98" i="9"/>
  <c r="AB82" i="9"/>
  <c r="AD82" i="9"/>
  <c r="AC58" i="9"/>
  <c r="AD58" i="9"/>
  <c r="AB34" i="9"/>
  <c r="AC34" i="9"/>
  <c r="AB18" i="9"/>
  <c r="AD18" i="9"/>
  <c r="AD4" i="9" s="1"/>
  <c r="AB474" i="9"/>
  <c r="AB466" i="9"/>
  <c r="AB458" i="9"/>
  <c r="AB450" i="9"/>
  <c r="AB442" i="9"/>
  <c r="AB434" i="9"/>
  <c r="AC27" i="9"/>
  <c r="AC19" i="9"/>
  <c r="AC11" i="9"/>
  <c r="H41" i="3"/>
  <c r="C41" i="3"/>
  <c r="AB19" i="9"/>
  <c r="O20" i="5"/>
  <c r="L20" i="5"/>
  <c r="O21" i="5"/>
  <c r="K20" i="5"/>
  <c r="M20" i="5"/>
  <c r="AB27" i="9"/>
  <c r="E36" i="5"/>
  <c r="G36" i="5" s="1"/>
  <c r="C26" i="3" s="1"/>
  <c r="C57" i="7"/>
  <c r="C60" i="7"/>
  <c r="C20" i="7"/>
  <c r="C53" i="7"/>
  <c r="C63" i="7"/>
  <c r="C40" i="7"/>
  <c r="C28" i="5"/>
  <c r="C32" i="5"/>
  <c r="C31" i="5"/>
  <c r="M19" i="5"/>
  <c r="N21" i="5"/>
  <c r="N20" i="5"/>
  <c r="C18" i="8"/>
  <c r="C45" i="8"/>
  <c r="C61" i="8"/>
  <c r="C31" i="8"/>
  <c r="C43" i="8"/>
  <c r="C59" i="8"/>
  <c r="C19" i="8"/>
  <c r="C39" i="8"/>
  <c r="C15" i="6"/>
  <c r="C19" i="6"/>
  <c r="C32" i="6"/>
  <c r="C36" i="6"/>
  <c r="C40" i="6"/>
  <c r="C44" i="6"/>
  <c r="C48" i="6"/>
  <c r="C52" i="6"/>
  <c r="C56" i="6"/>
  <c r="C60" i="6"/>
  <c r="C64" i="6"/>
  <c r="C7" i="7"/>
  <c r="I7" i="7" s="1"/>
  <c r="C11" i="7"/>
  <c r="C15" i="7"/>
  <c r="C19" i="7"/>
  <c r="C23" i="7"/>
  <c r="C27" i="7"/>
  <c r="C31" i="7"/>
  <c r="C35" i="7"/>
  <c r="C39" i="7"/>
  <c r="C43" i="7"/>
  <c r="C47" i="7"/>
  <c r="C7" i="6"/>
  <c r="C10" i="6"/>
  <c r="C23" i="6"/>
  <c r="C27" i="6"/>
  <c r="C31" i="6"/>
  <c r="C14" i="6"/>
  <c r="C18" i="6"/>
  <c r="C35" i="6"/>
  <c r="C39" i="6"/>
  <c r="C43" i="6"/>
  <c r="C47" i="6"/>
  <c r="C51" i="6"/>
  <c r="C55" i="6"/>
  <c r="C59" i="6"/>
  <c r="C63" i="6"/>
  <c r="C10" i="7"/>
  <c r="C14" i="7"/>
  <c r="C18" i="7"/>
  <c r="C22" i="7"/>
  <c r="C26" i="7"/>
  <c r="C30" i="7"/>
  <c r="C34" i="7"/>
  <c r="C38" i="7"/>
  <c r="C42" i="7"/>
  <c r="C46" i="7"/>
  <c r="C9" i="6"/>
  <c r="C22" i="6"/>
  <c r="C26" i="6"/>
  <c r="C30" i="6"/>
  <c r="C8" i="6"/>
  <c r="C13" i="6"/>
  <c r="C21" i="6"/>
  <c r="C36" i="7"/>
  <c r="C29" i="6"/>
  <c r="C34" i="6"/>
  <c r="C42" i="6"/>
  <c r="C50" i="6"/>
  <c r="C58" i="6"/>
  <c r="C66" i="6"/>
  <c r="C13" i="7"/>
  <c r="C21" i="7"/>
  <c r="C29" i="7"/>
  <c r="C45" i="7"/>
  <c r="C50" i="7"/>
  <c r="C54" i="7"/>
  <c r="C58" i="7"/>
  <c r="C62" i="7"/>
  <c r="C66" i="7"/>
  <c r="C8" i="8"/>
  <c r="C12" i="8"/>
  <c r="C16" i="8"/>
  <c r="C20" i="8"/>
  <c r="C24" i="8"/>
  <c r="C28" i="8"/>
  <c r="C32" i="8"/>
  <c r="C24" i="6"/>
  <c r="C37" i="6"/>
  <c r="C45" i="6"/>
  <c r="C53" i="6"/>
  <c r="C61" i="6"/>
  <c r="C8" i="7"/>
  <c r="C16" i="7"/>
  <c r="C24" i="7"/>
  <c r="C32" i="7"/>
  <c r="C37" i="7"/>
  <c r="C12" i="6"/>
  <c r="C20" i="6"/>
  <c r="C65" i="6"/>
  <c r="C12" i="7"/>
  <c r="C17" i="7"/>
  <c r="C41" i="7"/>
  <c r="C61" i="7"/>
  <c r="C64" i="7"/>
  <c r="C23" i="8"/>
  <c r="C26" i="8"/>
  <c r="C29" i="8"/>
  <c r="C28" i="6"/>
  <c r="C38" i="6"/>
  <c r="C52" i="7"/>
  <c r="C55" i="7"/>
  <c r="C11" i="8"/>
  <c r="C14" i="8"/>
  <c r="C17" i="8"/>
  <c r="C38" i="8"/>
  <c r="C42" i="8"/>
  <c r="C46" i="8"/>
  <c r="C50" i="8"/>
  <c r="C54" i="8"/>
  <c r="C58" i="8"/>
  <c r="C62" i="8"/>
  <c r="C66" i="8"/>
  <c r="C11" i="6"/>
  <c r="C33" i="6"/>
  <c r="C57" i="6"/>
  <c r="C62" i="6"/>
  <c r="C16" i="6"/>
  <c r="C25" i="6"/>
  <c r="C49" i="6"/>
  <c r="C54" i="6"/>
  <c r="C28" i="7"/>
  <c r="C33" i="7"/>
  <c r="C51" i="7"/>
  <c r="C7" i="8"/>
  <c r="C10" i="8"/>
  <c r="C13" i="8"/>
  <c r="C17" i="6"/>
  <c r="C65" i="7"/>
  <c r="C27" i="8"/>
  <c r="C30" i="8"/>
  <c r="C33" i="8"/>
  <c r="C36" i="8"/>
  <c r="C40" i="8"/>
  <c r="C44" i="8"/>
  <c r="C48" i="8"/>
  <c r="C52" i="8"/>
  <c r="C56" i="8"/>
  <c r="C60" i="8"/>
  <c r="C64" i="8"/>
  <c r="C25" i="7"/>
  <c r="L19" i="5"/>
  <c r="C49" i="7"/>
  <c r="C9" i="7"/>
  <c r="E24" i="6"/>
  <c r="E28" i="6"/>
  <c r="E11" i="6"/>
  <c r="E15" i="6"/>
  <c r="E19" i="6"/>
  <c r="E32" i="6"/>
  <c r="E36" i="6"/>
  <c r="E40" i="6"/>
  <c r="E44" i="6"/>
  <c r="E48" i="6"/>
  <c r="E52" i="6"/>
  <c r="E56" i="6"/>
  <c r="E60" i="6"/>
  <c r="E64" i="6"/>
  <c r="E7" i="7"/>
  <c r="E11" i="7"/>
  <c r="E15" i="7"/>
  <c r="E19" i="7"/>
  <c r="E23" i="7"/>
  <c r="E27" i="7"/>
  <c r="E31" i="7"/>
  <c r="E10" i="6"/>
  <c r="E23" i="6"/>
  <c r="E27" i="6"/>
  <c r="E7" i="6"/>
  <c r="E14" i="6"/>
  <c r="E18" i="6"/>
  <c r="E31" i="6"/>
  <c r="E35" i="6"/>
  <c r="E39" i="6"/>
  <c r="E43" i="6"/>
  <c r="E47" i="6"/>
  <c r="E51" i="6"/>
  <c r="E55" i="6"/>
  <c r="E59" i="6"/>
  <c r="E63" i="6"/>
  <c r="E10" i="7"/>
  <c r="E14" i="7"/>
  <c r="E18" i="7"/>
  <c r="E22" i="7"/>
  <c r="E26" i="7"/>
  <c r="E30" i="7"/>
  <c r="E34" i="7"/>
  <c r="E38" i="7"/>
  <c r="E42" i="7"/>
  <c r="E13" i="6"/>
  <c r="E8" i="6"/>
  <c r="J21" i="2"/>
  <c r="J20" i="2"/>
  <c r="E41" i="6"/>
  <c r="E33" i="6"/>
  <c r="E26" i="6"/>
  <c r="J19" i="2"/>
  <c r="AB4" i="9" l="1"/>
  <c r="J7" i="6"/>
  <c r="N7" i="6" s="1"/>
  <c r="K7" i="6"/>
  <c r="I7" i="6"/>
  <c r="H7" i="6"/>
  <c r="J7" i="7"/>
  <c r="N7" i="7" s="1"/>
  <c r="K7" i="7"/>
  <c r="D30" i="5"/>
  <c r="E37" i="5"/>
  <c r="G37" i="5" s="1"/>
  <c r="C22" i="3" s="1"/>
  <c r="D28" i="5"/>
  <c r="D29" i="5" s="1"/>
  <c r="D31" i="5"/>
  <c r="H7" i="8"/>
  <c r="I7" i="8"/>
  <c r="H7" i="7"/>
  <c r="D32" i="5"/>
  <c r="AC4" i="9"/>
  <c r="E29" i="5" l="1"/>
  <c r="E38" i="5" s="1"/>
  <c r="G38" i="5" s="1"/>
  <c r="C23" i="3" s="1"/>
  <c r="J8" i="8"/>
  <c r="N7" i="8"/>
  <c r="M7" i="8"/>
  <c r="O7" i="8"/>
  <c r="I8" i="8"/>
  <c r="J9" i="8" s="1"/>
  <c r="L7" i="8"/>
  <c r="H8" i="8"/>
  <c r="K8" i="8"/>
  <c r="I8" i="6"/>
  <c r="J9" i="6" s="1"/>
  <c r="M7" i="6"/>
  <c r="H8" i="6"/>
  <c r="K8" i="6"/>
  <c r="L7" i="6"/>
  <c r="O7" i="6"/>
  <c r="J8" i="6"/>
  <c r="J8" i="7"/>
  <c r="N8" i="7" s="1"/>
  <c r="I8" i="7"/>
  <c r="M7" i="7"/>
  <c r="L7" i="7"/>
  <c r="K8" i="7"/>
  <c r="H8" i="7"/>
  <c r="O7" i="7"/>
  <c r="N8" i="6" l="1"/>
  <c r="E31" i="5"/>
  <c r="J9" i="7"/>
  <c r="N9" i="7" s="1"/>
  <c r="I9" i="8"/>
  <c r="J10" i="8" s="1"/>
  <c r="O8" i="8"/>
  <c r="L8" i="8"/>
  <c r="M8" i="8"/>
  <c r="K9" i="8"/>
  <c r="H9" i="8"/>
  <c r="N9" i="8" s="1"/>
  <c r="E30" i="5"/>
  <c r="N8" i="8"/>
  <c r="I9" i="6"/>
  <c r="J10" i="6" s="1"/>
  <c r="H9" i="6"/>
  <c r="K9" i="6"/>
  <c r="L8" i="6"/>
  <c r="M8" i="6"/>
  <c r="O8" i="6"/>
  <c r="E32" i="5"/>
  <c r="M8" i="7"/>
  <c r="I9" i="7"/>
  <c r="H9" i="7"/>
  <c r="O8" i="7"/>
  <c r="L8" i="7"/>
  <c r="K9" i="7"/>
  <c r="F30" i="5" l="1"/>
  <c r="F32" i="5" s="1"/>
  <c r="E39" i="5"/>
  <c r="G39" i="5" s="1"/>
  <c r="C24" i="3" s="1"/>
  <c r="M9" i="8"/>
  <c r="K10" i="8"/>
  <c r="I10" i="8"/>
  <c r="J11" i="8" s="1"/>
  <c r="H10" i="8"/>
  <c r="O9" i="8"/>
  <c r="L9" i="8"/>
  <c r="M9" i="7"/>
  <c r="I10" i="7"/>
  <c r="O9" i="7"/>
  <c r="L9" i="7"/>
  <c r="K10" i="7"/>
  <c r="H10" i="7"/>
  <c r="J10" i="7"/>
  <c r="N10" i="7" s="1"/>
  <c r="I10" i="6"/>
  <c r="J11" i="6" s="1"/>
  <c r="L9" i="6"/>
  <c r="K10" i="6"/>
  <c r="M9" i="6"/>
  <c r="H10" i="6"/>
  <c r="O9" i="6"/>
  <c r="N9" i="6"/>
  <c r="N10" i="8"/>
  <c r="I11" i="6" l="1"/>
  <c r="J12" i="6" s="1"/>
  <c r="M10" i="6"/>
  <c r="K11" i="6"/>
  <c r="L10" i="6"/>
  <c r="H11" i="6"/>
  <c r="O10" i="6"/>
  <c r="J11" i="7"/>
  <c r="N11" i="6"/>
  <c r="I11" i="7"/>
  <c r="O10" i="7"/>
  <c r="L10" i="7"/>
  <c r="M10" i="7"/>
  <c r="K11" i="7"/>
  <c r="H11" i="7"/>
  <c r="M10" i="8"/>
  <c r="I11" i="8"/>
  <c r="J12" i="8" s="1"/>
  <c r="O10" i="8"/>
  <c r="L10" i="8"/>
  <c r="H11" i="8"/>
  <c r="K11" i="8"/>
  <c r="F31" i="5"/>
  <c r="N10" i="6"/>
  <c r="N11" i="8"/>
  <c r="G31" i="5" l="1"/>
  <c r="E40" i="5" s="1"/>
  <c r="G40" i="5" s="1"/>
  <c r="C27" i="3" s="1"/>
  <c r="G32" i="5"/>
  <c r="N11" i="7"/>
  <c r="I12" i="7"/>
  <c r="M11" i="7"/>
  <c r="K12" i="7"/>
  <c r="O11" i="7"/>
  <c r="L11" i="7"/>
  <c r="H12" i="7"/>
  <c r="H12" i="8"/>
  <c r="I12" i="8"/>
  <c r="J13" i="8" s="1"/>
  <c r="O11" i="8"/>
  <c r="L11" i="8"/>
  <c r="M11" i="8"/>
  <c r="K12" i="8"/>
  <c r="I12" i="6"/>
  <c r="J13" i="6" s="1"/>
  <c r="M11" i="6"/>
  <c r="K12" i="6"/>
  <c r="L11" i="6"/>
  <c r="H12" i="6"/>
  <c r="O11" i="6"/>
  <c r="J12" i="7"/>
  <c r="N12" i="7" s="1"/>
  <c r="O12" i="8" l="1"/>
  <c r="M12" i="8"/>
  <c r="I13" i="8"/>
  <c r="J14" i="8" s="1"/>
  <c r="K13" i="8"/>
  <c r="L12" i="8"/>
  <c r="H13" i="8"/>
  <c r="J13" i="7"/>
  <c r="N13" i="7" s="1"/>
  <c r="M12" i="7"/>
  <c r="I13" i="7"/>
  <c r="L12" i="7"/>
  <c r="O12" i="7"/>
  <c r="K13" i="7"/>
  <c r="H13" i="7"/>
  <c r="H32" i="5"/>
  <c r="E41" i="5" s="1"/>
  <c r="G41" i="5" s="1"/>
  <c r="C28" i="3" s="1"/>
  <c r="N13" i="6"/>
  <c r="N12" i="8"/>
  <c r="N12" i="6"/>
  <c r="M12" i="6"/>
  <c r="I13" i="6"/>
  <c r="J14" i="6" s="1"/>
  <c r="H13" i="6"/>
  <c r="K13" i="6"/>
  <c r="L12" i="6"/>
  <c r="O12" i="6"/>
  <c r="M13" i="8" l="1"/>
  <c r="I14" i="8"/>
  <c r="J15" i="8" s="1"/>
  <c r="O13" i="8"/>
  <c r="H14" i="8"/>
  <c r="L13" i="8"/>
  <c r="K14" i="8"/>
  <c r="M13" i="6"/>
  <c r="I14" i="6"/>
  <c r="J15" i="6" s="1"/>
  <c r="O13" i="6"/>
  <c r="L13" i="6"/>
  <c r="K14" i="6"/>
  <c r="H14" i="6"/>
  <c r="M13" i="7"/>
  <c r="I14" i="7"/>
  <c r="J15" i="7" s="1"/>
  <c r="K14" i="7"/>
  <c r="H14" i="7"/>
  <c r="O13" i="7"/>
  <c r="L13" i="7"/>
  <c r="N13" i="8"/>
  <c r="J14" i="7"/>
  <c r="H15" i="8" l="1"/>
  <c r="O14" i="8"/>
  <c r="I15" i="8"/>
  <c r="J16" i="8" s="1"/>
  <c r="M14" i="8"/>
  <c r="L14" i="8"/>
  <c r="K15" i="8"/>
  <c r="N14" i="7"/>
  <c r="N14" i="8"/>
  <c r="I15" i="6"/>
  <c r="J16" i="6" s="1"/>
  <c r="M14" i="6"/>
  <c r="L14" i="6"/>
  <c r="K15" i="6"/>
  <c r="O14" i="6"/>
  <c r="H15" i="6"/>
  <c r="I15" i="7"/>
  <c r="J16" i="7" s="1"/>
  <c r="M14" i="7"/>
  <c r="O14" i="7"/>
  <c r="L14" i="7"/>
  <c r="K15" i="7"/>
  <c r="H15" i="7"/>
  <c r="N14" i="6"/>
  <c r="I16" i="7" l="1"/>
  <c r="J17" i="7" s="1"/>
  <c r="M15" i="7"/>
  <c r="L15" i="7"/>
  <c r="K16" i="7"/>
  <c r="H16" i="7"/>
  <c r="O15" i="7"/>
  <c r="N16" i="8"/>
  <c r="N15" i="8"/>
  <c r="O15" i="8"/>
  <c r="H16" i="8"/>
  <c r="L15" i="8"/>
  <c r="M15" i="8"/>
  <c r="I16" i="8"/>
  <c r="J17" i="8" s="1"/>
  <c r="K16" i="8"/>
  <c r="I16" i="6"/>
  <c r="J17" i="6" s="1"/>
  <c r="M15" i="6"/>
  <c r="K16" i="6"/>
  <c r="L15" i="6"/>
  <c r="H16" i="6"/>
  <c r="O15" i="6"/>
  <c r="N15" i="6"/>
  <c r="N16" i="7"/>
  <c r="N15" i="7"/>
  <c r="N16" i="6" l="1"/>
  <c r="M16" i="7"/>
  <c r="I17" i="7"/>
  <c r="J18" i="7" s="1"/>
  <c r="O16" i="7"/>
  <c r="H17" i="7"/>
  <c r="K17" i="7"/>
  <c r="L16" i="7"/>
  <c r="N17" i="6"/>
  <c r="M16" i="6"/>
  <c r="I17" i="6"/>
  <c r="J18" i="6" s="1"/>
  <c r="L16" i="6"/>
  <c r="K17" i="6"/>
  <c r="O16" i="6"/>
  <c r="H17" i="6"/>
  <c r="M16" i="8"/>
  <c r="K17" i="8"/>
  <c r="I17" i="8"/>
  <c r="J18" i="8" s="1"/>
  <c r="O16" i="8"/>
  <c r="L16" i="8"/>
  <c r="H17" i="8"/>
  <c r="N17" i="8" s="1"/>
  <c r="N17" i="7"/>
  <c r="M17" i="7" l="1"/>
  <c r="K18" i="7"/>
  <c r="I18" i="7"/>
  <c r="J19" i="7" s="1"/>
  <c r="O17" i="7"/>
  <c r="L17" i="7"/>
  <c r="H18" i="7"/>
  <c r="N18" i="7" s="1"/>
  <c r="M17" i="6"/>
  <c r="I18" i="6"/>
  <c r="J19" i="6" s="1"/>
  <c r="L17" i="6"/>
  <c r="K18" i="6"/>
  <c r="O17" i="6"/>
  <c r="H18" i="6"/>
  <c r="H18" i="8"/>
  <c r="I18" i="8"/>
  <c r="J19" i="8" s="1"/>
  <c r="M17" i="8"/>
  <c r="L17" i="8"/>
  <c r="K18" i="8"/>
  <c r="O17" i="8"/>
  <c r="O18" i="8" l="1"/>
  <c r="H19" i="8"/>
  <c r="K19" i="8"/>
  <c r="M18" i="8"/>
  <c r="I19" i="8"/>
  <c r="J20" i="8" s="1"/>
  <c r="L18" i="8"/>
  <c r="N18" i="6"/>
  <c r="I19" i="6"/>
  <c r="J20" i="6" s="1"/>
  <c r="M18" i="6"/>
  <c r="L18" i="6"/>
  <c r="K19" i="6"/>
  <c r="O18" i="6"/>
  <c r="H19" i="6"/>
  <c r="N19" i="7"/>
  <c r="N18" i="8"/>
  <c r="I19" i="7"/>
  <c r="J20" i="7" s="1"/>
  <c r="M18" i="7"/>
  <c r="K19" i="7"/>
  <c r="O18" i="7"/>
  <c r="L18" i="7"/>
  <c r="H19" i="7"/>
  <c r="I20" i="7" l="1"/>
  <c r="J21" i="7" s="1"/>
  <c r="M19" i="7"/>
  <c r="O19" i="7"/>
  <c r="L19" i="7"/>
  <c r="K20" i="7"/>
  <c r="H20" i="7"/>
  <c r="N20" i="7" s="1"/>
  <c r="N19" i="8"/>
  <c r="M19" i="8"/>
  <c r="O19" i="8"/>
  <c r="H20" i="8"/>
  <c r="K20" i="8"/>
  <c r="I20" i="8"/>
  <c r="J21" i="8" s="1"/>
  <c r="L19" i="8"/>
  <c r="I20" i="6"/>
  <c r="J21" i="6" s="1"/>
  <c r="M19" i="6"/>
  <c r="K20" i="6"/>
  <c r="L19" i="6"/>
  <c r="H20" i="6"/>
  <c r="O19" i="6"/>
  <c r="N20" i="6"/>
  <c r="N19" i="6"/>
  <c r="N20" i="8" l="1"/>
  <c r="I21" i="6"/>
  <c r="J22" i="6" s="1"/>
  <c r="M20" i="6"/>
  <c r="L20" i="6"/>
  <c r="K21" i="6"/>
  <c r="O20" i="6"/>
  <c r="H21" i="6"/>
  <c r="M20" i="7"/>
  <c r="I21" i="7"/>
  <c r="J22" i="7" s="1"/>
  <c r="O20" i="7"/>
  <c r="K21" i="7"/>
  <c r="L20" i="7"/>
  <c r="H21" i="7"/>
  <c r="I21" i="8"/>
  <c r="J22" i="8" s="1"/>
  <c r="M20" i="8"/>
  <c r="K21" i="8"/>
  <c r="L20" i="8"/>
  <c r="O20" i="8"/>
  <c r="H21" i="8"/>
  <c r="M21" i="7" l="1"/>
  <c r="I22" i="7"/>
  <c r="J23" i="7" s="1"/>
  <c r="K22" i="7"/>
  <c r="H22" i="7"/>
  <c r="L21" i="7"/>
  <c r="O21" i="7"/>
  <c r="H22" i="8"/>
  <c r="M21" i="8"/>
  <c r="L21" i="8"/>
  <c r="K22" i="8"/>
  <c r="I22" i="8"/>
  <c r="J23" i="8" s="1"/>
  <c r="O21" i="8"/>
  <c r="N22" i="6"/>
  <c r="N22" i="7"/>
  <c r="N21" i="8"/>
  <c r="N21" i="7"/>
  <c r="M21" i="6"/>
  <c r="I22" i="6"/>
  <c r="J23" i="6" s="1"/>
  <c r="H22" i="6"/>
  <c r="L21" i="6"/>
  <c r="K22" i="6"/>
  <c r="O21" i="6"/>
  <c r="N21" i="6"/>
  <c r="O22" i="8" l="1"/>
  <c r="M22" i="8"/>
  <c r="I23" i="8"/>
  <c r="J24" i="8" s="1"/>
  <c r="L22" i="8"/>
  <c r="K23" i="8"/>
  <c r="H23" i="8"/>
  <c r="M22" i="6"/>
  <c r="I23" i="6"/>
  <c r="J24" i="6" s="1"/>
  <c r="O22" i="6"/>
  <c r="L22" i="6"/>
  <c r="K23" i="6"/>
  <c r="H23" i="6"/>
  <c r="I23" i="7"/>
  <c r="J24" i="7" s="1"/>
  <c r="M22" i="7"/>
  <c r="O22" i="7"/>
  <c r="L22" i="7"/>
  <c r="K23" i="7"/>
  <c r="H23" i="7"/>
  <c r="N22" i="8"/>
  <c r="N23" i="7" l="1"/>
  <c r="I24" i="6"/>
  <c r="J25" i="6" s="1"/>
  <c r="M23" i="6"/>
  <c r="K24" i="6"/>
  <c r="L23" i="6"/>
  <c r="H24" i="6"/>
  <c r="N24" i="6" s="1"/>
  <c r="O23" i="6"/>
  <c r="I24" i="8"/>
  <c r="J25" i="8" s="1"/>
  <c r="O23" i="8"/>
  <c r="M23" i="8"/>
  <c r="H24" i="8"/>
  <c r="L23" i="8"/>
  <c r="K24" i="8"/>
  <c r="N24" i="8"/>
  <c r="N23" i="6"/>
  <c r="I24" i="7"/>
  <c r="J25" i="7" s="1"/>
  <c r="M23" i="7"/>
  <c r="L23" i="7"/>
  <c r="K24" i="7"/>
  <c r="H24" i="7"/>
  <c r="N24" i="7" s="1"/>
  <c r="O23" i="7"/>
  <c r="N23" i="8"/>
  <c r="M24" i="7" l="1"/>
  <c r="I25" i="7"/>
  <c r="J26" i="7" s="1"/>
  <c r="H25" i="7"/>
  <c r="O24" i="7"/>
  <c r="L24" i="7"/>
  <c r="K25" i="7"/>
  <c r="I25" i="8"/>
  <c r="J26" i="8" s="1"/>
  <c r="L24" i="8"/>
  <c r="M24" i="8"/>
  <c r="O24" i="8"/>
  <c r="K25" i="8"/>
  <c r="H25" i="8"/>
  <c r="I25" i="6"/>
  <c r="J26" i="6" s="1"/>
  <c r="M24" i="6"/>
  <c r="H25" i="6"/>
  <c r="L24" i="6"/>
  <c r="K25" i="6"/>
  <c r="O24" i="6"/>
  <c r="N25" i="7"/>
  <c r="N26" i="6" l="1"/>
  <c r="N25" i="6"/>
  <c r="L25" i="8"/>
  <c r="I26" i="8"/>
  <c r="J27" i="8" s="1"/>
  <c r="O25" i="8"/>
  <c r="K26" i="8"/>
  <c r="M25" i="8"/>
  <c r="H26" i="8"/>
  <c r="M25" i="6"/>
  <c r="I26" i="6"/>
  <c r="J27" i="6" s="1"/>
  <c r="L25" i="6"/>
  <c r="K26" i="6"/>
  <c r="H26" i="6"/>
  <c r="O25" i="6"/>
  <c r="N25" i="8"/>
  <c r="M25" i="7"/>
  <c r="I26" i="7"/>
  <c r="J27" i="7" s="1"/>
  <c r="O25" i="7"/>
  <c r="L25" i="7"/>
  <c r="K26" i="7"/>
  <c r="H26" i="7"/>
  <c r="I27" i="8" l="1"/>
  <c r="J28" i="8" s="1"/>
  <c r="M26" i="8"/>
  <c r="O26" i="8"/>
  <c r="K27" i="8"/>
  <c r="H27" i="8"/>
  <c r="L26" i="8"/>
  <c r="M26" i="6"/>
  <c r="I27" i="6"/>
  <c r="J28" i="6" s="1"/>
  <c r="L26" i="6"/>
  <c r="K27" i="6"/>
  <c r="O26" i="6"/>
  <c r="H27" i="6"/>
  <c r="I27" i="7"/>
  <c r="J28" i="7" s="1"/>
  <c r="O26" i="7"/>
  <c r="K27" i="7"/>
  <c r="M26" i="7"/>
  <c r="L26" i="7"/>
  <c r="H27" i="7"/>
  <c r="N26" i="7"/>
  <c r="N26" i="8"/>
  <c r="N27" i="7"/>
  <c r="H28" i="8" l="1"/>
  <c r="I28" i="8"/>
  <c r="J29" i="8" s="1"/>
  <c r="O27" i="8"/>
  <c r="M27" i="8"/>
  <c r="K28" i="8"/>
  <c r="L27" i="8"/>
  <c r="I28" i="6"/>
  <c r="J29" i="6" s="1"/>
  <c r="M27" i="6"/>
  <c r="K28" i="6"/>
  <c r="L27" i="6"/>
  <c r="H28" i="6"/>
  <c r="O27" i="6"/>
  <c r="N27" i="6"/>
  <c r="N27" i="8"/>
  <c r="N28" i="6"/>
  <c r="I28" i="7"/>
  <c r="J29" i="7" s="1"/>
  <c r="M27" i="7"/>
  <c r="L27" i="7"/>
  <c r="O27" i="7"/>
  <c r="K28" i="7"/>
  <c r="H28" i="7"/>
  <c r="M28" i="7" l="1"/>
  <c r="O28" i="7"/>
  <c r="I29" i="7"/>
  <c r="J30" i="7" s="1"/>
  <c r="K29" i="7"/>
  <c r="L28" i="7"/>
  <c r="H29" i="7"/>
  <c r="O28" i="8"/>
  <c r="M28" i="8"/>
  <c r="K29" i="8"/>
  <c r="L28" i="8"/>
  <c r="I29" i="8"/>
  <c r="J30" i="8" s="1"/>
  <c r="H29" i="8"/>
  <c r="I29" i="6"/>
  <c r="J30" i="6" s="1"/>
  <c r="M28" i="6"/>
  <c r="L28" i="6"/>
  <c r="K29" i="6"/>
  <c r="O28" i="6"/>
  <c r="H29" i="6"/>
  <c r="N28" i="8"/>
  <c r="N28" i="7"/>
  <c r="M29" i="7" l="1"/>
  <c r="I30" i="7"/>
  <c r="J31" i="7" s="1"/>
  <c r="H30" i="7"/>
  <c r="K30" i="7"/>
  <c r="O29" i="7"/>
  <c r="L29" i="7"/>
  <c r="I30" i="8"/>
  <c r="J31" i="8" s="1"/>
  <c r="M29" i="8"/>
  <c r="H30" i="8"/>
  <c r="O29" i="8"/>
  <c r="K30" i="8"/>
  <c r="L29" i="8"/>
  <c r="N29" i="8"/>
  <c r="N30" i="7"/>
  <c r="M29" i="6"/>
  <c r="I30" i="6"/>
  <c r="J31" i="6" s="1"/>
  <c r="H30" i="6"/>
  <c r="O29" i="6"/>
  <c r="L29" i="6"/>
  <c r="K30" i="6"/>
  <c r="N29" i="7"/>
  <c r="N29" i="6"/>
  <c r="O30" i="8" l="1"/>
  <c r="M30" i="8"/>
  <c r="H31" i="8"/>
  <c r="I31" i="8"/>
  <c r="J32" i="8" s="1"/>
  <c r="L30" i="8"/>
  <c r="K31" i="8"/>
  <c r="N31" i="8"/>
  <c r="N30" i="6"/>
  <c r="N30" i="8"/>
  <c r="I31" i="7"/>
  <c r="J32" i="7" s="1"/>
  <c r="M30" i="7"/>
  <c r="K31" i="7"/>
  <c r="L30" i="7"/>
  <c r="O30" i="7"/>
  <c r="H31" i="7"/>
  <c r="M30" i="6"/>
  <c r="I31" i="6"/>
  <c r="J32" i="6" s="1"/>
  <c r="L30" i="6"/>
  <c r="K31" i="6"/>
  <c r="H31" i="6"/>
  <c r="O30" i="6"/>
  <c r="I32" i="7" l="1"/>
  <c r="J33" i="7" s="1"/>
  <c r="M31" i="7"/>
  <c r="K32" i="7"/>
  <c r="L31" i="7"/>
  <c r="O31" i="7"/>
  <c r="H32" i="7"/>
  <c r="H32" i="8"/>
  <c r="O31" i="8"/>
  <c r="M31" i="8"/>
  <c r="L31" i="8"/>
  <c r="I32" i="8"/>
  <c r="J33" i="8" s="1"/>
  <c r="K32" i="8"/>
  <c r="N31" i="7"/>
  <c r="N32" i="6"/>
  <c r="I32" i="6"/>
  <c r="J33" i="6" s="1"/>
  <c r="M31" i="6"/>
  <c r="O31" i="6"/>
  <c r="K32" i="6"/>
  <c r="L31" i="6"/>
  <c r="H32" i="6"/>
  <c r="N31" i="6"/>
  <c r="M32" i="8" l="1"/>
  <c r="I33" i="8"/>
  <c r="J34" i="8" s="1"/>
  <c r="O32" i="8"/>
  <c r="L32" i="8"/>
  <c r="K33" i="8"/>
  <c r="H33" i="8"/>
  <c r="N33" i="8" s="1"/>
  <c r="N32" i="8"/>
  <c r="M32" i="7"/>
  <c r="I33" i="7"/>
  <c r="J34" i="7" s="1"/>
  <c r="H33" i="7"/>
  <c r="O32" i="7"/>
  <c r="L32" i="7"/>
  <c r="K33" i="7"/>
  <c r="I33" i="6"/>
  <c r="J34" i="6" s="1"/>
  <c r="M32" i="6"/>
  <c r="L32" i="6"/>
  <c r="K33" i="6"/>
  <c r="O32" i="6"/>
  <c r="H33" i="6"/>
  <c r="N32" i="7"/>
  <c r="N33" i="7"/>
  <c r="M33" i="6" l="1"/>
  <c r="I34" i="6"/>
  <c r="J35" i="6" s="1"/>
  <c r="L33" i="6"/>
  <c r="K34" i="6"/>
  <c r="O33" i="6"/>
  <c r="H34" i="6"/>
  <c r="M33" i="8"/>
  <c r="H34" i="8"/>
  <c r="I34" i="8"/>
  <c r="J35" i="8" s="1"/>
  <c r="L33" i="8"/>
  <c r="O33" i="8"/>
  <c r="K34" i="8"/>
  <c r="M33" i="7"/>
  <c r="O33" i="7"/>
  <c r="L33" i="7"/>
  <c r="I34" i="7"/>
  <c r="J35" i="7" s="1"/>
  <c r="K34" i="7"/>
  <c r="H34" i="7"/>
  <c r="N34" i="8"/>
  <c r="N33" i="6"/>
  <c r="N34" i="7"/>
  <c r="M34" i="6" l="1"/>
  <c r="I35" i="6"/>
  <c r="J36" i="6" s="1"/>
  <c r="H35" i="6"/>
  <c r="L34" i="6"/>
  <c r="K35" i="6"/>
  <c r="O34" i="6"/>
  <c r="I35" i="7"/>
  <c r="J36" i="7" s="1"/>
  <c r="M34" i="7"/>
  <c r="O34" i="7"/>
  <c r="L34" i="7"/>
  <c r="K35" i="7"/>
  <c r="H35" i="7"/>
  <c r="N35" i="6"/>
  <c r="N35" i="7"/>
  <c r="H35" i="8"/>
  <c r="O34" i="8"/>
  <c r="K35" i="8"/>
  <c r="L34" i="8"/>
  <c r="M34" i="8"/>
  <c r="I35" i="8"/>
  <c r="J36" i="8" s="1"/>
  <c r="N34" i="6"/>
  <c r="I36" i="7" l="1"/>
  <c r="J37" i="7" s="1"/>
  <c r="M35" i="7"/>
  <c r="K36" i="7"/>
  <c r="L35" i="7"/>
  <c r="O35" i="7"/>
  <c r="H36" i="7"/>
  <c r="I36" i="6"/>
  <c r="J37" i="6" s="1"/>
  <c r="M35" i="6"/>
  <c r="K36" i="6"/>
  <c r="L35" i="6"/>
  <c r="O35" i="6"/>
  <c r="H36" i="6"/>
  <c r="I36" i="8"/>
  <c r="J37" i="8" s="1"/>
  <c r="M35" i="8"/>
  <c r="O35" i="8"/>
  <c r="K36" i="8"/>
  <c r="H36" i="8"/>
  <c r="L35" i="8"/>
  <c r="N35" i="8"/>
  <c r="N36" i="6" l="1"/>
  <c r="I37" i="6"/>
  <c r="J38" i="6" s="1"/>
  <c r="O36" i="6"/>
  <c r="M36" i="6"/>
  <c r="L36" i="6"/>
  <c r="K37" i="6"/>
  <c r="H37" i="6"/>
  <c r="N36" i="8"/>
  <c r="M36" i="7"/>
  <c r="I37" i="7"/>
  <c r="J38" i="7" s="1"/>
  <c r="H37" i="7"/>
  <c r="O36" i="7"/>
  <c r="L36" i="7"/>
  <c r="K37" i="7"/>
  <c r="N36" i="7"/>
  <c r="H37" i="8"/>
  <c r="M36" i="8"/>
  <c r="I37" i="8"/>
  <c r="J38" i="8" s="1"/>
  <c r="K37" i="8"/>
  <c r="O36" i="8"/>
  <c r="L36" i="8"/>
  <c r="N37" i="7"/>
  <c r="M37" i="6" l="1"/>
  <c r="I38" i="6"/>
  <c r="J39" i="6" s="1"/>
  <c r="H38" i="6"/>
  <c r="L37" i="6"/>
  <c r="K38" i="6"/>
  <c r="O37" i="6"/>
  <c r="N38" i="6"/>
  <c r="I38" i="7"/>
  <c r="J39" i="7" s="1"/>
  <c r="M37" i="7"/>
  <c r="K38" i="7"/>
  <c r="O37" i="7"/>
  <c r="L37" i="7"/>
  <c r="H38" i="7"/>
  <c r="M37" i="8"/>
  <c r="I38" i="8"/>
  <c r="J39" i="8" s="1"/>
  <c r="H38" i="8"/>
  <c r="K38" i="8"/>
  <c r="O37" i="8"/>
  <c r="L37" i="8"/>
  <c r="N37" i="6"/>
  <c r="N37" i="8"/>
  <c r="I39" i="7" l="1"/>
  <c r="J40" i="7" s="1"/>
  <c r="M38" i="7"/>
  <c r="O38" i="7"/>
  <c r="K39" i="7"/>
  <c r="L38" i="7"/>
  <c r="H39" i="7"/>
  <c r="N38" i="8"/>
  <c r="N38" i="7"/>
  <c r="M38" i="6"/>
  <c r="I39" i="6"/>
  <c r="J40" i="6" s="1"/>
  <c r="O38" i="6"/>
  <c r="L38" i="6"/>
  <c r="K39" i="6"/>
  <c r="H39" i="6"/>
  <c r="N39" i="8"/>
  <c r="N39" i="6"/>
  <c r="O38" i="8"/>
  <c r="H39" i="8"/>
  <c r="K39" i="8"/>
  <c r="M38" i="8"/>
  <c r="L38" i="8"/>
  <c r="I39" i="8"/>
  <c r="J40" i="8" s="1"/>
  <c r="I40" i="6" l="1"/>
  <c r="J41" i="6" s="1"/>
  <c r="M39" i="6"/>
  <c r="K40" i="6"/>
  <c r="L39" i="6"/>
  <c r="H40" i="6"/>
  <c r="O39" i="6"/>
  <c r="I40" i="7"/>
  <c r="J41" i="7" s="1"/>
  <c r="M39" i="7"/>
  <c r="K40" i="7"/>
  <c r="L39" i="7"/>
  <c r="O39" i="7"/>
  <c r="H40" i="7"/>
  <c r="N39" i="7"/>
  <c r="I40" i="8"/>
  <c r="J41" i="8" s="1"/>
  <c r="O39" i="8"/>
  <c r="M39" i="8"/>
  <c r="H40" i="8"/>
  <c r="L39" i="8"/>
  <c r="K40" i="8"/>
  <c r="N40" i="6"/>
  <c r="N40" i="7" l="1"/>
  <c r="I41" i="6"/>
  <c r="J42" i="6" s="1"/>
  <c r="M40" i="6"/>
  <c r="L40" i="6"/>
  <c r="K41" i="6"/>
  <c r="H41" i="6"/>
  <c r="O40" i="6"/>
  <c r="M40" i="7"/>
  <c r="H41" i="7"/>
  <c r="I41" i="7"/>
  <c r="J42" i="7" s="1"/>
  <c r="O40" i="7"/>
  <c r="K41" i="7"/>
  <c r="L40" i="7"/>
  <c r="N41" i="7"/>
  <c r="H41" i="8"/>
  <c r="N41" i="8" s="1"/>
  <c r="M40" i="8"/>
  <c r="L40" i="8"/>
  <c r="I41" i="8"/>
  <c r="J42" i="8" s="1"/>
  <c r="O40" i="8"/>
  <c r="K41" i="8"/>
  <c r="N41" i="6"/>
  <c r="N40" i="8"/>
  <c r="M41" i="6" l="1"/>
  <c r="I42" i="6"/>
  <c r="J43" i="6" s="1"/>
  <c r="L41" i="6"/>
  <c r="K42" i="6"/>
  <c r="H42" i="6"/>
  <c r="O41" i="6"/>
  <c r="N42" i="7"/>
  <c r="M41" i="8"/>
  <c r="I42" i="8"/>
  <c r="J43" i="8" s="1"/>
  <c r="L41" i="8"/>
  <c r="K42" i="8"/>
  <c r="O41" i="8"/>
  <c r="H42" i="8"/>
  <c r="N42" i="8" s="1"/>
  <c r="I42" i="7"/>
  <c r="J43" i="7" s="1"/>
  <c r="M41" i="7"/>
  <c r="H42" i="7"/>
  <c r="O41" i="7"/>
  <c r="L41" i="7"/>
  <c r="K42" i="7"/>
  <c r="M42" i="6" l="1"/>
  <c r="I43" i="6"/>
  <c r="J44" i="6" s="1"/>
  <c r="H43" i="6"/>
  <c r="L42" i="6"/>
  <c r="K43" i="6"/>
  <c r="O42" i="6"/>
  <c r="N42" i="6"/>
  <c r="H43" i="8"/>
  <c r="O42" i="8"/>
  <c r="M42" i="8"/>
  <c r="I43" i="8"/>
  <c r="J44" i="8" s="1"/>
  <c r="L42" i="8"/>
  <c r="K43" i="8"/>
  <c r="N43" i="8"/>
  <c r="N43" i="6"/>
  <c r="I43" i="7"/>
  <c r="J44" i="7" s="1"/>
  <c r="O42" i="7"/>
  <c r="M42" i="7"/>
  <c r="L42" i="7"/>
  <c r="K43" i="7"/>
  <c r="H43" i="7"/>
  <c r="I44" i="6" l="1"/>
  <c r="J45" i="6" s="1"/>
  <c r="M43" i="6"/>
  <c r="K44" i="6"/>
  <c r="L43" i="6"/>
  <c r="O43" i="6"/>
  <c r="H44" i="6"/>
  <c r="N44" i="6" s="1"/>
  <c r="I44" i="7"/>
  <c r="J45" i="7" s="1"/>
  <c r="M43" i="7"/>
  <c r="O43" i="7"/>
  <c r="L43" i="7"/>
  <c r="K44" i="7"/>
  <c r="H44" i="7"/>
  <c r="N44" i="7"/>
  <c r="I44" i="8"/>
  <c r="J45" i="8" s="1"/>
  <c r="M43" i="8"/>
  <c r="O43" i="8"/>
  <c r="K44" i="8"/>
  <c r="L43" i="8"/>
  <c r="H44" i="8"/>
  <c r="N43" i="7"/>
  <c r="N44" i="8" l="1"/>
  <c r="H45" i="8"/>
  <c r="O44" i="8"/>
  <c r="K45" i="8"/>
  <c r="M44" i="8"/>
  <c r="I45" i="8"/>
  <c r="J46" i="8" s="1"/>
  <c r="L44" i="8"/>
  <c r="M44" i="7"/>
  <c r="H45" i="7"/>
  <c r="I45" i="7"/>
  <c r="J46" i="7" s="1"/>
  <c r="O44" i="7"/>
  <c r="K45" i="7"/>
  <c r="L44" i="7"/>
  <c r="I45" i="6"/>
  <c r="J46" i="6" s="1"/>
  <c r="M44" i="6"/>
  <c r="L44" i="6"/>
  <c r="K45" i="6"/>
  <c r="H45" i="6"/>
  <c r="O44" i="6"/>
  <c r="N46" i="7" l="1"/>
  <c r="M45" i="8"/>
  <c r="I46" i="8"/>
  <c r="J47" i="8" s="1"/>
  <c r="O45" i="8"/>
  <c r="K46" i="8"/>
  <c r="L45" i="8"/>
  <c r="H46" i="8"/>
  <c r="N46" i="6"/>
  <c r="N45" i="8"/>
  <c r="N45" i="6"/>
  <c r="I46" i="7"/>
  <c r="J47" i="7" s="1"/>
  <c r="H46" i="7"/>
  <c r="K46" i="7"/>
  <c r="M45" i="7"/>
  <c r="O45" i="7"/>
  <c r="L45" i="7"/>
  <c r="N46" i="8"/>
  <c r="M45" i="6"/>
  <c r="I46" i="6"/>
  <c r="J47" i="6" s="1"/>
  <c r="H46" i="6"/>
  <c r="O45" i="6"/>
  <c r="L45" i="6"/>
  <c r="K46" i="6"/>
  <c r="N45" i="7"/>
  <c r="O46" i="8" l="1"/>
  <c r="H47" i="8"/>
  <c r="I47" i="8"/>
  <c r="J48" i="8" s="1"/>
  <c r="M46" i="8"/>
  <c r="K47" i="8"/>
  <c r="L46" i="8"/>
  <c r="I47" i="7"/>
  <c r="J48" i="7" s="1"/>
  <c r="O46" i="7"/>
  <c r="M46" i="7"/>
  <c r="K47" i="7"/>
  <c r="L46" i="7"/>
  <c r="H47" i="7"/>
  <c r="N47" i="8"/>
  <c r="M46" i="6"/>
  <c r="I47" i="6"/>
  <c r="J48" i="6" s="1"/>
  <c r="L46" i="6"/>
  <c r="K47" i="6"/>
  <c r="H47" i="6"/>
  <c r="O46" i="6"/>
  <c r="N47" i="7" l="1"/>
  <c r="N47" i="6"/>
  <c r="I48" i="6"/>
  <c r="J49" i="6" s="1"/>
  <c r="O47" i="6"/>
  <c r="M47" i="6"/>
  <c r="K48" i="6"/>
  <c r="L47" i="6"/>
  <c r="H48" i="6"/>
  <c r="I48" i="7"/>
  <c r="J49" i="7" s="1"/>
  <c r="M47" i="7"/>
  <c r="L47" i="7"/>
  <c r="K48" i="7"/>
  <c r="O47" i="7"/>
  <c r="H48" i="7"/>
  <c r="I48" i="8"/>
  <c r="J49" i="8" s="1"/>
  <c r="O47" i="8"/>
  <c r="M47" i="8"/>
  <c r="K48" i="8"/>
  <c r="L47" i="8"/>
  <c r="H48" i="8"/>
  <c r="N48" i="8" s="1"/>
  <c r="I49" i="6" l="1"/>
  <c r="J50" i="6" s="1"/>
  <c r="M48" i="6"/>
  <c r="L48" i="6"/>
  <c r="K49" i="6"/>
  <c r="O48" i="6"/>
  <c r="H49" i="6"/>
  <c r="N48" i="6"/>
  <c r="H49" i="8"/>
  <c r="I49" i="8"/>
  <c r="J50" i="8" s="1"/>
  <c r="L48" i="8"/>
  <c r="K49" i="8"/>
  <c r="O48" i="8"/>
  <c r="M48" i="8"/>
  <c r="N49" i="8"/>
  <c r="H49" i="7"/>
  <c r="O48" i="7"/>
  <c r="M48" i="7"/>
  <c r="I49" i="7"/>
  <c r="J50" i="7" s="1"/>
  <c r="K49" i="7"/>
  <c r="L48" i="7"/>
  <c r="N48" i="7"/>
  <c r="M49" i="6" l="1"/>
  <c r="I50" i="6"/>
  <c r="J51" i="6" s="1"/>
  <c r="L49" i="6"/>
  <c r="K50" i="6"/>
  <c r="H50" i="6"/>
  <c r="O49" i="6"/>
  <c r="M49" i="8"/>
  <c r="I50" i="8"/>
  <c r="J51" i="8" s="1"/>
  <c r="L49" i="8"/>
  <c r="H50" i="8"/>
  <c r="O49" i="8"/>
  <c r="K50" i="8"/>
  <c r="N49" i="6"/>
  <c r="M49" i="7"/>
  <c r="H50" i="7"/>
  <c r="I50" i="7"/>
  <c r="J51" i="7" s="1"/>
  <c r="K50" i="7"/>
  <c r="O49" i="7"/>
  <c r="L49" i="7"/>
  <c r="N49" i="7"/>
  <c r="M50" i="6" l="1"/>
  <c r="I51" i="6"/>
  <c r="J52" i="6" s="1"/>
  <c r="H51" i="6"/>
  <c r="L50" i="6"/>
  <c r="K51" i="6"/>
  <c r="O50" i="6"/>
  <c r="N51" i="6"/>
  <c r="N51" i="8"/>
  <c r="H51" i="8"/>
  <c r="O50" i="8"/>
  <c r="M50" i="8"/>
  <c r="L50" i="8"/>
  <c r="I51" i="8"/>
  <c r="J52" i="8" s="1"/>
  <c r="K51" i="8"/>
  <c r="N50" i="6"/>
  <c r="I51" i="7"/>
  <c r="J52" i="7" s="1"/>
  <c r="O50" i="7"/>
  <c r="M50" i="7"/>
  <c r="K51" i="7"/>
  <c r="L50" i="7"/>
  <c r="H51" i="7"/>
  <c r="N51" i="7" s="1"/>
  <c r="N50" i="7"/>
  <c r="N50" i="8"/>
  <c r="M51" i="7" l="1"/>
  <c r="O51" i="7"/>
  <c r="I52" i="7"/>
  <c r="J53" i="7" s="1"/>
  <c r="L51" i="7"/>
  <c r="H52" i="7"/>
  <c r="K52" i="7"/>
  <c r="I52" i="6"/>
  <c r="J53" i="6" s="1"/>
  <c r="M51" i="6"/>
  <c r="K52" i="6"/>
  <c r="L51" i="6"/>
  <c r="O51" i="6"/>
  <c r="H52" i="6"/>
  <c r="I52" i="8"/>
  <c r="J53" i="8" s="1"/>
  <c r="M51" i="8"/>
  <c r="O51" i="8"/>
  <c r="K52" i="8"/>
  <c r="L51" i="8"/>
  <c r="H52" i="8"/>
  <c r="I53" i="6" l="1"/>
  <c r="J54" i="6" s="1"/>
  <c r="M52" i="6"/>
  <c r="L52" i="6"/>
  <c r="K53" i="6"/>
  <c r="O52" i="6"/>
  <c r="H53" i="6"/>
  <c r="H53" i="7"/>
  <c r="I53" i="7"/>
  <c r="J54" i="7" s="1"/>
  <c r="O52" i="7"/>
  <c r="M52" i="7"/>
  <c r="L52" i="7"/>
  <c r="K53" i="7"/>
  <c r="H53" i="8"/>
  <c r="M52" i="8"/>
  <c r="L52" i="8"/>
  <c r="O52" i="8"/>
  <c r="I53" i="8"/>
  <c r="J54" i="8" s="1"/>
  <c r="K53" i="8"/>
  <c r="N52" i="7"/>
  <c r="N52" i="6"/>
  <c r="N52" i="8"/>
  <c r="M53" i="8" l="1"/>
  <c r="I54" i="8"/>
  <c r="J55" i="8" s="1"/>
  <c r="H54" i="8"/>
  <c r="K54" i="8"/>
  <c r="O53" i="8"/>
  <c r="L53" i="8"/>
  <c r="K54" i="7"/>
  <c r="H54" i="7"/>
  <c r="I54" i="7"/>
  <c r="J55" i="7" s="1"/>
  <c r="L53" i="7"/>
  <c r="O53" i="7"/>
  <c r="M53" i="7"/>
  <c r="N53" i="8"/>
  <c r="N53" i="7"/>
  <c r="M53" i="6"/>
  <c r="I54" i="6"/>
  <c r="J55" i="6" s="1"/>
  <c r="H54" i="6"/>
  <c r="L53" i="6"/>
  <c r="K54" i="6"/>
  <c r="O53" i="6"/>
  <c r="N54" i="8"/>
  <c r="N53" i="6"/>
  <c r="N54" i="6"/>
  <c r="M54" i="7" l="1"/>
  <c r="K55" i="7"/>
  <c r="I55" i="7"/>
  <c r="J56" i="7" s="1"/>
  <c r="O54" i="7"/>
  <c r="L54" i="7"/>
  <c r="H55" i="7"/>
  <c r="O54" i="8"/>
  <c r="H55" i="8"/>
  <c r="N55" i="8" s="1"/>
  <c r="I55" i="8"/>
  <c r="J56" i="8" s="1"/>
  <c r="K55" i="8"/>
  <c r="M54" i="8"/>
  <c r="L54" i="8"/>
  <c r="N54" i="7"/>
  <c r="M54" i="6"/>
  <c r="I55" i="6"/>
  <c r="J56" i="6" s="1"/>
  <c r="O54" i="6"/>
  <c r="L54" i="6"/>
  <c r="K55" i="6"/>
  <c r="H55" i="6"/>
  <c r="N55" i="7"/>
  <c r="H56" i="7" l="1"/>
  <c r="N56" i="7" s="1"/>
  <c r="I56" i="7"/>
  <c r="J57" i="7" s="1"/>
  <c r="L55" i="7"/>
  <c r="M55" i="7"/>
  <c r="K56" i="7"/>
  <c r="O55" i="7"/>
  <c r="N55" i="6"/>
  <c r="I56" i="8"/>
  <c r="J57" i="8" s="1"/>
  <c r="O55" i="8"/>
  <c r="M55" i="8"/>
  <c r="H56" i="8"/>
  <c r="K56" i="8"/>
  <c r="L55" i="8"/>
  <c r="I56" i="6"/>
  <c r="J57" i="6" s="1"/>
  <c r="M55" i="6"/>
  <c r="K56" i="6"/>
  <c r="L55" i="6"/>
  <c r="H56" i="6"/>
  <c r="O55" i="6"/>
  <c r="N56" i="6" l="1"/>
  <c r="N56" i="8"/>
  <c r="H57" i="8"/>
  <c r="M56" i="8"/>
  <c r="O56" i="8"/>
  <c r="K57" i="8"/>
  <c r="L56" i="8"/>
  <c r="I57" i="8"/>
  <c r="J58" i="8" s="1"/>
  <c r="O56" i="7"/>
  <c r="H57" i="7"/>
  <c r="I57" i="7"/>
  <c r="J58" i="7" s="1"/>
  <c r="M56" i="7"/>
  <c r="K57" i="7"/>
  <c r="L56" i="7"/>
  <c r="I57" i="6"/>
  <c r="J58" i="6" s="1"/>
  <c r="M56" i="6"/>
  <c r="L56" i="6"/>
  <c r="K57" i="6"/>
  <c r="H57" i="6"/>
  <c r="O56" i="6"/>
  <c r="N57" i="7"/>
  <c r="M57" i="8" l="1"/>
  <c r="I58" i="8"/>
  <c r="J59" i="8" s="1"/>
  <c r="L57" i="8"/>
  <c r="H58" i="8"/>
  <c r="O57" i="8"/>
  <c r="K58" i="8"/>
  <c r="M57" i="6"/>
  <c r="I58" i="6"/>
  <c r="J59" i="6" s="1"/>
  <c r="L57" i="6"/>
  <c r="K58" i="6"/>
  <c r="H58" i="6"/>
  <c r="O57" i="6"/>
  <c r="M57" i="7"/>
  <c r="O57" i="7"/>
  <c r="H58" i="7"/>
  <c r="I58" i="7"/>
  <c r="J59" i="7" s="1"/>
  <c r="L57" i="7"/>
  <c r="K58" i="7"/>
  <c r="N57" i="8"/>
  <c r="N58" i="8"/>
  <c r="N57" i="6"/>
  <c r="N58" i="7" l="1"/>
  <c r="H59" i="8"/>
  <c r="O58" i="8"/>
  <c r="M58" i="8"/>
  <c r="I59" i="8"/>
  <c r="J60" i="8" s="1"/>
  <c r="L58" i="8"/>
  <c r="K59" i="8"/>
  <c r="I59" i="7"/>
  <c r="J60" i="7" s="1"/>
  <c r="M58" i="7"/>
  <c r="K59" i="7"/>
  <c r="L58" i="7"/>
  <c r="O58" i="7"/>
  <c r="H59" i="7"/>
  <c r="N58" i="6"/>
  <c r="M58" i="6"/>
  <c r="I59" i="6"/>
  <c r="J60" i="6" s="1"/>
  <c r="H59" i="6"/>
  <c r="L58" i="6"/>
  <c r="K59" i="6"/>
  <c r="O58" i="6"/>
  <c r="N59" i="8"/>
  <c r="H60" i="7" l="1"/>
  <c r="O59" i="7"/>
  <c r="M59" i="7"/>
  <c r="I60" i="7"/>
  <c r="J61" i="7" s="1"/>
  <c r="K60" i="7"/>
  <c r="L59" i="7"/>
  <c r="N60" i="6"/>
  <c r="N59" i="7"/>
  <c r="I60" i="8"/>
  <c r="J61" i="8" s="1"/>
  <c r="M59" i="8"/>
  <c r="O59" i="8"/>
  <c r="K60" i="8"/>
  <c r="L59" i="8"/>
  <c r="H60" i="8"/>
  <c r="N59" i="6"/>
  <c r="I60" i="6"/>
  <c r="J61" i="6" s="1"/>
  <c r="M59" i="6"/>
  <c r="K60" i="6"/>
  <c r="L59" i="6"/>
  <c r="O59" i="6"/>
  <c r="H60" i="6"/>
  <c r="H61" i="8" l="1"/>
  <c r="O60" i="8"/>
  <c r="I61" i="8"/>
  <c r="J62" i="8" s="1"/>
  <c r="L60" i="8"/>
  <c r="M60" i="8"/>
  <c r="K61" i="8"/>
  <c r="I61" i="6"/>
  <c r="J62" i="6" s="1"/>
  <c r="M60" i="6"/>
  <c r="L60" i="6"/>
  <c r="K61" i="6"/>
  <c r="O60" i="6"/>
  <c r="H61" i="6"/>
  <c r="N60" i="8"/>
  <c r="N61" i="8"/>
  <c r="N61" i="6"/>
  <c r="N60" i="7"/>
  <c r="O60" i="7"/>
  <c r="I61" i="7"/>
  <c r="J62" i="7" s="1"/>
  <c r="L60" i="7"/>
  <c r="K61" i="7"/>
  <c r="M60" i="7"/>
  <c r="H61" i="7"/>
  <c r="I62" i="7" l="1"/>
  <c r="J63" i="7" s="1"/>
  <c r="O61" i="7"/>
  <c r="K62" i="7"/>
  <c r="M61" i="7"/>
  <c r="H62" i="7"/>
  <c r="N62" i="7" s="1"/>
  <c r="L61" i="7"/>
  <c r="N61" i="7"/>
  <c r="M61" i="6"/>
  <c r="I62" i="6"/>
  <c r="J63" i="6" s="1"/>
  <c r="H62" i="6"/>
  <c r="O61" i="6"/>
  <c r="L61" i="6"/>
  <c r="K62" i="6"/>
  <c r="M61" i="8"/>
  <c r="I62" i="8"/>
  <c r="J63" i="8" s="1"/>
  <c r="O61" i="8"/>
  <c r="L61" i="8"/>
  <c r="H62" i="8"/>
  <c r="K62" i="8"/>
  <c r="N62" i="8" l="1"/>
  <c r="I63" i="7"/>
  <c r="J64" i="7" s="1"/>
  <c r="O62" i="7"/>
  <c r="M62" i="7"/>
  <c r="L62" i="7"/>
  <c r="K63" i="7"/>
  <c r="H63" i="7"/>
  <c r="N63" i="7" s="1"/>
  <c r="O62" i="8"/>
  <c r="H63" i="8"/>
  <c r="I63" i="8"/>
  <c r="J64" i="8" s="1"/>
  <c r="K63" i="8"/>
  <c r="M62" i="8"/>
  <c r="L62" i="8"/>
  <c r="M62" i="6"/>
  <c r="I63" i="6"/>
  <c r="J64" i="6" s="1"/>
  <c r="L62" i="6"/>
  <c r="K63" i="6"/>
  <c r="H63" i="6"/>
  <c r="O62" i="6"/>
  <c r="N62" i="6"/>
  <c r="N64" i="8" l="1"/>
  <c r="L63" i="7"/>
  <c r="H64" i="7"/>
  <c r="K64" i="7"/>
  <c r="I64" i="7"/>
  <c r="J65" i="7" s="1"/>
  <c r="M63" i="7"/>
  <c r="O63" i="7"/>
  <c r="N63" i="6"/>
  <c r="I64" i="6"/>
  <c r="J65" i="6" s="1"/>
  <c r="O63" i="6"/>
  <c r="M63" i="6"/>
  <c r="K64" i="6"/>
  <c r="L63" i="6"/>
  <c r="H64" i="6"/>
  <c r="I64" i="8"/>
  <c r="J65" i="8" s="1"/>
  <c r="O63" i="8"/>
  <c r="M63" i="8"/>
  <c r="H64" i="8"/>
  <c r="K64" i="8"/>
  <c r="L63" i="8"/>
  <c r="N63" i="8"/>
  <c r="I65" i="6" l="1"/>
  <c r="J66" i="6" s="1"/>
  <c r="M64" i="6"/>
  <c r="L64" i="6"/>
  <c r="K65" i="6"/>
  <c r="O64" i="6"/>
  <c r="H65" i="6"/>
  <c r="I65" i="7"/>
  <c r="J66" i="7" s="1"/>
  <c r="M64" i="7"/>
  <c r="O64" i="7"/>
  <c r="H65" i="7"/>
  <c r="L64" i="7"/>
  <c r="K65" i="7"/>
  <c r="H65" i="8"/>
  <c r="I65" i="8"/>
  <c r="J66" i="8" s="1"/>
  <c r="M64" i="8"/>
  <c r="K65" i="8"/>
  <c r="O64" i="8"/>
  <c r="L64" i="8"/>
  <c r="N64" i="7"/>
  <c r="N64" i="6"/>
  <c r="M65" i="6" l="1"/>
  <c r="I66" i="6"/>
  <c r="L65" i="6"/>
  <c r="K66" i="6"/>
  <c r="H66" i="6"/>
  <c r="N66" i="6" s="1"/>
  <c r="N68" i="6" s="1"/>
  <c r="O65" i="6"/>
  <c r="N66" i="7"/>
  <c r="N68" i="7" s="1"/>
  <c r="N65" i="8"/>
  <c r="M65" i="8"/>
  <c r="I66" i="8"/>
  <c r="N66" i="8" s="1"/>
  <c r="N68" i="8" s="1"/>
  <c r="L65" i="8"/>
  <c r="K66" i="8"/>
  <c r="O65" i="8"/>
  <c r="H66" i="8"/>
  <c r="N65" i="6"/>
  <c r="H66" i="7"/>
  <c r="O65" i="7"/>
  <c r="I66" i="7"/>
  <c r="K66" i="7"/>
  <c r="M65" i="7"/>
  <c r="L65" i="7"/>
  <c r="N65" i="7"/>
  <c r="M66" i="6" l="1"/>
  <c r="M68" i="6" s="1"/>
  <c r="L66" i="6"/>
  <c r="O66" i="6"/>
  <c r="O68" i="6" s="1"/>
  <c r="O66" i="8"/>
  <c r="O68" i="8" s="1"/>
  <c r="L66" i="8"/>
  <c r="M66" i="8"/>
  <c r="M68" i="8" s="1"/>
  <c r="O66" i="7"/>
  <c r="O68" i="7" s="1"/>
  <c r="M66" i="7"/>
  <c r="M68" i="7" s="1"/>
  <c r="L66" i="7"/>
  <c r="E15" i="2" l="1"/>
  <c r="S4" i="9"/>
  <c r="D15" i="2"/>
  <c r="T4" i="9"/>
  <c r="E16" i="2"/>
  <c r="U4" i="9"/>
  <c r="E14" i="2"/>
  <c r="Q4" i="9"/>
  <c r="D16" i="2"/>
  <c r="V4" i="9"/>
  <c r="D14" i="2"/>
  <c r="R4" i="9"/>
  <c r="D19" i="2" l="1"/>
  <c r="D21" i="2"/>
  <c r="D20" i="2"/>
</calcChain>
</file>

<file path=xl/comments1.xml><?xml version="1.0" encoding="utf-8"?>
<comments xmlns="http://schemas.openxmlformats.org/spreadsheetml/2006/main">
  <authors>
    <author>Andrew Briggs</author>
  </authors>
  <commentList>
    <comment ref="L10" authorId="0" shapeId="0">
      <text>
        <r>
          <rPr>
            <b/>
            <sz val="8"/>
            <color indexed="81"/>
            <rFont val="Tahoma"/>
          </rPr>
          <t>Important:</t>
        </r>
        <r>
          <rPr>
            <sz val="8"/>
            <color indexed="81"/>
            <rFont val="Tahoma"/>
          </rPr>
          <t xml:space="preserve">
Remember to run the PSA each time the age/sex characteristics are changed</t>
        </r>
      </text>
    </comment>
  </commentList>
</comments>
</file>

<file path=xl/comments2.xml><?xml version="1.0" encoding="utf-8"?>
<comments xmlns="http://schemas.openxmlformats.org/spreadsheetml/2006/main">
  <authors>
    <author>Andrew Briggs</author>
  </authors>
  <commentList>
    <comment ref="B3" authorId="0" shapeId="0">
      <text>
        <r>
          <rPr>
            <sz val="8"/>
            <color indexed="81"/>
            <rFont val="Tahoma"/>
          </rPr>
          <t xml:space="preserve">Note that this is the cell that is linked to the 'form' on the &lt;Analysis&gt; sheet where male (returns value 1) or female (returns value 2) is chosen
</t>
        </r>
      </text>
    </comment>
    <comment ref="D3" authorId="0" shapeId="0">
      <text>
        <r>
          <rPr>
            <sz val="8"/>
            <color indexed="81"/>
            <rFont val="Tahoma"/>
          </rPr>
          <t>'Switch' to control deterministic versus probabilistic analysis:
        0 = deterministic
        1 = probabilistic</t>
        </r>
      </text>
    </comment>
    <comment ref="D6" authorId="0" shapeId="0">
      <text>
        <r>
          <rPr>
            <sz val="8"/>
            <color indexed="81"/>
            <rFont val="Tahoma"/>
            <family val="2"/>
          </rPr>
          <t>Assume that distributions evaluated at the mean in deterministic analysis: therefore this column also represents the mean for probabilistic analysis</t>
        </r>
      </text>
    </comment>
    <comment ref="E22" authorId="0" shapeId="0">
      <text>
        <r>
          <rPr>
            <b/>
            <sz val="8"/>
            <color indexed="81"/>
            <rFont val="Tahoma"/>
          </rPr>
          <t xml:space="preserve">Note:
</t>
        </r>
        <r>
          <rPr>
            <sz val="8"/>
            <color indexed="81"/>
            <rFont val="Tahoma"/>
            <family val="2"/>
          </rPr>
          <t>The standard errors are reported here for completeness, but simulations are generated from the &lt;Hazard function&gt; sheet where the covariance is taken into account</t>
        </r>
        <r>
          <rPr>
            <sz val="8"/>
            <color indexed="81"/>
            <rFont val="Tahoma"/>
          </rPr>
          <t xml:space="preserve">
</t>
        </r>
      </text>
    </comment>
    <comment ref="B32" authorId="0" shapeId="0">
      <text>
        <r>
          <rPr>
            <sz val="8"/>
            <color indexed="81"/>
            <rFont val="Tahoma"/>
            <family val="2"/>
          </rPr>
          <t>Note that the cost of the primary procedure is excluded: since both arms have this procedure it is assumed to net out of the incremental analysis.  However, if the model was to be used to estimate lifetime costs of THR it would be important to include.</t>
        </r>
      </text>
    </comment>
    <comment ref="B34" authorId="0" shapeId="0">
      <text>
        <r>
          <rPr>
            <sz val="8"/>
            <color indexed="81"/>
            <rFont val="Tahoma"/>
            <family val="2"/>
          </rPr>
          <t>There are assumed to be no ongoing monitoring costs for successful THR.  However, this parameter is included in case users want to change this assumption.</t>
        </r>
      </text>
    </comment>
  </commentList>
</comments>
</file>

<file path=xl/comments3.xml><?xml version="1.0" encoding="utf-8"?>
<comments xmlns="http://schemas.openxmlformats.org/spreadsheetml/2006/main">
  <authors>
    <author>Andrew Briggs</author>
  </authors>
  <commentList>
    <comment ref="G1" authorId="0" shapeId="0">
      <text>
        <r>
          <rPr>
            <sz val="8"/>
            <color indexed="81"/>
            <rFont val="Tahoma"/>
            <family val="2"/>
          </rPr>
          <t>Taken from "Health Statistics Quarterly 09", published Spring 1999 by the Office of National Statistics (www.statistics.gov.uk)</t>
        </r>
      </text>
    </comment>
  </commentList>
</comments>
</file>

<file path=xl/comments4.xml><?xml version="1.0" encoding="utf-8"?>
<comments xmlns="http://schemas.openxmlformats.org/spreadsheetml/2006/main">
  <authors>
    <author>Andrew Briggs</author>
  </authors>
  <commentList>
    <comment ref="B24" authorId="0" shapeId="0">
      <text>
        <r>
          <rPr>
            <b/>
            <sz val="8"/>
            <color indexed="81"/>
            <rFont val="Tahoma"/>
          </rPr>
          <t>Key to Cholesky decomposition matrix:</t>
        </r>
        <r>
          <rPr>
            <sz val="8"/>
            <color indexed="81"/>
            <rFont val="Tahoma"/>
          </rPr>
          <t xml:space="preserve">
Cells in the matrix are named:
</t>
        </r>
        <r>
          <rPr>
            <sz val="8"/>
            <color indexed="81"/>
            <rFont val="Courier"/>
            <family val="3"/>
          </rPr>
          <t xml:space="preserve">a
b  c_
d  e  f
g  h  i  j
k  l  m  n  o
p  q  r_ s  t  u
</t>
        </r>
        <r>
          <rPr>
            <sz val="8"/>
            <color indexed="81"/>
            <rFont val="Tahoma"/>
            <family val="2"/>
          </rPr>
          <t>(Note the underscores for c_ and r_ since 
Excel reserves c and r as system variables!)</t>
        </r>
      </text>
    </comment>
  </commentList>
</comments>
</file>

<file path=xl/sharedStrings.xml><?xml version="1.0" encoding="utf-8"?>
<sst xmlns="http://schemas.openxmlformats.org/spreadsheetml/2006/main" count="295" uniqueCount="156">
  <si>
    <t>Diagrammatic representation of the Markov Model</t>
  </si>
  <si>
    <t>States of the model in the represented by the ovals, transitions between states represented by the arrows</t>
  </si>
  <si>
    <r>
      <t xml:space="preserve">All transisition probability variables shown in </t>
    </r>
    <r>
      <rPr>
        <b/>
        <sz val="10"/>
        <color indexed="56"/>
        <rFont val="Arial"/>
        <family val="2"/>
      </rPr>
      <t>blue</t>
    </r>
  </si>
  <si>
    <r>
      <t xml:space="preserve">State cost variables shown in </t>
    </r>
    <r>
      <rPr>
        <b/>
        <sz val="10"/>
        <color indexed="10"/>
        <rFont val="Arial"/>
      </rPr>
      <t>red</t>
    </r>
  </si>
  <si>
    <r>
      <t xml:space="preserve">State utility variables shown in </t>
    </r>
    <r>
      <rPr>
        <b/>
        <sz val="10"/>
        <color indexed="17"/>
        <rFont val="Arial"/>
      </rPr>
      <t>green</t>
    </r>
  </si>
  <si>
    <t>Note that parameters coloured green are endogenous</t>
  </si>
  <si>
    <t>and so cannot be varied in the sensitivity analysis</t>
  </si>
  <si>
    <t>age</t>
  </si>
  <si>
    <t>Average age of all patients at receipt of primary implant</t>
  </si>
  <si>
    <t>omrPTHR</t>
  </si>
  <si>
    <t>omrRTHR</t>
  </si>
  <si>
    <t>rrr</t>
  </si>
  <si>
    <t>cPrimary</t>
  </si>
  <si>
    <t>cRevision</t>
  </si>
  <si>
    <t>cSuccess</t>
  </si>
  <si>
    <t>Cost of one cycle in a 'success' state (primary or revision)</t>
  </si>
  <si>
    <t>Utility of Markov states per cycle</t>
  </si>
  <si>
    <t>cDR</t>
  </si>
  <si>
    <t>Cost discount rate</t>
  </si>
  <si>
    <t>oDR</t>
  </si>
  <si>
    <t>Outcome discount rate</t>
  </si>
  <si>
    <t>Cost</t>
  </si>
  <si>
    <t>QALYs</t>
  </si>
  <si>
    <t>Cycle</t>
  </si>
  <si>
    <t>Death risk</t>
  </si>
  <si>
    <t>PrimaryTHR</t>
  </si>
  <si>
    <t>SuccessP</t>
  </si>
  <si>
    <t>RevisionTHR</t>
  </si>
  <si>
    <t>SuccessR</t>
  </si>
  <si>
    <t>Death</t>
  </si>
  <si>
    <t>Life-years</t>
  </si>
  <si>
    <t>Note that parameters coloured red are linked to the</t>
  </si>
  <si>
    <t>All other parameters are left deterministic</t>
  </si>
  <si>
    <t>'live' value</t>
  </si>
  <si>
    <t>se</t>
  </si>
  <si>
    <t>alpha</t>
  </si>
  <si>
    <t>beta</t>
  </si>
  <si>
    <t>distribution</t>
  </si>
  <si>
    <t xml:space="preserve"> </t>
  </si>
  <si>
    <t>Gamma</t>
  </si>
  <si>
    <t>Description</t>
  </si>
  <si>
    <t>Trial</t>
  </si>
  <si>
    <t>STOCHASTIC PARAMETERS</t>
  </si>
  <si>
    <t>COST-EFFECTIVENESS RESULTS</t>
  </si>
  <si>
    <t>male</t>
  </si>
  <si>
    <t>explanatory variables</t>
  </si>
  <si>
    <t>hazard ratio</t>
  </si>
  <si>
    <t>coefficient</t>
  </si>
  <si>
    <t>z</t>
  </si>
  <si>
    <t>Covariance matrix</t>
  </si>
  <si>
    <t>ageC</t>
  </si>
  <si>
    <t>Cholesky decomposition</t>
  </si>
  <si>
    <t>Tz</t>
  </si>
  <si>
    <t>Random variables</t>
  </si>
  <si>
    <t>LogNormal</t>
  </si>
  <si>
    <t>uSuccessP</t>
  </si>
  <si>
    <t>uSuccessR</t>
  </si>
  <si>
    <t>uRevision</t>
  </si>
  <si>
    <t>Resource cost parameters</t>
  </si>
  <si>
    <t>cRatio</t>
  </si>
  <si>
    <t>35-44</t>
  </si>
  <si>
    <t>45-54</t>
  </si>
  <si>
    <t>55-64</t>
  </si>
  <si>
    <t>65-74</t>
  </si>
  <si>
    <t>75-84</t>
  </si>
  <si>
    <t>85 and over</t>
  </si>
  <si>
    <t>Males</t>
  </si>
  <si>
    <t>Females</t>
  </si>
  <si>
    <t>Cost of one cycle in the Revision THR state (national reference costs for revision hip or knee)</t>
  </si>
  <si>
    <t>Beta</t>
  </si>
  <si>
    <t>mu + Tz</t>
  </si>
  <si>
    <t>Utility score for having had a successful Primary THR</t>
  </si>
  <si>
    <t>Utility score for having a successful Revision THR</t>
  </si>
  <si>
    <t>Utility score during the revision period</t>
  </si>
  <si>
    <t>Age</t>
  </si>
  <si>
    <t>Death Rates (per 1000 population per year) by age and sex</t>
  </si>
  <si>
    <t>Yearly transition probabilities by age and sex</t>
  </si>
  <si>
    <t>Index</t>
  </si>
  <si>
    <t>Model for standard prosthesis</t>
  </si>
  <si>
    <t>Revision risk</t>
  </si>
  <si>
    <t>Standard Prosthesis</t>
  </si>
  <si>
    <t>deterministic</t>
  </si>
  <si>
    <t>Sex indicator (0 for female, 1 for male)</t>
  </si>
  <si>
    <t>Parameters</t>
  </si>
  <si>
    <r>
      <t xml:space="preserve">See </t>
    </r>
    <r>
      <rPr>
        <b/>
        <i/>
        <sz val="10"/>
        <rFont val="Arial"/>
      </rPr>
      <t>&lt;Parameters&gt;</t>
    </r>
    <r>
      <rPr>
        <sz val="10"/>
        <rFont val="Arial"/>
      </rPr>
      <t xml:space="preserve"> page for definitions</t>
    </r>
  </si>
  <si>
    <t>Operative mortality rate following primary THR</t>
  </si>
  <si>
    <t>Operative mortality rate following revision THR</t>
  </si>
  <si>
    <t>NP1</t>
  </si>
  <si>
    <t>NP2</t>
  </si>
  <si>
    <t>Relative risk of revision for new prosthesis 1 compared to standard</t>
  </si>
  <si>
    <t>Relative risk of revision for new prosthesis 2 compared to standard</t>
  </si>
  <si>
    <t>Re-revision risk (assumed to be constant)</t>
  </si>
  <si>
    <t>rrNP1</t>
  </si>
  <si>
    <t>rrNP2</t>
  </si>
  <si>
    <t>maleC</t>
  </si>
  <si>
    <t>cons</t>
  </si>
  <si>
    <t>Constant in survival analysis for baseline hazard</t>
  </si>
  <si>
    <t>Age coefficient in survival analysis for baseline hazard</t>
  </si>
  <si>
    <t>Male coefficient in survival analysis for baseline hazard</t>
  </si>
  <si>
    <t>cNP1</t>
  </si>
  <si>
    <t>cNP2</t>
  </si>
  <si>
    <t>Cost of new prosthesis 1</t>
  </si>
  <si>
    <t>Cost of new prosthesis 2</t>
  </si>
  <si>
    <t>lngamma</t>
  </si>
  <si>
    <t>Modelling the hazard function for prosthesis failure</t>
  </si>
  <si>
    <t>Probabilistic?</t>
  </si>
  <si>
    <t>Check</t>
  </si>
  <si>
    <t>Cost of a primary THR procedure</t>
  </si>
  <si>
    <t>cStandard</t>
  </si>
  <si>
    <t>Cost of standard prosthesis</t>
  </si>
  <si>
    <t>Standard</t>
  </si>
  <si>
    <t>Net monetary benefits</t>
  </si>
  <si>
    <t>Cost-effective?</t>
  </si>
  <si>
    <t>Acceptability curves</t>
  </si>
  <si>
    <t>Step 1: Choose male or female</t>
  </si>
  <si>
    <t>Step 2: Enter age of patient</t>
  </si>
  <si>
    <t>Patient age</t>
  </si>
  <si>
    <t>(enter value between 40 and 90 years)</t>
  </si>
  <si>
    <t>Cost-effectiveness of Total Hip Replacement</t>
  </si>
  <si>
    <t>Prosthesis</t>
  </si>
  <si>
    <t>per QALY</t>
  </si>
  <si>
    <t>Results (probabilistic)</t>
  </si>
  <si>
    <t>Results (deterministic)</t>
  </si>
  <si>
    <t>ICERs:</t>
  </si>
  <si>
    <t>NP1vStd</t>
  </si>
  <si>
    <t>NP2vStd</t>
  </si>
  <si>
    <t>NP2vNP1</t>
  </si>
  <si>
    <t>lambda</t>
  </si>
  <si>
    <t>Lambda parameter survival analysis (depends on chosen mix of above coefficients)</t>
  </si>
  <si>
    <t>gamma</t>
  </si>
  <si>
    <t>Weibull parameters</t>
  </si>
  <si>
    <t>Transition probabiliites</t>
  </si>
  <si>
    <t>STDcost</t>
  </si>
  <si>
    <t>STDlys</t>
  </si>
  <si>
    <t>STDqalys</t>
  </si>
  <si>
    <t>NP1cost</t>
  </si>
  <si>
    <t>NP1lys</t>
  </si>
  <si>
    <t>NP1qalys</t>
  </si>
  <si>
    <t>NP2cost</t>
  </si>
  <si>
    <t>NP2lys</t>
  </si>
  <si>
    <t>NP2qalys</t>
  </si>
  <si>
    <t>standard error</t>
  </si>
  <si>
    <t>probabilistic</t>
  </si>
  <si>
    <t>Ancilliary parameter in Weibull distribution</t>
  </si>
  <si>
    <r>
      <t xml:space="preserve">Revision rates for prostheses (see </t>
    </r>
    <r>
      <rPr>
        <b/>
        <i/>
        <sz val="10"/>
        <color indexed="18"/>
        <rFont val="Arial"/>
        <family val="2"/>
      </rPr>
      <t>&lt;Hazard function&gt;</t>
    </r>
    <r>
      <rPr>
        <i/>
        <sz val="10"/>
        <color indexed="18"/>
        <rFont val="Arial"/>
        <family val="2"/>
      </rPr>
      <t xml:space="preserve"> for details)</t>
    </r>
  </si>
  <si>
    <r>
      <t>Transition probability variables</t>
    </r>
    <r>
      <rPr>
        <sz val="10"/>
        <color indexed="18"/>
        <rFont val="Arial"/>
      </rPr>
      <t xml:space="preserve"> (see diagram on page </t>
    </r>
    <r>
      <rPr>
        <b/>
        <i/>
        <sz val="10"/>
        <color indexed="18"/>
        <rFont val="Arial"/>
      </rPr>
      <t>&lt;Model Figure&gt;</t>
    </r>
    <r>
      <rPr>
        <sz val="10"/>
        <color indexed="18"/>
        <rFont val="Arial"/>
      </rPr>
      <t xml:space="preserve"> for details)</t>
    </r>
  </si>
  <si>
    <t>Name</t>
  </si>
  <si>
    <t>Probabilistic Sensitivity Analysis only</t>
  </si>
  <si>
    <t>Model for first new prosthesis</t>
  </si>
  <si>
    <t>Model for second new prosthesis</t>
  </si>
  <si>
    <t>Second New Prosthesis</t>
  </si>
  <si>
    <t>First New Prosthesis</t>
  </si>
  <si>
    <t>Correlation matrix</t>
  </si>
  <si>
    <t>probabilistic sensitivity analysis</t>
  </si>
  <si>
    <t>State costs</t>
  </si>
  <si>
    <t>Utilities for health states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</si>
</sst>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4" formatCode="_-&quot;£&quot;* #,##0.00_-;\-&quot;£&quot;* #,##0.00_-;_-&quot;£&quot;* &quot;-&quot;??_-;_-@_-"/>
    <numFmt numFmtId="43" formatCode="_-* #,##0.00_-;\-* #,##0.00_-;_-* &quot;-&quot;??_-;_-@_-"/>
    <numFmt numFmtId="171" formatCode="&quot;£&quot;#,##0"/>
    <numFmt numFmtId="172" formatCode="0.000"/>
    <numFmt numFmtId="173" formatCode="0.0%"/>
    <numFmt numFmtId="177" formatCode="0.00000"/>
    <numFmt numFmtId="178" formatCode="0.0000"/>
    <numFmt numFmtId="180" formatCode="_-* #,##0_-;\-* #,##0_-;_-* &quot;-&quot;??_-;_-@_-"/>
    <numFmt numFmtId="183" formatCode="_-&quot;£&quot;* #,##0_-;\-&quot;£&quot;* #,##0_-;_-&quot;£&quot;* &quot;-&quot;??_-;_-@_-"/>
    <numFmt numFmtId="189" formatCode="_-* #,##0.0000_-;\-* #,##0.0000_-;_-* &quot;-&quot;??_-;_-@_-"/>
    <numFmt numFmtId="200" formatCode="0.00_ ;\-0.00\ "/>
  </numFmts>
  <fonts count="41" x14ac:knownFonts="1">
    <font>
      <sz val="10"/>
      <name val="Arial"/>
    </font>
    <font>
      <b/>
      <sz val="10"/>
      <name val="Arial"/>
    </font>
    <font>
      <b/>
      <i/>
      <sz val="10"/>
      <name val="Arial"/>
    </font>
    <font>
      <sz val="10"/>
      <name val="Arial"/>
    </font>
    <font>
      <b/>
      <sz val="12"/>
      <color indexed="18"/>
      <name val="Arial"/>
      <family val="2"/>
    </font>
    <font>
      <i/>
      <sz val="10"/>
      <color indexed="18"/>
      <name val="Arial"/>
      <family val="2"/>
    </font>
    <font>
      <sz val="10"/>
      <color indexed="18"/>
      <name val="Arial"/>
    </font>
    <font>
      <i/>
      <sz val="10"/>
      <color indexed="18"/>
      <name val="Arial"/>
    </font>
    <font>
      <b/>
      <sz val="10"/>
      <color indexed="18"/>
      <name val="Arial"/>
    </font>
    <font>
      <b/>
      <sz val="10"/>
      <color indexed="10"/>
      <name val="Arial"/>
    </font>
    <font>
      <b/>
      <sz val="10"/>
      <color indexed="17"/>
      <name val="Arial"/>
    </font>
    <font>
      <b/>
      <sz val="12"/>
      <color indexed="32"/>
      <name val="Arial"/>
      <family val="2"/>
    </font>
    <font>
      <b/>
      <sz val="10"/>
      <color indexed="32"/>
      <name val="Arial"/>
      <family val="2"/>
    </font>
    <font>
      <sz val="10"/>
      <color indexed="9"/>
      <name val="Arial"/>
    </font>
    <font>
      <sz val="10"/>
      <color indexed="19"/>
      <name val="Arial"/>
      <family val="2"/>
    </font>
    <font>
      <b/>
      <sz val="10"/>
      <color indexed="56"/>
      <name val="Arial"/>
      <family val="2"/>
    </font>
    <font>
      <b/>
      <sz val="10"/>
      <color indexed="18"/>
      <name val="Arial"/>
      <family val="2"/>
    </font>
    <font>
      <sz val="10"/>
      <color indexed="8"/>
      <name val="Arial"/>
      <family val="2"/>
    </font>
    <font>
      <b/>
      <i/>
      <sz val="10"/>
      <color indexed="18"/>
      <name val="Arial"/>
    </font>
    <font>
      <sz val="10"/>
      <color indexed="10"/>
      <name val="Arial"/>
      <family val="2"/>
    </font>
    <font>
      <sz val="10"/>
      <color indexed="16"/>
      <name val="Arial"/>
      <family val="2"/>
    </font>
    <font>
      <sz val="10"/>
      <color indexed="18"/>
      <name val="Arial"/>
      <family val="2"/>
    </font>
    <font>
      <sz val="9.25"/>
      <name val="Arial"/>
    </font>
    <font>
      <sz val="9.25"/>
      <name val="Arial"/>
    </font>
    <font>
      <sz val="9.25"/>
      <name val="Arial"/>
    </font>
    <font>
      <sz val="9.25"/>
      <name val="Arial"/>
    </font>
    <font>
      <b/>
      <sz val="10"/>
      <name val="Arial"/>
      <family val="2"/>
    </font>
    <font>
      <b/>
      <sz val="12"/>
      <name val="Arial"/>
      <family val="2"/>
    </font>
    <font>
      <b/>
      <sz val="10"/>
      <color indexed="9"/>
      <name val="Arial"/>
      <family val="2"/>
    </font>
    <font>
      <b/>
      <i/>
      <sz val="10"/>
      <color indexed="18"/>
      <name val="Arial"/>
      <family val="2"/>
    </font>
    <font>
      <sz val="10"/>
      <name val="Arial"/>
      <family val="2"/>
    </font>
    <font>
      <sz val="10"/>
      <color indexed="17"/>
      <name val="Arial"/>
      <family val="2"/>
    </font>
    <font>
      <sz val="10"/>
      <color indexed="22"/>
      <name val="Arial"/>
      <family val="2"/>
    </font>
    <font>
      <sz val="8"/>
      <name val="Tahoma"/>
      <family val="2"/>
    </font>
    <font>
      <sz val="8"/>
      <name val="Arial"/>
      <family val="2"/>
    </font>
    <font>
      <i/>
      <sz val="8"/>
      <name val="Arial"/>
      <family val="2"/>
    </font>
    <font>
      <sz val="8"/>
      <color indexed="81"/>
      <name val="Tahoma"/>
    </font>
    <font>
      <sz val="8"/>
      <color indexed="81"/>
      <name val="Tahoma"/>
      <family val="2"/>
    </font>
    <font>
      <b/>
      <sz val="10"/>
      <color indexed="16"/>
      <name val="Arial"/>
      <family val="2"/>
    </font>
    <font>
      <b/>
      <sz val="8"/>
      <color indexed="81"/>
      <name val="Tahoma"/>
    </font>
    <font>
      <sz val="8"/>
      <color indexed="81"/>
      <name val="Courier"/>
      <family val="3"/>
    </font>
  </fonts>
  <fills count="12">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17"/>
        <bgColor indexed="64"/>
      </patternFill>
    </fill>
    <fill>
      <patternFill patternType="solid">
        <fgColor indexed="42"/>
        <bgColor indexed="64"/>
      </patternFill>
    </fill>
    <fill>
      <patternFill patternType="solid">
        <fgColor indexed="9"/>
        <bgColor indexed="64"/>
      </patternFill>
    </fill>
    <fill>
      <patternFill patternType="solid">
        <fgColor indexed="16"/>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s>
  <borders count="7">
    <border>
      <left/>
      <right/>
      <top/>
      <bottom/>
      <diagonal/>
    </border>
    <border>
      <left/>
      <right/>
      <top/>
      <bottom style="thin">
        <color indexed="64"/>
      </bottom>
      <diagonal/>
    </border>
    <border>
      <left style="thin">
        <color indexed="17"/>
      </left>
      <right style="thin">
        <color indexed="17"/>
      </right>
      <top style="thin">
        <color indexed="17"/>
      </top>
      <bottom style="thin">
        <color indexed="17"/>
      </bottom>
      <diagonal/>
    </border>
    <border>
      <left style="thin">
        <color indexed="22"/>
      </left>
      <right style="thin">
        <color indexed="22"/>
      </right>
      <top style="thin">
        <color indexed="22"/>
      </top>
      <bottom style="thin">
        <color indexed="22"/>
      </bottom>
      <diagonal/>
    </border>
    <border>
      <left style="medium">
        <color indexed="16"/>
      </left>
      <right/>
      <top style="medium">
        <color indexed="16"/>
      </top>
      <bottom style="medium">
        <color indexed="16"/>
      </bottom>
      <diagonal/>
    </border>
    <border>
      <left/>
      <right style="medium">
        <color indexed="16"/>
      </right>
      <top style="medium">
        <color indexed="16"/>
      </top>
      <bottom style="medium">
        <color indexed="16"/>
      </bottom>
      <diagonal/>
    </border>
    <border>
      <left/>
      <right/>
      <top/>
      <bottom style="thin">
        <color indexed="32"/>
      </bottom>
      <diagonal/>
    </border>
  </borders>
  <cellStyleXfs count="5">
    <xf numFmtId="0" fontId="0" fillId="0" borderId="0"/>
    <xf numFmtId="43" fontId="3" fillId="0" borderId="0" applyFont="0" applyFill="0" applyBorder="0" applyAlignment="0" applyProtection="0"/>
    <xf numFmtId="44" fontId="3" fillId="0" borderId="0" applyFont="0" applyFill="0" applyBorder="0" applyAlignment="0" applyProtection="0"/>
    <xf numFmtId="2" fontId="3" fillId="0" borderId="0" applyFont="0" applyFill="0" applyBorder="0" applyAlignment="0" applyProtection="0"/>
    <xf numFmtId="9" fontId="3" fillId="0" borderId="0" applyFont="0" applyFill="0" applyBorder="0" applyAlignment="0" applyProtection="0"/>
  </cellStyleXfs>
  <cellXfs count="149">
    <xf numFmtId="0" fontId="0" fillId="0" borderId="0" xfId="0"/>
    <xf numFmtId="0" fontId="0" fillId="0" borderId="0" xfId="0" applyBorder="1"/>
    <xf numFmtId="0" fontId="4" fillId="0" borderId="0" xfId="0" applyFont="1"/>
    <xf numFmtId="0" fontId="5" fillId="0" borderId="0" xfId="0" applyFont="1"/>
    <xf numFmtId="0" fontId="7" fillId="0" borderId="0" xfId="0" applyFont="1"/>
    <xf numFmtId="0" fontId="3" fillId="0" borderId="0" xfId="0" applyFont="1"/>
    <xf numFmtId="0" fontId="11" fillId="0" borderId="0" xfId="0" applyFont="1"/>
    <xf numFmtId="0" fontId="12" fillId="0" borderId="0" xfId="0" applyFont="1"/>
    <xf numFmtId="171" fontId="0" fillId="0" borderId="0" xfId="0" applyNumberFormat="1"/>
    <xf numFmtId="0" fontId="14" fillId="0" borderId="0" xfId="0" applyFont="1"/>
    <xf numFmtId="9" fontId="0" fillId="0" borderId="0" xfId="4" applyFont="1"/>
    <xf numFmtId="2" fontId="0" fillId="0" borderId="0" xfId="0" applyNumberFormat="1"/>
    <xf numFmtId="0" fontId="0" fillId="0" borderId="0" xfId="0" applyFill="1"/>
    <xf numFmtId="0" fontId="13" fillId="0" borderId="0" xfId="0" applyFont="1" applyFill="1" applyBorder="1"/>
    <xf numFmtId="0" fontId="13" fillId="0" borderId="0" xfId="0" applyFont="1" applyFill="1" applyBorder="1" applyAlignment="1">
      <alignment horizontal="center"/>
    </xf>
    <xf numFmtId="0" fontId="8" fillId="0" borderId="0" xfId="0" applyFont="1"/>
    <xf numFmtId="0" fontId="10" fillId="0" borderId="0" xfId="0" applyFont="1"/>
    <xf numFmtId="0" fontId="14" fillId="0" borderId="0" xfId="0" applyFont="1" applyBorder="1" applyAlignment="1">
      <alignment horizontal="centerContinuous"/>
    </xf>
    <xf numFmtId="0" fontId="0" fillId="0" borderId="0" xfId="0" applyFill="1" applyBorder="1" applyAlignment="1">
      <alignment horizontal="centerContinuous"/>
    </xf>
    <xf numFmtId="0" fontId="0" fillId="0" borderId="0" xfId="0" applyBorder="1" applyAlignment="1">
      <alignment horizontal="centerContinuous"/>
    </xf>
    <xf numFmtId="0" fontId="1" fillId="0" borderId="0" xfId="0" applyFont="1"/>
    <xf numFmtId="0" fontId="16" fillId="0" borderId="0" xfId="0" applyFont="1"/>
    <xf numFmtId="0" fontId="17" fillId="0" borderId="0" xfId="0" applyFont="1"/>
    <xf numFmtId="0" fontId="1" fillId="0" borderId="1" xfId="0" applyFont="1" applyBorder="1" applyAlignment="1">
      <alignment horizontal="centerContinuous"/>
    </xf>
    <xf numFmtId="0" fontId="0" fillId="0" borderId="1" xfId="0" applyBorder="1" applyAlignment="1">
      <alignment horizontal="centerContinuous"/>
    </xf>
    <xf numFmtId="180" fontId="0" fillId="0" borderId="0" xfId="1" applyNumberFormat="1" applyFont="1"/>
    <xf numFmtId="10" fontId="0" fillId="0" borderId="0" xfId="4" applyNumberFormat="1" applyFont="1"/>
    <xf numFmtId="10" fontId="1" fillId="0" borderId="0" xfId="4" applyNumberFormat="1" applyFont="1"/>
    <xf numFmtId="1" fontId="0" fillId="0" borderId="0" xfId="0" applyNumberFormat="1"/>
    <xf numFmtId="180" fontId="0" fillId="0" borderId="0" xfId="0" applyNumberFormat="1"/>
    <xf numFmtId="183" fontId="0" fillId="0" borderId="0" xfId="2" applyNumberFormat="1" applyFont="1"/>
    <xf numFmtId="0" fontId="0" fillId="0" borderId="0" xfId="0" applyFill="1" applyBorder="1"/>
    <xf numFmtId="9" fontId="10" fillId="0" borderId="0" xfId="1" applyNumberFormat="1" applyFont="1"/>
    <xf numFmtId="10" fontId="0" fillId="0" borderId="0" xfId="0" applyNumberFormat="1"/>
    <xf numFmtId="183" fontId="19" fillId="0" borderId="0" xfId="0" applyNumberFormat="1" applyFont="1" applyFill="1" applyBorder="1"/>
    <xf numFmtId="0" fontId="20" fillId="0" borderId="0" xfId="0" applyFont="1"/>
    <xf numFmtId="10" fontId="20" fillId="0" borderId="0" xfId="4" applyNumberFormat="1" applyFont="1"/>
    <xf numFmtId="183" fontId="20" fillId="0" borderId="0" xfId="2" applyNumberFormat="1" applyFont="1"/>
    <xf numFmtId="2" fontId="20" fillId="0" borderId="0" xfId="0" applyNumberFormat="1" applyFont="1"/>
    <xf numFmtId="1" fontId="20" fillId="0" borderId="0" xfId="0" applyNumberFormat="1" applyFont="1"/>
    <xf numFmtId="172" fontId="0" fillId="0" borderId="0" xfId="0" applyNumberFormat="1"/>
    <xf numFmtId="0" fontId="0" fillId="2" borderId="0" xfId="0" applyFill="1"/>
    <xf numFmtId="178" fontId="0" fillId="0" borderId="0" xfId="0" applyNumberFormat="1"/>
    <xf numFmtId="0" fontId="27" fillId="0" borderId="0" xfId="0" applyFont="1"/>
    <xf numFmtId="0" fontId="26" fillId="0" borderId="0" xfId="0" applyFont="1"/>
    <xf numFmtId="178" fontId="27" fillId="0" borderId="0" xfId="0" applyNumberFormat="1" applyFont="1"/>
    <xf numFmtId="11" fontId="0" fillId="0" borderId="0" xfId="0" applyNumberFormat="1"/>
    <xf numFmtId="10" fontId="0" fillId="0" borderId="0" xfId="4" applyNumberFormat="1" applyFont="1" applyBorder="1"/>
    <xf numFmtId="1" fontId="17" fillId="0" borderId="0" xfId="1" applyNumberFormat="1" applyFont="1"/>
    <xf numFmtId="189" fontId="0" fillId="0" borderId="0" xfId="1" applyNumberFormat="1" applyFont="1"/>
    <xf numFmtId="0" fontId="17" fillId="2" borderId="0" xfId="0" applyFont="1" applyFill="1"/>
    <xf numFmtId="43" fontId="20" fillId="0" borderId="0" xfId="4" applyNumberFormat="1" applyFont="1"/>
    <xf numFmtId="2" fontId="17" fillId="0" borderId="0" xfId="4" applyNumberFormat="1" applyFont="1"/>
    <xf numFmtId="2" fontId="17" fillId="0" borderId="0" xfId="0" applyNumberFormat="1" applyFont="1"/>
    <xf numFmtId="172" fontId="17" fillId="0" borderId="0" xfId="0" applyNumberFormat="1" applyFont="1"/>
    <xf numFmtId="2" fontId="5" fillId="0" borderId="0" xfId="0" applyNumberFormat="1" applyFont="1"/>
    <xf numFmtId="0" fontId="26" fillId="0" borderId="0" xfId="0" applyFont="1" applyAlignment="1">
      <alignment horizontal="center"/>
    </xf>
    <xf numFmtId="0" fontId="26" fillId="0" borderId="0" xfId="0" quotePrefix="1" applyFont="1" applyAlignment="1">
      <alignment horizontal="center"/>
    </xf>
    <xf numFmtId="0" fontId="0" fillId="0" borderId="0" xfId="0" applyAlignment="1">
      <alignment horizontal="right"/>
    </xf>
    <xf numFmtId="43" fontId="0" fillId="0" borderId="0" xfId="1" applyFont="1"/>
    <xf numFmtId="178" fontId="26" fillId="0" borderId="0" xfId="0" applyNumberFormat="1" applyFont="1"/>
    <xf numFmtId="0" fontId="30" fillId="0" borderId="0" xfId="0" applyFont="1"/>
    <xf numFmtId="173" fontId="0" fillId="0" borderId="0" xfId="4" applyNumberFormat="1" applyFont="1"/>
    <xf numFmtId="178" fontId="20" fillId="0" borderId="0" xfId="0" applyNumberFormat="1" applyFont="1"/>
    <xf numFmtId="178" fontId="31" fillId="0" borderId="0" xfId="0" applyNumberFormat="1" applyFont="1"/>
    <xf numFmtId="2" fontId="31" fillId="0" borderId="0" xfId="0" applyNumberFormat="1" applyFont="1"/>
    <xf numFmtId="0" fontId="31" fillId="0" borderId="0" xfId="0" applyFont="1"/>
    <xf numFmtId="0" fontId="20" fillId="0" borderId="0" xfId="0" applyFont="1" applyFill="1" applyBorder="1"/>
    <xf numFmtId="0" fontId="20" fillId="0" borderId="0" xfId="0" applyFont="1" applyFill="1" applyBorder="1" applyAlignment="1">
      <alignment horizontal="center"/>
    </xf>
    <xf numFmtId="0" fontId="20" fillId="0" borderId="0" xfId="0" applyFont="1" applyFill="1"/>
    <xf numFmtId="0" fontId="20" fillId="0" borderId="0" xfId="0" applyFont="1" applyBorder="1" applyAlignment="1">
      <alignment horizontal="centerContinuous"/>
    </xf>
    <xf numFmtId="0" fontId="20" fillId="0" borderId="0" xfId="0" applyFont="1" applyFill="1" applyBorder="1" applyAlignment="1">
      <alignment horizontal="centerContinuous"/>
    </xf>
    <xf numFmtId="0" fontId="20" fillId="0" borderId="0" xfId="0" applyFont="1" applyBorder="1"/>
    <xf numFmtId="0" fontId="31" fillId="0" borderId="0" xfId="0" applyFont="1" applyFill="1" applyBorder="1"/>
    <xf numFmtId="0" fontId="31" fillId="0" borderId="0" xfId="0" applyFont="1" applyFill="1" applyBorder="1" applyAlignment="1">
      <alignment horizontal="center"/>
    </xf>
    <xf numFmtId="0" fontId="31" fillId="0" borderId="0" xfId="0" applyFont="1" applyBorder="1"/>
    <xf numFmtId="177" fontId="0" fillId="0" borderId="0" xfId="0" applyNumberFormat="1"/>
    <xf numFmtId="43" fontId="17" fillId="0" borderId="0" xfId="1" applyFont="1"/>
    <xf numFmtId="200" fontId="0" fillId="0" borderId="0" xfId="1" applyNumberFormat="1" applyFont="1"/>
    <xf numFmtId="200" fontId="8" fillId="0" borderId="0" xfId="1" applyNumberFormat="1" applyFont="1"/>
    <xf numFmtId="0" fontId="26" fillId="0" borderId="0" xfId="0" applyFont="1" applyAlignment="1">
      <alignment horizontal="left"/>
    </xf>
    <xf numFmtId="0" fontId="26" fillId="0" borderId="0" xfId="0" applyFont="1" applyAlignment="1">
      <alignment horizontal="right"/>
    </xf>
    <xf numFmtId="10" fontId="1" fillId="0" borderId="0" xfId="4" applyNumberFormat="1" applyFont="1" applyAlignment="1">
      <alignment horizontal="center"/>
    </xf>
    <xf numFmtId="178" fontId="26" fillId="0" borderId="0" xfId="0" applyNumberFormat="1" applyFont="1" applyAlignment="1">
      <alignment horizontal="center"/>
    </xf>
    <xf numFmtId="183" fontId="30" fillId="0" borderId="0" xfId="2" applyNumberFormat="1" applyFont="1"/>
    <xf numFmtId="0" fontId="30" fillId="0" borderId="0" xfId="0" applyFont="1" applyFill="1" applyBorder="1"/>
    <xf numFmtId="0" fontId="30" fillId="0" borderId="0" xfId="0" applyFont="1" applyFill="1" applyBorder="1" applyAlignment="1">
      <alignment horizontal="center"/>
    </xf>
    <xf numFmtId="0" fontId="30" fillId="0" borderId="0" xfId="0" applyFont="1" applyBorder="1" applyAlignment="1">
      <alignment horizontal="centerContinuous"/>
    </xf>
    <xf numFmtId="0" fontId="30" fillId="0" borderId="0" xfId="0" applyFont="1" applyFill="1" applyBorder="1" applyAlignment="1">
      <alignment horizontal="centerContinuous"/>
    </xf>
    <xf numFmtId="0" fontId="32" fillId="2" borderId="0" xfId="0" applyFont="1" applyFill="1"/>
    <xf numFmtId="0" fontId="0" fillId="3" borderId="0" xfId="0" applyFill="1" applyBorder="1"/>
    <xf numFmtId="0" fontId="28" fillId="4" borderId="0" xfId="0" applyFont="1" applyFill="1" applyBorder="1"/>
    <xf numFmtId="0" fontId="0" fillId="4" borderId="0" xfId="0" applyFill="1" applyBorder="1"/>
    <xf numFmtId="0" fontId="0" fillId="5" borderId="0" xfId="0" applyFill="1" applyBorder="1"/>
    <xf numFmtId="0" fontId="0" fillId="6" borderId="2" xfId="0" applyFill="1" applyBorder="1"/>
    <xf numFmtId="0" fontId="34" fillId="5" borderId="0" xfId="0" applyFont="1" applyFill="1" applyBorder="1"/>
    <xf numFmtId="0" fontId="35" fillId="5" borderId="0" xfId="0" applyFont="1" applyFill="1" applyBorder="1"/>
    <xf numFmtId="0" fontId="28" fillId="7" borderId="0" xfId="0" applyFont="1" applyFill="1" applyBorder="1"/>
    <xf numFmtId="0" fontId="28" fillId="8" borderId="0" xfId="0" applyFont="1" applyFill="1" applyBorder="1"/>
    <xf numFmtId="0" fontId="0" fillId="8" borderId="0" xfId="0" applyFill="1" applyBorder="1"/>
    <xf numFmtId="0" fontId="0" fillId="9" borderId="0" xfId="0" applyFill="1" applyBorder="1"/>
    <xf numFmtId="183" fontId="0" fillId="9" borderId="0" xfId="2" applyNumberFormat="1" applyFont="1" applyFill="1" applyBorder="1" applyAlignment="1">
      <alignment horizontal="right"/>
    </xf>
    <xf numFmtId="2" fontId="0" fillId="9" borderId="0" xfId="0" applyNumberFormat="1" applyFill="1" applyBorder="1" applyAlignment="1">
      <alignment horizontal="right"/>
    </xf>
    <xf numFmtId="2" fontId="0" fillId="9" borderId="0" xfId="0" applyNumberFormat="1" applyFill="1" applyBorder="1"/>
    <xf numFmtId="0" fontId="0" fillId="9" borderId="0" xfId="0" applyFill="1" applyBorder="1" applyAlignment="1">
      <alignment horizontal="right"/>
    </xf>
    <xf numFmtId="183" fontId="0" fillId="9" borderId="0" xfId="2" applyNumberFormat="1" applyFont="1" applyFill="1" applyBorder="1"/>
    <xf numFmtId="2" fontId="21" fillId="0" borderId="0" xfId="0" applyNumberFormat="1" applyFont="1"/>
    <xf numFmtId="183" fontId="0" fillId="10" borderId="3" xfId="2" applyNumberFormat="1" applyFont="1" applyFill="1" applyBorder="1" applyAlignment="1">
      <alignment horizontal="right"/>
    </xf>
    <xf numFmtId="2" fontId="0" fillId="10" borderId="3" xfId="0" applyNumberFormat="1" applyFill="1" applyBorder="1" applyAlignment="1">
      <alignment horizontal="right"/>
    </xf>
    <xf numFmtId="0" fontId="28" fillId="7" borderId="4" xfId="0" applyFont="1" applyFill="1" applyBorder="1" applyAlignment="1">
      <alignment horizontal="left"/>
    </xf>
    <xf numFmtId="0" fontId="7" fillId="0" borderId="0" xfId="0" applyFont="1" applyAlignment="1">
      <alignment horizontal="center"/>
    </xf>
    <xf numFmtId="0" fontId="38" fillId="6" borderId="4" xfId="0" applyFont="1" applyFill="1" applyBorder="1" applyAlignment="1">
      <alignment horizontal="center"/>
    </xf>
    <xf numFmtId="0" fontId="0" fillId="0" borderId="0" xfId="0" applyAlignment="1">
      <alignment horizontal="center"/>
    </xf>
    <xf numFmtId="0" fontId="30" fillId="0" borderId="0" xfId="0" applyFont="1" applyAlignment="1">
      <alignment horizontal="center"/>
    </xf>
    <xf numFmtId="0" fontId="28" fillId="7" borderId="5" xfId="0" applyFont="1" applyFill="1" applyBorder="1" applyAlignment="1">
      <alignment horizontal="center"/>
    </xf>
    <xf numFmtId="0" fontId="10" fillId="0" borderId="0" xfId="0" applyFont="1" applyAlignment="1">
      <alignment horizontal="center"/>
    </xf>
    <xf numFmtId="9" fontId="10" fillId="0" borderId="0" xfId="1" applyNumberFormat="1" applyFont="1" applyAlignment="1">
      <alignment horizontal="center"/>
    </xf>
    <xf numFmtId="9" fontId="0" fillId="0" borderId="0" xfId="4" applyFont="1" applyAlignment="1">
      <alignment horizontal="center"/>
    </xf>
    <xf numFmtId="171" fontId="0" fillId="0" borderId="0" xfId="0" applyNumberFormat="1" applyAlignment="1">
      <alignment horizontal="center"/>
    </xf>
    <xf numFmtId="183" fontId="20" fillId="0" borderId="0" xfId="2" applyNumberFormat="1" applyFont="1" applyAlignment="1">
      <alignment horizontal="center"/>
    </xf>
    <xf numFmtId="183" fontId="30" fillId="0" borderId="0" xfId="2" applyNumberFormat="1" applyFont="1" applyAlignment="1">
      <alignment horizontal="center"/>
    </xf>
    <xf numFmtId="183" fontId="0" fillId="0" borderId="0" xfId="2" applyNumberFormat="1" applyFont="1" applyAlignment="1">
      <alignment horizontal="center"/>
    </xf>
    <xf numFmtId="2" fontId="20" fillId="10" borderId="3" xfId="0" applyNumberFormat="1" applyFont="1" applyFill="1" applyBorder="1" applyAlignment="1">
      <alignment horizontal="right"/>
    </xf>
    <xf numFmtId="2" fontId="20" fillId="10" borderId="3" xfId="0" applyNumberFormat="1" applyFont="1" applyFill="1" applyBorder="1" applyAlignment="1">
      <alignment horizontal="center"/>
    </xf>
    <xf numFmtId="2" fontId="20" fillId="0" borderId="0" xfId="0" applyNumberFormat="1" applyFont="1" applyAlignment="1">
      <alignment horizontal="center"/>
    </xf>
    <xf numFmtId="1" fontId="20" fillId="10" borderId="3" xfId="0" applyNumberFormat="1" applyFont="1" applyFill="1" applyBorder="1" applyAlignment="1">
      <alignment horizontal="right"/>
    </xf>
    <xf numFmtId="183" fontId="20" fillId="10" borderId="3" xfId="2" applyNumberFormat="1" applyFont="1" applyFill="1" applyBorder="1" applyAlignment="1">
      <alignment horizontal="right"/>
    </xf>
    <xf numFmtId="0" fontId="0" fillId="10" borderId="3" xfId="0" applyFill="1" applyBorder="1"/>
    <xf numFmtId="178" fontId="0" fillId="10" borderId="3" xfId="0" applyNumberFormat="1" applyFill="1" applyBorder="1"/>
    <xf numFmtId="183" fontId="0" fillId="10" borderId="3" xfId="0" applyNumberFormat="1" applyFill="1" applyBorder="1" applyAlignment="1">
      <alignment horizontal="right"/>
    </xf>
    <xf numFmtId="43" fontId="0" fillId="10" borderId="3" xfId="0" applyNumberFormat="1" applyFill="1" applyBorder="1" applyAlignment="1">
      <alignment horizontal="right"/>
    </xf>
    <xf numFmtId="180" fontId="0" fillId="10" borderId="3" xfId="1" applyNumberFormat="1" applyFont="1" applyFill="1" applyBorder="1"/>
    <xf numFmtId="183" fontId="0" fillId="10" borderId="3" xfId="2" applyNumberFormat="1" applyFont="1" applyFill="1" applyBorder="1"/>
    <xf numFmtId="180" fontId="0" fillId="10" borderId="3" xfId="0" applyNumberFormat="1" applyFill="1" applyBorder="1"/>
    <xf numFmtId="1" fontId="0" fillId="10" borderId="3" xfId="0" applyNumberFormat="1" applyFill="1" applyBorder="1"/>
    <xf numFmtId="10" fontId="0" fillId="10" borderId="3" xfId="4" applyNumberFormat="1" applyFont="1" applyFill="1" applyBorder="1"/>
    <xf numFmtId="2" fontId="0" fillId="10" borderId="3" xfId="0" applyNumberFormat="1" applyFill="1" applyBorder="1"/>
    <xf numFmtId="172" fontId="0" fillId="10" borderId="3" xfId="0" applyNumberFormat="1" applyFill="1" applyBorder="1"/>
    <xf numFmtId="43" fontId="0" fillId="10" borderId="3" xfId="1" applyFont="1" applyFill="1" applyBorder="1"/>
    <xf numFmtId="200" fontId="0" fillId="10" borderId="3" xfId="1" applyNumberFormat="1" applyFont="1" applyFill="1" applyBorder="1"/>
    <xf numFmtId="0" fontId="0" fillId="11" borderId="0" xfId="0" applyFill="1"/>
    <xf numFmtId="0" fontId="20" fillId="11" borderId="0" xfId="0" applyFont="1" applyFill="1" applyBorder="1" applyAlignment="1">
      <alignment horizontal="center"/>
    </xf>
    <xf numFmtId="0" fontId="30" fillId="11" borderId="0" xfId="0" applyFont="1" applyFill="1"/>
    <xf numFmtId="0" fontId="31" fillId="11" borderId="0" xfId="0" applyFont="1" applyFill="1" applyBorder="1" applyAlignment="1">
      <alignment horizontal="center"/>
    </xf>
    <xf numFmtId="0" fontId="17" fillId="11" borderId="0" xfId="0" applyFont="1" applyFill="1" applyBorder="1" applyAlignment="1">
      <alignment horizontal="center"/>
    </xf>
    <xf numFmtId="2" fontId="31" fillId="10" borderId="3" xfId="0" applyNumberFormat="1" applyFont="1" applyFill="1" applyBorder="1" applyAlignment="1">
      <alignment horizontal="right"/>
    </xf>
    <xf numFmtId="1" fontId="0" fillId="0" borderId="0" xfId="1" applyNumberFormat="1" applyFont="1"/>
    <xf numFmtId="172" fontId="20" fillId="10" borderId="3" xfId="0" applyNumberFormat="1" applyFont="1" applyFill="1" applyBorder="1" applyAlignment="1">
      <alignment horizontal="right"/>
    </xf>
    <xf numFmtId="0" fontId="21" fillId="0" borderId="6" xfId="0" applyFont="1" applyBorder="1" applyAlignment="1">
      <alignment horizontal="center"/>
    </xf>
  </cellXfs>
  <cellStyles count="5">
    <cellStyle name="Comma" xfId="1" builtinId="3"/>
    <cellStyle name="Currency" xfId="2" builtinId="4"/>
    <cellStyle name="Fixed" xfId="3"/>
    <cellStyle name="Normal" xfId="0" builtinId="0"/>
    <cellStyle name="Per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chartsheet" Target="chartsheets/sheet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814814814814816"/>
          <c:y val="4.5751633986928102E-2"/>
          <c:w val="0.70296296296296301"/>
          <c:h val="0.78322440087145972"/>
        </c:manualLayout>
      </c:layout>
      <c:scatterChart>
        <c:scatterStyle val="lineMarker"/>
        <c:varyColors val="0"/>
        <c:ser>
          <c:idx val="0"/>
          <c:order val="0"/>
          <c:tx>
            <c:v>Standard</c:v>
          </c:tx>
          <c:spPr>
            <a:ln w="19050">
              <a:noFill/>
            </a:ln>
          </c:spPr>
          <c:marker>
            <c:symbol val="circle"/>
            <c:size val="5"/>
            <c:spPr>
              <a:solidFill>
                <a:srgbClr val="FFFFFF"/>
              </a:solidFill>
              <a:ln>
                <a:solidFill>
                  <a:srgbClr val="000080"/>
                </a:solidFill>
                <a:prstDash val="solid"/>
              </a:ln>
            </c:spPr>
          </c:marker>
          <c:xVal>
            <c:numRef>
              <c:f>Simulation!$Q$6:$Q$1005</c:f>
              <c:numCache>
                <c:formatCode>_(* #,##0.00_);_(* \(#,##0.00\);_(* "-"??_);_(@_)</c:formatCode>
                <c:ptCount val="1000"/>
                <c:pt idx="0">
                  <c:v>15.922243038492772</c:v>
                </c:pt>
                <c:pt idx="1">
                  <c:v>13.848628049637162</c:v>
                </c:pt>
                <c:pt idx="2">
                  <c:v>14.475937459337873</c:v>
                </c:pt>
                <c:pt idx="3">
                  <c:v>15.042308532732871</c:v>
                </c:pt>
                <c:pt idx="4">
                  <c:v>13.931810842486879</c:v>
                </c:pt>
                <c:pt idx="5">
                  <c:v>13.914610807254528</c:v>
                </c:pt>
                <c:pt idx="6">
                  <c:v>14.515744758087825</c:v>
                </c:pt>
                <c:pt idx="7">
                  <c:v>14.239722098209695</c:v>
                </c:pt>
                <c:pt idx="8">
                  <c:v>14.110937467693804</c:v>
                </c:pt>
                <c:pt idx="9">
                  <c:v>15.081989769247606</c:v>
                </c:pt>
                <c:pt idx="10">
                  <c:v>14.486256862777019</c:v>
                </c:pt>
                <c:pt idx="11">
                  <c:v>14.158682901409286</c:v>
                </c:pt>
                <c:pt idx="12">
                  <c:v>14.421479705542346</c:v>
                </c:pt>
                <c:pt idx="13">
                  <c:v>14.197934085275371</c:v>
                </c:pt>
                <c:pt idx="14">
                  <c:v>15.77759430982562</c:v>
                </c:pt>
                <c:pt idx="15">
                  <c:v>14.554871287384614</c:v>
                </c:pt>
                <c:pt idx="16">
                  <c:v>14.933600473442443</c:v>
                </c:pt>
                <c:pt idx="17">
                  <c:v>14.529764051977047</c:v>
                </c:pt>
                <c:pt idx="18">
                  <c:v>15.205117267798668</c:v>
                </c:pt>
                <c:pt idx="19">
                  <c:v>14.671266141134859</c:v>
                </c:pt>
                <c:pt idx="20">
                  <c:v>14.133721379278224</c:v>
                </c:pt>
                <c:pt idx="21">
                  <c:v>14.416754826912026</c:v>
                </c:pt>
                <c:pt idx="22">
                  <c:v>13.918684849979206</c:v>
                </c:pt>
                <c:pt idx="23">
                  <c:v>15.169240491588784</c:v>
                </c:pt>
                <c:pt idx="24">
                  <c:v>14.071310942521745</c:v>
                </c:pt>
                <c:pt idx="25">
                  <c:v>14.557216012172281</c:v>
                </c:pt>
                <c:pt idx="26">
                  <c:v>14.468891450375958</c:v>
                </c:pt>
                <c:pt idx="27">
                  <c:v>15.404124811071449</c:v>
                </c:pt>
                <c:pt idx="28">
                  <c:v>14.106650182989629</c:v>
                </c:pt>
                <c:pt idx="29">
                  <c:v>13.97355218295421</c:v>
                </c:pt>
                <c:pt idx="30">
                  <c:v>15.257959607339904</c:v>
                </c:pt>
                <c:pt idx="31">
                  <c:v>15.105494057642428</c:v>
                </c:pt>
                <c:pt idx="32">
                  <c:v>14.217400181570751</c:v>
                </c:pt>
                <c:pt idx="33">
                  <c:v>14.578690913424497</c:v>
                </c:pt>
                <c:pt idx="34">
                  <c:v>14.379944174089342</c:v>
                </c:pt>
                <c:pt idx="35">
                  <c:v>14.198887364700017</c:v>
                </c:pt>
                <c:pt idx="36">
                  <c:v>14.456502718717426</c:v>
                </c:pt>
                <c:pt idx="37">
                  <c:v>14.690558535339683</c:v>
                </c:pt>
                <c:pt idx="38">
                  <c:v>15.11294506493245</c:v>
                </c:pt>
                <c:pt idx="39">
                  <c:v>15.139539160931111</c:v>
                </c:pt>
                <c:pt idx="40">
                  <c:v>14.794330617191996</c:v>
                </c:pt>
                <c:pt idx="41">
                  <c:v>13.011404735810139</c:v>
                </c:pt>
                <c:pt idx="42">
                  <c:v>14.679512052826333</c:v>
                </c:pt>
                <c:pt idx="43">
                  <c:v>15.128768248388358</c:v>
                </c:pt>
                <c:pt idx="44">
                  <c:v>14.142580228773403</c:v>
                </c:pt>
                <c:pt idx="45">
                  <c:v>14.387647365773041</c:v>
                </c:pt>
                <c:pt idx="46">
                  <c:v>15.680815707210121</c:v>
                </c:pt>
                <c:pt idx="47">
                  <c:v>15.050820627008953</c:v>
                </c:pt>
                <c:pt idx="48">
                  <c:v>14.857325840512649</c:v>
                </c:pt>
                <c:pt idx="49">
                  <c:v>14.491143032561526</c:v>
                </c:pt>
                <c:pt idx="50">
                  <c:v>15.045312477253539</c:v>
                </c:pt>
                <c:pt idx="51">
                  <c:v>14.927188550417776</c:v>
                </c:pt>
                <c:pt idx="52">
                  <c:v>14.567369106840934</c:v>
                </c:pt>
                <c:pt idx="53">
                  <c:v>14.178451591807059</c:v>
                </c:pt>
                <c:pt idx="54">
                  <c:v>15.33267800892663</c:v>
                </c:pt>
                <c:pt idx="55">
                  <c:v>14.40340947838367</c:v>
                </c:pt>
                <c:pt idx="56">
                  <c:v>14.946883467843568</c:v>
                </c:pt>
                <c:pt idx="57">
                  <c:v>13.304778207668633</c:v>
                </c:pt>
                <c:pt idx="58">
                  <c:v>14.79739367526602</c:v>
                </c:pt>
                <c:pt idx="59">
                  <c:v>13.875248115264979</c:v>
                </c:pt>
                <c:pt idx="60">
                  <c:v>14.176293336266871</c:v>
                </c:pt>
                <c:pt idx="61">
                  <c:v>14.18081019091044</c:v>
                </c:pt>
                <c:pt idx="62">
                  <c:v>14.331790734560512</c:v>
                </c:pt>
                <c:pt idx="63">
                  <c:v>14.278541763239669</c:v>
                </c:pt>
                <c:pt idx="64">
                  <c:v>13.27384541036519</c:v>
                </c:pt>
                <c:pt idx="65">
                  <c:v>14.435883880935407</c:v>
                </c:pt>
                <c:pt idx="66">
                  <c:v>13.840280385061446</c:v>
                </c:pt>
                <c:pt idx="67">
                  <c:v>15.110287327852339</c:v>
                </c:pt>
                <c:pt idx="68">
                  <c:v>14.040741858889422</c:v>
                </c:pt>
                <c:pt idx="69">
                  <c:v>14.661394646397749</c:v>
                </c:pt>
                <c:pt idx="70">
                  <c:v>14.472419140752043</c:v>
                </c:pt>
                <c:pt idx="71">
                  <c:v>14.746102683334863</c:v>
                </c:pt>
                <c:pt idx="72">
                  <c:v>15.124804185685571</c:v>
                </c:pt>
                <c:pt idx="73">
                  <c:v>14.604913096414116</c:v>
                </c:pt>
                <c:pt idx="74">
                  <c:v>14.502788710535453</c:v>
                </c:pt>
                <c:pt idx="75">
                  <c:v>14.084800817786268</c:v>
                </c:pt>
                <c:pt idx="76">
                  <c:v>14.680868987678357</c:v>
                </c:pt>
                <c:pt idx="77">
                  <c:v>13.906143198404804</c:v>
                </c:pt>
                <c:pt idx="78">
                  <c:v>14.991621746823988</c:v>
                </c:pt>
                <c:pt idx="79">
                  <c:v>14.349943855857306</c:v>
                </c:pt>
                <c:pt idx="80">
                  <c:v>14.408222070836848</c:v>
                </c:pt>
                <c:pt idx="81">
                  <c:v>15.1672341809626</c:v>
                </c:pt>
                <c:pt idx="82">
                  <c:v>14.192906928510881</c:v>
                </c:pt>
                <c:pt idx="83">
                  <c:v>15.319326096650183</c:v>
                </c:pt>
                <c:pt idx="84">
                  <c:v>15.134291051315268</c:v>
                </c:pt>
                <c:pt idx="85">
                  <c:v>14.831366433550508</c:v>
                </c:pt>
                <c:pt idx="86">
                  <c:v>14.654874047021417</c:v>
                </c:pt>
                <c:pt idx="87">
                  <c:v>15.089123465236373</c:v>
                </c:pt>
                <c:pt idx="88">
                  <c:v>14.572792429280122</c:v>
                </c:pt>
                <c:pt idx="89">
                  <c:v>14.429956027987348</c:v>
                </c:pt>
                <c:pt idx="90">
                  <c:v>14.506050008739233</c:v>
                </c:pt>
                <c:pt idx="91">
                  <c:v>14.658376211175382</c:v>
                </c:pt>
                <c:pt idx="92">
                  <c:v>14.811509385628478</c:v>
                </c:pt>
                <c:pt idx="93">
                  <c:v>14.801958623037075</c:v>
                </c:pt>
                <c:pt idx="94">
                  <c:v>14.838073949571582</c:v>
                </c:pt>
                <c:pt idx="95">
                  <c:v>14.033165444728731</c:v>
                </c:pt>
                <c:pt idx="96">
                  <c:v>13.988664840505729</c:v>
                </c:pt>
                <c:pt idx="97">
                  <c:v>14.20715329268376</c:v>
                </c:pt>
                <c:pt idx="98">
                  <c:v>14.772829972140519</c:v>
                </c:pt>
                <c:pt idx="99">
                  <c:v>14.1029744646672</c:v>
                </c:pt>
                <c:pt idx="100">
                  <c:v>14.786224751874961</c:v>
                </c:pt>
                <c:pt idx="101">
                  <c:v>13.844567268064383</c:v>
                </c:pt>
                <c:pt idx="102">
                  <c:v>15.00054097475096</c:v>
                </c:pt>
                <c:pt idx="103">
                  <c:v>15.394293664866794</c:v>
                </c:pt>
                <c:pt idx="104">
                  <c:v>14.462527725994313</c:v>
                </c:pt>
                <c:pt idx="105">
                  <c:v>14.295163621144818</c:v>
                </c:pt>
                <c:pt idx="106">
                  <c:v>13.576980227839467</c:v>
                </c:pt>
                <c:pt idx="107">
                  <c:v>13.978875945600601</c:v>
                </c:pt>
                <c:pt idx="108">
                  <c:v>13.522642925247951</c:v>
                </c:pt>
                <c:pt idx="109">
                  <c:v>14.722644590349452</c:v>
                </c:pt>
                <c:pt idx="110">
                  <c:v>14.344949823887758</c:v>
                </c:pt>
                <c:pt idx="111">
                  <c:v>15.01711143764525</c:v>
                </c:pt>
                <c:pt idx="112">
                  <c:v>14.703869565497447</c:v>
                </c:pt>
                <c:pt idx="113">
                  <c:v>15.401323927730926</c:v>
                </c:pt>
                <c:pt idx="114">
                  <c:v>15.170813993655292</c:v>
                </c:pt>
                <c:pt idx="115">
                  <c:v>15.557197055469883</c:v>
                </c:pt>
                <c:pt idx="116">
                  <c:v>15.406166015457744</c:v>
                </c:pt>
                <c:pt idx="117">
                  <c:v>14.891458256806148</c:v>
                </c:pt>
                <c:pt idx="118">
                  <c:v>15.046715691181115</c:v>
                </c:pt>
                <c:pt idx="119">
                  <c:v>13.985406099181114</c:v>
                </c:pt>
                <c:pt idx="120">
                  <c:v>14.313963480727681</c:v>
                </c:pt>
                <c:pt idx="121">
                  <c:v>15.407658032917452</c:v>
                </c:pt>
                <c:pt idx="122">
                  <c:v>14.002794017455445</c:v>
                </c:pt>
                <c:pt idx="123">
                  <c:v>14.953601691736109</c:v>
                </c:pt>
                <c:pt idx="124">
                  <c:v>14.912852147289064</c:v>
                </c:pt>
                <c:pt idx="125">
                  <c:v>15.620618366914005</c:v>
                </c:pt>
                <c:pt idx="126">
                  <c:v>14.052388764365181</c:v>
                </c:pt>
                <c:pt idx="127">
                  <c:v>14.450080919434852</c:v>
                </c:pt>
                <c:pt idx="128">
                  <c:v>14.79844080272853</c:v>
                </c:pt>
                <c:pt idx="129">
                  <c:v>13.884793616218255</c:v>
                </c:pt>
                <c:pt idx="130">
                  <c:v>14.976486297406534</c:v>
                </c:pt>
                <c:pt idx="131">
                  <c:v>14.453442806845384</c:v>
                </c:pt>
                <c:pt idx="132">
                  <c:v>15.130242608170354</c:v>
                </c:pt>
                <c:pt idx="133">
                  <c:v>14.982660731937274</c:v>
                </c:pt>
                <c:pt idx="134">
                  <c:v>13.980942029915466</c:v>
                </c:pt>
                <c:pt idx="135">
                  <c:v>15.196623173500731</c:v>
                </c:pt>
                <c:pt idx="136">
                  <c:v>14.614109547531882</c:v>
                </c:pt>
                <c:pt idx="137">
                  <c:v>14.819313482921832</c:v>
                </c:pt>
                <c:pt idx="138">
                  <c:v>14.339847720892617</c:v>
                </c:pt>
                <c:pt idx="139">
                  <c:v>14.207516572558248</c:v>
                </c:pt>
                <c:pt idx="140">
                  <c:v>14.528460699849052</c:v>
                </c:pt>
                <c:pt idx="141">
                  <c:v>14.348299328365441</c:v>
                </c:pt>
                <c:pt idx="142">
                  <c:v>14.428979342886418</c:v>
                </c:pt>
                <c:pt idx="143">
                  <c:v>13.459752659018442</c:v>
                </c:pt>
                <c:pt idx="144">
                  <c:v>14.94326711765132</c:v>
                </c:pt>
                <c:pt idx="145">
                  <c:v>14.903311272908164</c:v>
                </c:pt>
                <c:pt idx="146">
                  <c:v>13.323732238811248</c:v>
                </c:pt>
                <c:pt idx="147">
                  <c:v>15.249768370158346</c:v>
                </c:pt>
                <c:pt idx="148">
                  <c:v>13.915338407573289</c:v>
                </c:pt>
                <c:pt idx="149">
                  <c:v>13.93711423860054</c:v>
                </c:pt>
                <c:pt idx="150">
                  <c:v>14.586098469870523</c:v>
                </c:pt>
                <c:pt idx="151">
                  <c:v>14.885175514962503</c:v>
                </c:pt>
                <c:pt idx="152">
                  <c:v>14.963882175603837</c:v>
                </c:pt>
                <c:pt idx="153">
                  <c:v>14.267137138753592</c:v>
                </c:pt>
                <c:pt idx="154">
                  <c:v>14.5821315988428</c:v>
                </c:pt>
                <c:pt idx="155">
                  <c:v>13.889218759880894</c:v>
                </c:pt>
                <c:pt idx="156">
                  <c:v>14.150909273706828</c:v>
                </c:pt>
                <c:pt idx="157">
                  <c:v>13.538227087333615</c:v>
                </c:pt>
                <c:pt idx="158">
                  <c:v>14.433478526320069</c:v>
                </c:pt>
                <c:pt idx="159">
                  <c:v>14.829000938208321</c:v>
                </c:pt>
                <c:pt idx="160">
                  <c:v>14.866441641914582</c:v>
                </c:pt>
                <c:pt idx="161">
                  <c:v>14.39986546684997</c:v>
                </c:pt>
                <c:pt idx="162">
                  <c:v>13.818845367754978</c:v>
                </c:pt>
                <c:pt idx="163">
                  <c:v>13.776139139534351</c:v>
                </c:pt>
                <c:pt idx="164">
                  <c:v>14.243128078976127</c:v>
                </c:pt>
                <c:pt idx="165">
                  <c:v>15.160223279509214</c:v>
                </c:pt>
                <c:pt idx="166">
                  <c:v>13.046967584509115</c:v>
                </c:pt>
                <c:pt idx="167">
                  <c:v>15.012718091850177</c:v>
                </c:pt>
                <c:pt idx="168">
                  <c:v>14.125315050053324</c:v>
                </c:pt>
                <c:pt idx="169">
                  <c:v>14.679250299100117</c:v>
                </c:pt>
                <c:pt idx="170">
                  <c:v>14.310373819314309</c:v>
                </c:pt>
                <c:pt idx="171">
                  <c:v>15.232574502879931</c:v>
                </c:pt>
                <c:pt idx="172">
                  <c:v>13.757240341627069</c:v>
                </c:pt>
                <c:pt idx="173">
                  <c:v>15.277331989593414</c:v>
                </c:pt>
                <c:pt idx="174">
                  <c:v>13.647153621554882</c:v>
                </c:pt>
                <c:pt idx="175">
                  <c:v>13.471892748739062</c:v>
                </c:pt>
                <c:pt idx="176">
                  <c:v>13.994160165739471</c:v>
                </c:pt>
                <c:pt idx="177">
                  <c:v>13.549984213368012</c:v>
                </c:pt>
                <c:pt idx="178">
                  <c:v>14.704604092078501</c:v>
                </c:pt>
                <c:pt idx="179">
                  <c:v>15.578826212424193</c:v>
                </c:pt>
                <c:pt idx="180">
                  <c:v>14.948583733857507</c:v>
                </c:pt>
                <c:pt idx="181">
                  <c:v>14.549376249176184</c:v>
                </c:pt>
                <c:pt idx="182">
                  <c:v>14.84266461067039</c:v>
                </c:pt>
                <c:pt idx="183">
                  <c:v>14.538730091601145</c:v>
                </c:pt>
                <c:pt idx="184">
                  <c:v>15.568663167765646</c:v>
                </c:pt>
                <c:pt idx="185">
                  <c:v>14.595481477173502</c:v>
                </c:pt>
                <c:pt idx="186">
                  <c:v>14.872232108731524</c:v>
                </c:pt>
                <c:pt idx="187">
                  <c:v>14.80943059981171</c:v>
                </c:pt>
                <c:pt idx="188">
                  <c:v>14.172972001634797</c:v>
                </c:pt>
                <c:pt idx="189">
                  <c:v>14.591288002269053</c:v>
                </c:pt>
                <c:pt idx="190">
                  <c:v>13.832997828285245</c:v>
                </c:pt>
                <c:pt idx="191">
                  <c:v>14.518802904584307</c:v>
                </c:pt>
                <c:pt idx="192">
                  <c:v>14.355138792083464</c:v>
                </c:pt>
                <c:pt idx="193">
                  <c:v>14.905062983037244</c:v>
                </c:pt>
                <c:pt idx="194">
                  <c:v>13.901039626152395</c:v>
                </c:pt>
                <c:pt idx="195">
                  <c:v>15.032356491473905</c:v>
                </c:pt>
                <c:pt idx="196">
                  <c:v>14.681046566776352</c:v>
                </c:pt>
                <c:pt idx="197">
                  <c:v>14.133639057866155</c:v>
                </c:pt>
                <c:pt idx="198">
                  <c:v>13.897166134242502</c:v>
                </c:pt>
                <c:pt idx="199">
                  <c:v>15.481097157994325</c:v>
                </c:pt>
                <c:pt idx="200">
                  <c:v>15.039612071262328</c:v>
                </c:pt>
                <c:pt idx="201">
                  <c:v>13.82493188439541</c:v>
                </c:pt>
                <c:pt idx="202">
                  <c:v>14.512335053905398</c:v>
                </c:pt>
                <c:pt idx="203">
                  <c:v>15.059835994061039</c:v>
                </c:pt>
                <c:pt idx="204">
                  <c:v>14.813732725147249</c:v>
                </c:pt>
                <c:pt idx="205">
                  <c:v>15.482998745216438</c:v>
                </c:pt>
                <c:pt idx="206">
                  <c:v>15.401090658463323</c:v>
                </c:pt>
                <c:pt idx="207">
                  <c:v>14.185346942020598</c:v>
                </c:pt>
                <c:pt idx="208">
                  <c:v>14.91143777317019</c:v>
                </c:pt>
                <c:pt idx="209">
                  <c:v>15.063915883183439</c:v>
                </c:pt>
                <c:pt idx="210">
                  <c:v>14.995170906792795</c:v>
                </c:pt>
                <c:pt idx="211">
                  <c:v>14.730440125784183</c:v>
                </c:pt>
                <c:pt idx="212">
                  <c:v>14.583122312098336</c:v>
                </c:pt>
                <c:pt idx="213">
                  <c:v>14.766226196676742</c:v>
                </c:pt>
                <c:pt idx="214">
                  <c:v>14.39568149695473</c:v>
                </c:pt>
                <c:pt idx="215">
                  <c:v>15.412350773119721</c:v>
                </c:pt>
                <c:pt idx="216">
                  <c:v>15.662514827970114</c:v>
                </c:pt>
                <c:pt idx="217">
                  <c:v>14.192103218508564</c:v>
                </c:pt>
                <c:pt idx="218">
                  <c:v>15.207897934469207</c:v>
                </c:pt>
                <c:pt idx="219">
                  <c:v>14.999491227483608</c:v>
                </c:pt>
                <c:pt idx="220">
                  <c:v>14.947216135368942</c:v>
                </c:pt>
                <c:pt idx="221">
                  <c:v>13.991373871381347</c:v>
                </c:pt>
                <c:pt idx="222">
                  <c:v>14.860293186950848</c:v>
                </c:pt>
                <c:pt idx="223">
                  <c:v>14.994755714473667</c:v>
                </c:pt>
                <c:pt idx="224">
                  <c:v>14.210190253499563</c:v>
                </c:pt>
                <c:pt idx="225">
                  <c:v>13.678176045989817</c:v>
                </c:pt>
                <c:pt idx="226">
                  <c:v>14.597019336885177</c:v>
                </c:pt>
                <c:pt idx="227">
                  <c:v>15.757288715610953</c:v>
                </c:pt>
                <c:pt idx="228">
                  <c:v>14.503103958793313</c:v>
                </c:pt>
                <c:pt idx="229">
                  <c:v>13.677904725622872</c:v>
                </c:pt>
                <c:pt idx="230">
                  <c:v>15.353394454611255</c:v>
                </c:pt>
                <c:pt idx="231">
                  <c:v>14.543225510577175</c:v>
                </c:pt>
                <c:pt idx="232">
                  <c:v>15.167727689556415</c:v>
                </c:pt>
                <c:pt idx="233">
                  <c:v>14.584300156003309</c:v>
                </c:pt>
                <c:pt idx="234">
                  <c:v>14.601354677096399</c:v>
                </c:pt>
                <c:pt idx="235">
                  <c:v>13.601144630199551</c:v>
                </c:pt>
                <c:pt idx="236">
                  <c:v>13.507294509561122</c:v>
                </c:pt>
                <c:pt idx="237">
                  <c:v>15.150660593629908</c:v>
                </c:pt>
                <c:pt idx="238">
                  <c:v>13.780460806420432</c:v>
                </c:pt>
                <c:pt idx="239">
                  <c:v>13.982523570999614</c:v>
                </c:pt>
                <c:pt idx="240">
                  <c:v>14.528390576663416</c:v>
                </c:pt>
                <c:pt idx="241">
                  <c:v>15.155611385095801</c:v>
                </c:pt>
                <c:pt idx="242">
                  <c:v>13.517286560937496</c:v>
                </c:pt>
                <c:pt idx="243">
                  <c:v>14.137123973799266</c:v>
                </c:pt>
                <c:pt idx="244">
                  <c:v>14.383733717527896</c:v>
                </c:pt>
                <c:pt idx="245">
                  <c:v>14.127993535489434</c:v>
                </c:pt>
                <c:pt idx="246">
                  <c:v>14.066034934106785</c:v>
                </c:pt>
                <c:pt idx="247">
                  <c:v>14.116050235327833</c:v>
                </c:pt>
                <c:pt idx="248">
                  <c:v>15.209196406159471</c:v>
                </c:pt>
                <c:pt idx="249">
                  <c:v>13.931691339279931</c:v>
                </c:pt>
                <c:pt idx="250">
                  <c:v>15.914832691874013</c:v>
                </c:pt>
                <c:pt idx="251">
                  <c:v>15.636263650685944</c:v>
                </c:pt>
                <c:pt idx="252">
                  <c:v>15.081935746059521</c:v>
                </c:pt>
                <c:pt idx="253">
                  <c:v>14.347819910002558</c:v>
                </c:pt>
                <c:pt idx="254">
                  <c:v>14.68032002607892</c:v>
                </c:pt>
                <c:pt idx="255">
                  <c:v>14.832493487793124</c:v>
                </c:pt>
                <c:pt idx="256">
                  <c:v>14.130792303005171</c:v>
                </c:pt>
                <c:pt idx="257">
                  <c:v>14.724506111983681</c:v>
                </c:pt>
                <c:pt idx="258">
                  <c:v>14.822034886737447</c:v>
                </c:pt>
                <c:pt idx="259">
                  <c:v>13.954572952847638</c:v>
                </c:pt>
                <c:pt idx="260">
                  <c:v>14.461771280218029</c:v>
                </c:pt>
                <c:pt idx="261">
                  <c:v>15.610793766657345</c:v>
                </c:pt>
                <c:pt idx="262">
                  <c:v>14.977288153659737</c:v>
                </c:pt>
                <c:pt idx="263">
                  <c:v>14.863193194523532</c:v>
                </c:pt>
                <c:pt idx="264">
                  <c:v>14.782263896781496</c:v>
                </c:pt>
                <c:pt idx="265">
                  <c:v>15.134484331264341</c:v>
                </c:pt>
                <c:pt idx="266">
                  <c:v>15.393382201364545</c:v>
                </c:pt>
                <c:pt idx="267">
                  <c:v>13.86739038235204</c:v>
                </c:pt>
                <c:pt idx="268">
                  <c:v>15.114633820256682</c:v>
                </c:pt>
                <c:pt idx="269">
                  <c:v>14.940032622665042</c:v>
                </c:pt>
                <c:pt idx="270">
                  <c:v>15.549583714338505</c:v>
                </c:pt>
                <c:pt idx="271">
                  <c:v>14.339393089083732</c:v>
                </c:pt>
                <c:pt idx="272">
                  <c:v>14.313963556608041</c:v>
                </c:pt>
                <c:pt idx="273">
                  <c:v>14.510684028881203</c:v>
                </c:pt>
                <c:pt idx="274">
                  <c:v>14.601308974338659</c:v>
                </c:pt>
                <c:pt idx="275">
                  <c:v>14.98863454921033</c:v>
                </c:pt>
                <c:pt idx="276">
                  <c:v>14.787711292281573</c:v>
                </c:pt>
                <c:pt idx="277">
                  <c:v>14.459349445284495</c:v>
                </c:pt>
                <c:pt idx="278">
                  <c:v>14.407987569301831</c:v>
                </c:pt>
                <c:pt idx="279">
                  <c:v>15.575162190683637</c:v>
                </c:pt>
                <c:pt idx="280">
                  <c:v>14.978386630240538</c:v>
                </c:pt>
                <c:pt idx="281">
                  <c:v>15.093709044362301</c:v>
                </c:pt>
                <c:pt idx="282">
                  <c:v>15.277691996997403</c:v>
                </c:pt>
                <c:pt idx="283">
                  <c:v>14.271901940446744</c:v>
                </c:pt>
                <c:pt idx="284">
                  <c:v>15.345153998621416</c:v>
                </c:pt>
                <c:pt idx="285">
                  <c:v>15.354160576759842</c:v>
                </c:pt>
                <c:pt idx="286">
                  <c:v>15.924490168213248</c:v>
                </c:pt>
                <c:pt idx="287">
                  <c:v>15.412985416951653</c:v>
                </c:pt>
                <c:pt idx="288">
                  <c:v>15.142968448019159</c:v>
                </c:pt>
                <c:pt idx="289">
                  <c:v>14.752002599657153</c:v>
                </c:pt>
                <c:pt idx="290">
                  <c:v>14.642871583971772</c:v>
                </c:pt>
                <c:pt idx="291">
                  <c:v>14.838523379932719</c:v>
                </c:pt>
                <c:pt idx="292">
                  <c:v>14.456002784483971</c:v>
                </c:pt>
                <c:pt idx="293">
                  <c:v>14.204725908089813</c:v>
                </c:pt>
                <c:pt idx="294">
                  <c:v>14.377925855988805</c:v>
                </c:pt>
                <c:pt idx="295">
                  <c:v>14.037284196766947</c:v>
                </c:pt>
                <c:pt idx="296">
                  <c:v>13.363542362235288</c:v>
                </c:pt>
                <c:pt idx="297">
                  <c:v>14.411835584662509</c:v>
                </c:pt>
                <c:pt idx="298">
                  <c:v>14.353712205595107</c:v>
                </c:pt>
                <c:pt idx="299">
                  <c:v>13.873518979246432</c:v>
                </c:pt>
                <c:pt idx="300">
                  <c:v>14.558207059537549</c:v>
                </c:pt>
                <c:pt idx="301">
                  <c:v>14.685583244240737</c:v>
                </c:pt>
                <c:pt idx="302">
                  <c:v>14.944266796319779</c:v>
                </c:pt>
                <c:pt idx="303">
                  <c:v>14.241957729802829</c:v>
                </c:pt>
                <c:pt idx="304">
                  <c:v>14.78980967915731</c:v>
                </c:pt>
                <c:pt idx="305">
                  <c:v>15.02011181276748</c:v>
                </c:pt>
                <c:pt idx="306">
                  <c:v>14.516993656967905</c:v>
                </c:pt>
                <c:pt idx="307">
                  <c:v>13.382243843371786</c:v>
                </c:pt>
                <c:pt idx="308">
                  <c:v>15.164475596002255</c:v>
                </c:pt>
                <c:pt idx="309">
                  <c:v>15.22090899211527</c:v>
                </c:pt>
                <c:pt idx="310">
                  <c:v>15.520106649088422</c:v>
                </c:pt>
                <c:pt idx="311">
                  <c:v>15.323418477761761</c:v>
                </c:pt>
                <c:pt idx="312">
                  <c:v>15.223563914588432</c:v>
                </c:pt>
                <c:pt idx="313">
                  <c:v>15.03264865468625</c:v>
                </c:pt>
                <c:pt idx="314">
                  <c:v>14.682067697480173</c:v>
                </c:pt>
                <c:pt idx="315">
                  <c:v>15.024692305351053</c:v>
                </c:pt>
                <c:pt idx="316">
                  <c:v>14.092054603278575</c:v>
                </c:pt>
                <c:pt idx="317">
                  <c:v>14.881323010206531</c:v>
                </c:pt>
                <c:pt idx="318">
                  <c:v>14.505843450638837</c:v>
                </c:pt>
                <c:pt idx="319">
                  <c:v>15.215827134540232</c:v>
                </c:pt>
                <c:pt idx="320">
                  <c:v>14.074024301442787</c:v>
                </c:pt>
                <c:pt idx="321">
                  <c:v>13.809708492474927</c:v>
                </c:pt>
                <c:pt idx="322">
                  <c:v>14.944733541901334</c:v>
                </c:pt>
                <c:pt idx="323">
                  <c:v>15.695523541039307</c:v>
                </c:pt>
                <c:pt idx="324">
                  <c:v>14.122137061164768</c:v>
                </c:pt>
                <c:pt idx="325">
                  <c:v>14.774164434077488</c:v>
                </c:pt>
                <c:pt idx="326">
                  <c:v>14.531476017751253</c:v>
                </c:pt>
                <c:pt idx="327">
                  <c:v>14.918345294490706</c:v>
                </c:pt>
                <c:pt idx="328">
                  <c:v>14.278956167637904</c:v>
                </c:pt>
                <c:pt idx="329">
                  <c:v>14.338134151043592</c:v>
                </c:pt>
                <c:pt idx="330">
                  <c:v>14.505269831171786</c:v>
                </c:pt>
                <c:pt idx="331">
                  <c:v>14.44658633146328</c:v>
                </c:pt>
                <c:pt idx="332">
                  <c:v>14.169596874171194</c:v>
                </c:pt>
                <c:pt idx="333">
                  <c:v>14.9392632237074</c:v>
                </c:pt>
                <c:pt idx="334">
                  <c:v>14.727837418382681</c:v>
                </c:pt>
                <c:pt idx="335">
                  <c:v>14.335925614937118</c:v>
                </c:pt>
                <c:pt idx="336">
                  <c:v>15.338946140568156</c:v>
                </c:pt>
                <c:pt idx="337">
                  <c:v>14.490399502823978</c:v>
                </c:pt>
                <c:pt idx="338">
                  <c:v>14.879920876951829</c:v>
                </c:pt>
                <c:pt idx="339">
                  <c:v>14.82614233848855</c:v>
                </c:pt>
                <c:pt idx="340">
                  <c:v>14.801888027128365</c:v>
                </c:pt>
                <c:pt idx="341">
                  <c:v>13.958059496022724</c:v>
                </c:pt>
                <c:pt idx="342">
                  <c:v>14.550570604693508</c:v>
                </c:pt>
                <c:pt idx="343">
                  <c:v>15.173916989555737</c:v>
                </c:pt>
                <c:pt idx="344">
                  <c:v>13.642597041248175</c:v>
                </c:pt>
                <c:pt idx="345">
                  <c:v>15.324606200281202</c:v>
                </c:pt>
                <c:pt idx="346">
                  <c:v>14.953216655081521</c:v>
                </c:pt>
                <c:pt idx="347">
                  <c:v>14.440090916251711</c:v>
                </c:pt>
                <c:pt idx="348">
                  <c:v>14.030403221841979</c:v>
                </c:pt>
                <c:pt idx="349">
                  <c:v>15.092806176961867</c:v>
                </c:pt>
                <c:pt idx="350">
                  <c:v>14.112448336983492</c:v>
                </c:pt>
                <c:pt idx="351">
                  <c:v>15.721241004533185</c:v>
                </c:pt>
                <c:pt idx="352">
                  <c:v>13.762121455287589</c:v>
                </c:pt>
                <c:pt idx="353">
                  <c:v>14.547172261756108</c:v>
                </c:pt>
                <c:pt idx="354">
                  <c:v>14.065169053298671</c:v>
                </c:pt>
                <c:pt idx="355">
                  <c:v>14.767215136797605</c:v>
                </c:pt>
                <c:pt idx="356">
                  <c:v>14.779982377090592</c:v>
                </c:pt>
                <c:pt idx="357">
                  <c:v>14.829577766983096</c:v>
                </c:pt>
                <c:pt idx="358">
                  <c:v>14.95704764295979</c:v>
                </c:pt>
                <c:pt idx="359">
                  <c:v>13.900915626200669</c:v>
                </c:pt>
                <c:pt idx="360">
                  <c:v>14.707045814945531</c:v>
                </c:pt>
                <c:pt idx="361">
                  <c:v>14.446909229793084</c:v>
                </c:pt>
                <c:pt idx="362">
                  <c:v>14.428382992670837</c:v>
                </c:pt>
                <c:pt idx="363">
                  <c:v>14.983377502054482</c:v>
                </c:pt>
                <c:pt idx="364">
                  <c:v>13.852946802963443</c:v>
                </c:pt>
                <c:pt idx="365">
                  <c:v>13.910234823758794</c:v>
                </c:pt>
                <c:pt idx="366">
                  <c:v>14.492649290205222</c:v>
                </c:pt>
                <c:pt idx="367">
                  <c:v>13.322885240644098</c:v>
                </c:pt>
                <c:pt idx="368">
                  <c:v>14.682257434302382</c:v>
                </c:pt>
                <c:pt idx="369">
                  <c:v>15.313913402125747</c:v>
                </c:pt>
                <c:pt idx="370">
                  <c:v>15.829458892108407</c:v>
                </c:pt>
                <c:pt idx="371">
                  <c:v>14.143279481570586</c:v>
                </c:pt>
                <c:pt idx="372">
                  <c:v>14.257619111044729</c:v>
                </c:pt>
                <c:pt idx="373">
                  <c:v>14.983608470126629</c:v>
                </c:pt>
                <c:pt idx="374">
                  <c:v>15.428522873992158</c:v>
                </c:pt>
                <c:pt idx="375">
                  <c:v>13.838426095793114</c:v>
                </c:pt>
                <c:pt idx="376">
                  <c:v>14.049798750663532</c:v>
                </c:pt>
                <c:pt idx="377">
                  <c:v>14.900701218498204</c:v>
                </c:pt>
                <c:pt idx="378">
                  <c:v>14.830591704052631</c:v>
                </c:pt>
                <c:pt idx="379">
                  <c:v>14.499027238070708</c:v>
                </c:pt>
                <c:pt idx="380">
                  <c:v>13.552537668025153</c:v>
                </c:pt>
                <c:pt idx="381">
                  <c:v>14.967002201632218</c:v>
                </c:pt>
                <c:pt idx="382">
                  <c:v>14.599451080932754</c:v>
                </c:pt>
                <c:pt idx="383">
                  <c:v>14.974687549765498</c:v>
                </c:pt>
                <c:pt idx="384">
                  <c:v>14.184606808798467</c:v>
                </c:pt>
                <c:pt idx="385">
                  <c:v>14.205152827476041</c:v>
                </c:pt>
                <c:pt idx="386">
                  <c:v>14.395489708020902</c:v>
                </c:pt>
                <c:pt idx="387">
                  <c:v>14.873933055602508</c:v>
                </c:pt>
                <c:pt idx="388">
                  <c:v>15.196983649856467</c:v>
                </c:pt>
                <c:pt idx="389">
                  <c:v>15.193706305478441</c:v>
                </c:pt>
                <c:pt idx="390">
                  <c:v>15.269808194763666</c:v>
                </c:pt>
                <c:pt idx="391">
                  <c:v>14.538418580740055</c:v>
                </c:pt>
                <c:pt idx="392">
                  <c:v>15.852202964210555</c:v>
                </c:pt>
                <c:pt idx="393">
                  <c:v>15.041390560651857</c:v>
                </c:pt>
                <c:pt idx="394">
                  <c:v>15.287953430244555</c:v>
                </c:pt>
                <c:pt idx="395">
                  <c:v>15.025121583832171</c:v>
                </c:pt>
                <c:pt idx="396">
                  <c:v>15.019660990071097</c:v>
                </c:pt>
                <c:pt idx="397">
                  <c:v>13.809688633748021</c:v>
                </c:pt>
                <c:pt idx="398">
                  <c:v>15.117027583846109</c:v>
                </c:pt>
                <c:pt idx="399">
                  <c:v>13.702311247792109</c:v>
                </c:pt>
                <c:pt idx="400">
                  <c:v>14.065725822553535</c:v>
                </c:pt>
                <c:pt idx="401">
                  <c:v>15.395533507937539</c:v>
                </c:pt>
                <c:pt idx="402">
                  <c:v>14.354888091334379</c:v>
                </c:pt>
                <c:pt idx="403">
                  <c:v>15.324735718787386</c:v>
                </c:pt>
                <c:pt idx="404">
                  <c:v>14.798875309444183</c:v>
                </c:pt>
                <c:pt idx="405">
                  <c:v>14.311789320411084</c:v>
                </c:pt>
                <c:pt idx="406">
                  <c:v>15.42947359455351</c:v>
                </c:pt>
                <c:pt idx="407">
                  <c:v>14.074620012235727</c:v>
                </c:pt>
                <c:pt idx="408">
                  <c:v>14.032327035101929</c:v>
                </c:pt>
                <c:pt idx="409">
                  <c:v>14.452368309670209</c:v>
                </c:pt>
                <c:pt idx="410">
                  <c:v>14.213250612250885</c:v>
                </c:pt>
                <c:pt idx="411">
                  <c:v>14.890200616758991</c:v>
                </c:pt>
                <c:pt idx="412">
                  <c:v>14.477225902286847</c:v>
                </c:pt>
                <c:pt idx="413">
                  <c:v>14.594296966136307</c:v>
                </c:pt>
                <c:pt idx="414">
                  <c:v>14.776805358544241</c:v>
                </c:pt>
                <c:pt idx="415">
                  <c:v>15.719534196918074</c:v>
                </c:pt>
                <c:pt idx="416">
                  <c:v>14.457880376644361</c:v>
                </c:pt>
                <c:pt idx="417">
                  <c:v>14.640658653082983</c:v>
                </c:pt>
                <c:pt idx="418">
                  <c:v>14.001167409630693</c:v>
                </c:pt>
                <c:pt idx="419">
                  <c:v>13.988976984863031</c:v>
                </c:pt>
                <c:pt idx="420">
                  <c:v>13.133020131150266</c:v>
                </c:pt>
                <c:pt idx="421">
                  <c:v>14.284058972322537</c:v>
                </c:pt>
                <c:pt idx="422">
                  <c:v>15.276078083471079</c:v>
                </c:pt>
                <c:pt idx="423">
                  <c:v>15.250667083378863</c:v>
                </c:pt>
                <c:pt idx="424">
                  <c:v>14.93905172377946</c:v>
                </c:pt>
                <c:pt idx="425">
                  <c:v>15.456116057055725</c:v>
                </c:pt>
                <c:pt idx="426">
                  <c:v>15.45295898200826</c:v>
                </c:pt>
                <c:pt idx="427">
                  <c:v>15.479604681320358</c:v>
                </c:pt>
                <c:pt idx="428">
                  <c:v>14.522341426522079</c:v>
                </c:pt>
                <c:pt idx="429">
                  <c:v>15.069866367648556</c:v>
                </c:pt>
                <c:pt idx="430">
                  <c:v>14.559485355753118</c:v>
                </c:pt>
                <c:pt idx="431">
                  <c:v>14.732488978243399</c:v>
                </c:pt>
                <c:pt idx="432">
                  <c:v>14.600354473303192</c:v>
                </c:pt>
                <c:pt idx="433">
                  <c:v>13.778097741772266</c:v>
                </c:pt>
                <c:pt idx="434">
                  <c:v>15.598523440560228</c:v>
                </c:pt>
                <c:pt idx="435">
                  <c:v>14.896030769379113</c:v>
                </c:pt>
                <c:pt idx="436">
                  <c:v>14.624504569127247</c:v>
                </c:pt>
                <c:pt idx="437">
                  <c:v>15.050845041507676</c:v>
                </c:pt>
                <c:pt idx="438">
                  <c:v>14.835035686617097</c:v>
                </c:pt>
                <c:pt idx="439">
                  <c:v>15.831793209062551</c:v>
                </c:pt>
                <c:pt idx="440">
                  <c:v>14.522735557550874</c:v>
                </c:pt>
                <c:pt idx="441">
                  <c:v>15.002095406201153</c:v>
                </c:pt>
                <c:pt idx="442">
                  <c:v>14.729847437493659</c:v>
                </c:pt>
                <c:pt idx="443">
                  <c:v>14.601390953936248</c:v>
                </c:pt>
                <c:pt idx="444">
                  <c:v>14.808563302951482</c:v>
                </c:pt>
                <c:pt idx="445">
                  <c:v>15.01943342441338</c:v>
                </c:pt>
                <c:pt idx="446">
                  <c:v>14.62142178953815</c:v>
                </c:pt>
                <c:pt idx="447">
                  <c:v>14.134762981318211</c:v>
                </c:pt>
                <c:pt idx="448">
                  <c:v>14.38108419791023</c:v>
                </c:pt>
                <c:pt idx="449">
                  <c:v>14.530167409778945</c:v>
                </c:pt>
                <c:pt idx="450">
                  <c:v>13.735570540413015</c:v>
                </c:pt>
                <c:pt idx="451">
                  <c:v>14.991156573942263</c:v>
                </c:pt>
                <c:pt idx="452">
                  <c:v>14.37045964630032</c:v>
                </c:pt>
                <c:pt idx="453">
                  <c:v>15.263733144071569</c:v>
                </c:pt>
                <c:pt idx="454">
                  <c:v>13.795143964751052</c:v>
                </c:pt>
                <c:pt idx="455">
                  <c:v>14.877368422308017</c:v>
                </c:pt>
                <c:pt idx="456">
                  <c:v>14.559130072444759</c:v>
                </c:pt>
                <c:pt idx="457">
                  <c:v>15.012470153268286</c:v>
                </c:pt>
                <c:pt idx="458">
                  <c:v>14.799660787050797</c:v>
                </c:pt>
                <c:pt idx="459">
                  <c:v>14.641100433684748</c:v>
                </c:pt>
                <c:pt idx="460">
                  <c:v>14.322325136121881</c:v>
                </c:pt>
                <c:pt idx="461">
                  <c:v>15.160279956715888</c:v>
                </c:pt>
                <c:pt idx="462">
                  <c:v>14.665195697987158</c:v>
                </c:pt>
                <c:pt idx="463">
                  <c:v>15.07397785401476</c:v>
                </c:pt>
                <c:pt idx="464">
                  <c:v>15.093651191651512</c:v>
                </c:pt>
                <c:pt idx="465">
                  <c:v>15.047144274977125</c:v>
                </c:pt>
                <c:pt idx="466">
                  <c:v>14.045144534044077</c:v>
                </c:pt>
                <c:pt idx="467">
                  <c:v>15.323932031308662</c:v>
                </c:pt>
                <c:pt idx="468">
                  <c:v>14.232490214134868</c:v>
                </c:pt>
                <c:pt idx="469">
                  <c:v>14.871085655111255</c:v>
                </c:pt>
                <c:pt idx="470">
                  <c:v>14.601561635408522</c:v>
                </c:pt>
                <c:pt idx="471">
                  <c:v>14.922747641261655</c:v>
                </c:pt>
                <c:pt idx="472">
                  <c:v>13.047025601987722</c:v>
                </c:pt>
                <c:pt idx="473">
                  <c:v>14.94125904630882</c:v>
                </c:pt>
                <c:pt idx="474">
                  <c:v>15.167834268590477</c:v>
                </c:pt>
                <c:pt idx="475">
                  <c:v>14.684463800205958</c:v>
                </c:pt>
                <c:pt idx="476">
                  <c:v>14.161344506385012</c:v>
                </c:pt>
                <c:pt idx="477">
                  <c:v>14.998764502838613</c:v>
                </c:pt>
                <c:pt idx="478">
                  <c:v>14.528090077074495</c:v>
                </c:pt>
                <c:pt idx="479">
                  <c:v>14.840156406941023</c:v>
                </c:pt>
                <c:pt idx="480">
                  <c:v>14.9034416146625</c:v>
                </c:pt>
                <c:pt idx="481">
                  <c:v>13.770554202904144</c:v>
                </c:pt>
                <c:pt idx="482">
                  <c:v>14.323659631594801</c:v>
                </c:pt>
                <c:pt idx="483">
                  <c:v>14.920201679599463</c:v>
                </c:pt>
                <c:pt idx="484">
                  <c:v>13.855277580350334</c:v>
                </c:pt>
                <c:pt idx="485">
                  <c:v>14.881989477784684</c:v>
                </c:pt>
                <c:pt idx="486">
                  <c:v>15.085831623192439</c:v>
                </c:pt>
                <c:pt idx="487">
                  <c:v>14.797261793380866</c:v>
                </c:pt>
                <c:pt idx="488">
                  <c:v>13.967060975799294</c:v>
                </c:pt>
                <c:pt idx="489">
                  <c:v>14.427127175030272</c:v>
                </c:pt>
                <c:pt idx="490">
                  <c:v>15.684114678579544</c:v>
                </c:pt>
                <c:pt idx="491">
                  <c:v>14.926081659855697</c:v>
                </c:pt>
                <c:pt idx="492">
                  <c:v>15.047087403794999</c:v>
                </c:pt>
                <c:pt idx="493">
                  <c:v>15.47059998294162</c:v>
                </c:pt>
                <c:pt idx="494">
                  <c:v>14.527795585423682</c:v>
                </c:pt>
                <c:pt idx="495">
                  <c:v>14.742562467653585</c:v>
                </c:pt>
                <c:pt idx="496">
                  <c:v>15.311778537550797</c:v>
                </c:pt>
                <c:pt idx="497">
                  <c:v>14.12313968660494</c:v>
                </c:pt>
                <c:pt idx="498">
                  <c:v>14.979246813636163</c:v>
                </c:pt>
                <c:pt idx="499">
                  <c:v>14.70592955723761</c:v>
                </c:pt>
                <c:pt idx="500">
                  <c:v>15.108071354711095</c:v>
                </c:pt>
                <c:pt idx="501">
                  <c:v>14.196006158400298</c:v>
                </c:pt>
                <c:pt idx="502">
                  <c:v>14.092688857318892</c:v>
                </c:pt>
                <c:pt idx="503">
                  <c:v>13.918046986035179</c:v>
                </c:pt>
                <c:pt idx="504">
                  <c:v>13.56708879398408</c:v>
                </c:pt>
                <c:pt idx="505">
                  <c:v>14.860263917502838</c:v>
                </c:pt>
                <c:pt idx="506">
                  <c:v>14.799590068207651</c:v>
                </c:pt>
                <c:pt idx="507">
                  <c:v>15.552525704804589</c:v>
                </c:pt>
                <c:pt idx="508">
                  <c:v>13.723443240694177</c:v>
                </c:pt>
                <c:pt idx="509">
                  <c:v>14.79721030604904</c:v>
                </c:pt>
                <c:pt idx="510">
                  <c:v>15.292715165701447</c:v>
                </c:pt>
                <c:pt idx="511">
                  <c:v>14.258187147989306</c:v>
                </c:pt>
                <c:pt idx="512">
                  <c:v>14.450215424874687</c:v>
                </c:pt>
                <c:pt idx="513">
                  <c:v>14.224496024726381</c:v>
                </c:pt>
                <c:pt idx="514">
                  <c:v>14.953548525444633</c:v>
                </c:pt>
                <c:pt idx="515">
                  <c:v>14.890755148133557</c:v>
                </c:pt>
                <c:pt idx="516">
                  <c:v>14.995084541408094</c:v>
                </c:pt>
                <c:pt idx="517">
                  <c:v>14.505490878733845</c:v>
                </c:pt>
                <c:pt idx="518">
                  <c:v>15.135097357203229</c:v>
                </c:pt>
                <c:pt idx="519">
                  <c:v>14.979381638202785</c:v>
                </c:pt>
                <c:pt idx="520">
                  <c:v>14.05746501792685</c:v>
                </c:pt>
                <c:pt idx="521">
                  <c:v>15.296040020733802</c:v>
                </c:pt>
                <c:pt idx="522">
                  <c:v>14.991495397268871</c:v>
                </c:pt>
                <c:pt idx="523">
                  <c:v>14.621868657775046</c:v>
                </c:pt>
                <c:pt idx="524">
                  <c:v>14.061760224361922</c:v>
                </c:pt>
                <c:pt idx="525">
                  <c:v>14.423276975263226</c:v>
                </c:pt>
                <c:pt idx="526">
                  <c:v>14.555102258738906</c:v>
                </c:pt>
                <c:pt idx="527">
                  <c:v>14.746044531528241</c:v>
                </c:pt>
                <c:pt idx="528">
                  <c:v>14.409429398558244</c:v>
                </c:pt>
                <c:pt idx="529">
                  <c:v>15.406105810250056</c:v>
                </c:pt>
                <c:pt idx="530">
                  <c:v>15.436935801794704</c:v>
                </c:pt>
                <c:pt idx="531">
                  <c:v>15.289854709101018</c:v>
                </c:pt>
                <c:pt idx="532">
                  <c:v>14.861903553905453</c:v>
                </c:pt>
                <c:pt idx="533">
                  <c:v>14.460235154806844</c:v>
                </c:pt>
                <c:pt idx="534">
                  <c:v>14.497332019468328</c:v>
                </c:pt>
                <c:pt idx="535">
                  <c:v>13.763113385159086</c:v>
                </c:pt>
                <c:pt idx="536">
                  <c:v>14.355004152286565</c:v>
                </c:pt>
                <c:pt idx="537">
                  <c:v>14.486385557401185</c:v>
                </c:pt>
                <c:pt idx="538">
                  <c:v>13.905387723900597</c:v>
                </c:pt>
                <c:pt idx="539">
                  <c:v>15.313595124779871</c:v>
                </c:pt>
                <c:pt idx="540">
                  <c:v>14.569564027581706</c:v>
                </c:pt>
                <c:pt idx="541">
                  <c:v>14.2845412628504</c:v>
                </c:pt>
                <c:pt idx="542">
                  <c:v>14.703831315321571</c:v>
                </c:pt>
                <c:pt idx="543">
                  <c:v>13.822789564806319</c:v>
                </c:pt>
                <c:pt idx="544">
                  <c:v>14.220406023874586</c:v>
                </c:pt>
                <c:pt idx="545">
                  <c:v>14.563865469963126</c:v>
                </c:pt>
                <c:pt idx="546">
                  <c:v>14.754866701917734</c:v>
                </c:pt>
                <c:pt idx="547">
                  <c:v>14.459129230032378</c:v>
                </c:pt>
                <c:pt idx="548">
                  <c:v>14.951528943511001</c:v>
                </c:pt>
                <c:pt idx="549">
                  <c:v>15.293188532724141</c:v>
                </c:pt>
                <c:pt idx="550">
                  <c:v>14.349082330355291</c:v>
                </c:pt>
                <c:pt idx="551">
                  <c:v>14.728956743180314</c:v>
                </c:pt>
                <c:pt idx="552">
                  <c:v>14.809397363366022</c:v>
                </c:pt>
                <c:pt idx="553">
                  <c:v>13.772891170815454</c:v>
                </c:pt>
                <c:pt idx="554">
                  <c:v>14.319696175903745</c:v>
                </c:pt>
                <c:pt idx="555">
                  <c:v>14.441282678302109</c:v>
                </c:pt>
                <c:pt idx="556">
                  <c:v>13.324775112493308</c:v>
                </c:pt>
                <c:pt idx="557">
                  <c:v>15.033549840989737</c:v>
                </c:pt>
                <c:pt idx="558">
                  <c:v>15.416604347611674</c:v>
                </c:pt>
                <c:pt idx="559">
                  <c:v>14.590017793172239</c:v>
                </c:pt>
                <c:pt idx="560">
                  <c:v>15.458875057266189</c:v>
                </c:pt>
                <c:pt idx="561">
                  <c:v>15.145779700468227</c:v>
                </c:pt>
                <c:pt idx="562">
                  <c:v>14.27375496438153</c:v>
                </c:pt>
                <c:pt idx="563">
                  <c:v>13.555841131502495</c:v>
                </c:pt>
                <c:pt idx="564">
                  <c:v>14.031402039629176</c:v>
                </c:pt>
                <c:pt idx="565">
                  <c:v>14.62908809568154</c:v>
                </c:pt>
                <c:pt idx="566">
                  <c:v>13.346618552322427</c:v>
                </c:pt>
                <c:pt idx="567">
                  <c:v>13.79748299033116</c:v>
                </c:pt>
                <c:pt idx="568">
                  <c:v>14.266683440084948</c:v>
                </c:pt>
                <c:pt idx="569">
                  <c:v>14.481919209985589</c:v>
                </c:pt>
                <c:pt idx="570">
                  <c:v>15.489571069873488</c:v>
                </c:pt>
                <c:pt idx="571">
                  <c:v>15.660684354053275</c:v>
                </c:pt>
                <c:pt idx="572">
                  <c:v>14.195203591638442</c:v>
                </c:pt>
                <c:pt idx="573">
                  <c:v>14.588597024403118</c:v>
                </c:pt>
                <c:pt idx="574">
                  <c:v>14.318822014968431</c:v>
                </c:pt>
                <c:pt idx="575">
                  <c:v>14.986611257079021</c:v>
                </c:pt>
                <c:pt idx="576">
                  <c:v>14.228184052375232</c:v>
                </c:pt>
                <c:pt idx="577">
                  <c:v>14.703194251462515</c:v>
                </c:pt>
                <c:pt idx="578">
                  <c:v>15.242102130858727</c:v>
                </c:pt>
                <c:pt idx="579">
                  <c:v>15.21311725102867</c:v>
                </c:pt>
                <c:pt idx="580">
                  <c:v>14.161582041795032</c:v>
                </c:pt>
                <c:pt idx="581">
                  <c:v>15.151750920717031</c:v>
                </c:pt>
                <c:pt idx="582">
                  <c:v>14.133524430821327</c:v>
                </c:pt>
                <c:pt idx="583">
                  <c:v>15.057650072508254</c:v>
                </c:pt>
                <c:pt idx="584">
                  <c:v>15.28743044935463</c:v>
                </c:pt>
                <c:pt idx="585">
                  <c:v>14.298107022851507</c:v>
                </c:pt>
                <c:pt idx="586">
                  <c:v>15.022907430941283</c:v>
                </c:pt>
                <c:pt idx="587">
                  <c:v>14.824292401556628</c:v>
                </c:pt>
                <c:pt idx="588">
                  <c:v>14.871593525055516</c:v>
                </c:pt>
                <c:pt idx="589">
                  <c:v>14.158761787298587</c:v>
                </c:pt>
                <c:pt idx="590">
                  <c:v>15.056894576280408</c:v>
                </c:pt>
                <c:pt idx="591">
                  <c:v>14.693479623094555</c:v>
                </c:pt>
                <c:pt idx="592">
                  <c:v>14.969852536851468</c:v>
                </c:pt>
                <c:pt idx="593">
                  <c:v>13.883921976182792</c:v>
                </c:pt>
                <c:pt idx="594">
                  <c:v>14.804508198272655</c:v>
                </c:pt>
                <c:pt idx="595">
                  <c:v>14.788752332478072</c:v>
                </c:pt>
                <c:pt idx="596">
                  <c:v>15.348259640637986</c:v>
                </c:pt>
                <c:pt idx="597">
                  <c:v>15.303866342173846</c:v>
                </c:pt>
                <c:pt idx="598">
                  <c:v>14.631690796104747</c:v>
                </c:pt>
                <c:pt idx="599">
                  <c:v>14.940011576287866</c:v>
                </c:pt>
                <c:pt idx="600">
                  <c:v>14.055874919801017</c:v>
                </c:pt>
                <c:pt idx="601">
                  <c:v>14.280399205884731</c:v>
                </c:pt>
                <c:pt idx="602">
                  <c:v>14.67260199973401</c:v>
                </c:pt>
                <c:pt idx="603">
                  <c:v>15.017958706782196</c:v>
                </c:pt>
                <c:pt idx="604">
                  <c:v>14.971104517566305</c:v>
                </c:pt>
                <c:pt idx="605">
                  <c:v>13.491025955461888</c:v>
                </c:pt>
                <c:pt idx="606">
                  <c:v>14.468719198833563</c:v>
                </c:pt>
                <c:pt idx="607">
                  <c:v>13.919960905178318</c:v>
                </c:pt>
                <c:pt idx="608">
                  <c:v>15.487432239837865</c:v>
                </c:pt>
                <c:pt idx="609">
                  <c:v>15.256995334136361</c:v>
                </c:pt>
                <c:pt idx="610">
                  <c:v>14.607515422582402</c:v>
                </c:pt>
                <c:pt idx="611">
                  <c:v>14.735233449978873</c:v>
                </c:pt>
                <c:pt idx="612">
                  <c:v>15.097366936886921</c:v>
                </c:pt>
                <c:pt idx="613">
                  <c:v>14.339767667278025</c:v>
                </c:pt>
                <c:pt idx="614">
                  <c:v>15.158630886507325</c:v>
                </c:pt>
                <c:pt idx="615">
                  <c:v>13.541803399952611</c:v>
                </c:pt>
                <c:pt idx="616">
                  <c:v>14.182423355454372</c:v>
                </c:pt>
                <c:pt idx="617">
                  <c:v>14.194686174796777</c:v>
                </c:pt>
                <c:pt idx="618">
                  <c:v>14.432330512841956</c:v>
                </c:pt>
                <c:pt idx="619">
                  <c:v>14.734012005441668</c:v>
                </c:pt>
                <c:pt idx="620">
                  <c:v>15.53069944611023</c:v>
                </c:pt>
                <c:pt idx="621">
                  <c:v>14.769193796543506</c:v>
                </c:pt>
                <c:pt idx="622">
                  <c:v>13.113163987816723</c:v>
                </c:pt>
                <c:pt idx="623">
                  <c:v>14.226656587194141</c:v>
                </c:pt>
                <c:pt idx="624">
                  <c:v>14.461149688056611</c:v>
                </c:pt>
                <c:pt idx="625">
                  <c:v>14.684090558221881</c:v>
                </c:pt>
                <c:pt idx="626">
                  <c:v>15.443384902522546</c:v>
                </c:pt>
                <c:pt idx="627">
                  <c:v>15.08061154652221</c:v>
                </c:pt>
                <c:pt idx="628">
                  <c:v>14.630262520038245</c:v>
                </c:pt>
                <c:pt idx="629">
                  <c:v>15.42469421305562</c:v>
                </c:pt>
                <c:pt idx="630">
                  <c:v>14.974404598354287</c:v>
                </c:pt>
                <c:pt idx="631">
                  <c:v>14.980425264943179</c:v>
                </c:pt>
                <c:pt idx="632">
                  <c:v>14.649620186580622</c:v>
                </c:pt>
                <c:pt idx="633">
                  <c:v>15.498176595957101</c:v>
                </c:pt>
                <c:pt idx="634">
                  <c:v>15.445826527273233</c:v>
                </c:pt>
                <c:pt idx="635">
                  <c:v>14.436037793153922</c:v>
                </c:pt>
                <c:pt idx="636">
                  <c:v>15.263633961915835</c:v>
                </c:pt>
                <c:pt idx="637">
                  <c:v>13.811361711421723</c:v>
                </c:pt>
                <c:pt idx="638">
                  <c:v>14.812004720823365</c:v>
                </c:pt>
                <c:pt idx="639">
                  <c:v>14.748442882675771</c:v>
                </c:pt>
                <c:pt idx="640">
                  <c:v>14.176302920704991</c:v>
                </c:pt>
                <c:pt idx="641">
                  <c:v>14.974849337592529</c:v>
                </c:pt>
                <c:pt idx="642">
                  <c:v>14.995004152039973</c:v>
                </c:pt>
                <c:pt idx="643">
                  <c:v>14.922047397685372</c:v>
                </c:pt>
                <c:pt idx="644">
                  <c:v>14.290573764251176</c:v>
                </c:pt>
                <c:pt idx="645">
                  <c:v>14.433472817750113</c:v>
                </c:pt>
                <c:pt idx="646">
                  <c:v>14.009533163585882</c:v>
                </c:pt>
                <c:pt idx="647">
                  <c:v>14.711361437831153</c:v>
                </c:pt>
                <c:pt idx="648">
                  <c:v>14.380521896337763</c:v>
                </c:pt>
                <c:pt idx="649">
                  <c:v>14.739346866275058</c:v>
                </c:pt>
                <c:pt idx="650">
                  <c:v>15.280816762093842</c:v>
                </c:pt>
                <c:pt idx="651">
                  <c:v>14.239869393374022</c:v>
                </c:pt>
                <c:pt idx="652">
                  <c:v>14.987127115106267</c:v>
                </c:pt>
                <c:pt idx="653">
                  <c:v>14.693690301397821</c:v>
                </c:pt>
                <c:pt idx="654">
                  <c:v>14.928977630957441</c:v>
                </c:pt>
                <c:pt idx="655">
                  <c:v>15.090993315227395</c:v>
                </c:pt>
                <c:pt idx="656">
                  <c:v>14.184626255345059</c:v>
                </c:pt>
                <c:pt idx="657">
                  <c:v>14.609505942316563</c:v>
                </c:pt>
                <c:pt idx="658">
                  <c:v>15.161068161195907</c:v>
                </c:pt>
                <c:pt idx="659">
                  <c:v>13.686615267442365</c:v>
                </c:pt>
                <c:pt idx="660">
                  <c:v>14.337483580472378</c:v>
                </c:pt>
                <c:pt idx="661">
                  <c:v>14.431175481614309</c:v>
                </c:pt>
                <c:pt idx="662">
                  <c:v>15.7749534478471</c:v>
                </c:pt>
                <c:pt idx="663">
                  <c:v>15.55222005320212</c:v>
                </c:pt>
                <c:pt idx="664">
                  <c:v>14.46930500473152</c:v>
                </c:pt>
                <c:pt idx="665">
                  <c:v>14.897079235389434</c:v>
                </c:pt>
                <c:pt idx="666">
                  <c:v>15.058170622092497</c:v>
                </c:pt>
                <c:pt idx="667">
                  <c:v>14.333750789774044</c:v>
                </c:pt>
                <c:pt idx="668">
                  <c:v>14.539733580779531</c:v>
                </c:pt>
                <c:pt idx="669">
                  <c:v>14.049516475018816</c:v>
                </c:pt>
                <c:pt idx="670">
                  <c:v>14.318263931174867</c:v>
                </c:pt>
                <c:pt idx="671">
                  <c:v>15.414275401966057</c:v>
                </c:pt>
                <c:pt idx="672">
                  <c:v>15.269717561619526</c:v>
                </c:pt>
                <c:pt idx="673">
                  <c:v>15.426440149713921</c:v>
                </c:pt>
                <c:pt idx="674">
                  <c:v>14.610373731982129</c:v>
                </c:pt>
                <c:pt idx="675">
                  <c:v>14.788557967587266</c:v>
                </c:pt>
                <c:pt idx="676">
                  <c:v>14.38142334974118</c:v>
                </c:pt>
                <c:pt idx="677">
                  <c:v>14.701609671408034</c:v>
                </c:pt>
                <c:pt idx="678">
                  <c:v>14.260527252553453</c:v>
                </c:pt>
                <c:pt idx="679">
                  <c:v>13.85366522665867</c:v>
                </c:pt>
                <c:pt idx="680">
                  <c:v>14.970939923346217</c:v>
                </c:pt>
                <c:pt idx="681">
                  <c:v>15.49128761063565</c:v>
                </c:pt>
                <c:pt idx="682">
                  <c:v>14.126443257606685</c:v>
                </c:pt>
                <c:pt idx="683">
                  <c:v>13.991811455444576</c:v>
                </c:pt>
                <c:pt idx="684">
                  <c:v>14.46924499874773</c:v>
                </c:pt>
                <c:pt idx="685">
                  <c:v>15.173322732030785</c:v>
                </c:pt>
                <c:pt idx="686">
                  <c:v>14.687939262750881</c:v>
                </c:pt>
                <c:pt idx="687">
                  <c:v>15.060360564974298</c:v>
                </c:pt>
                <c:pt idx="688">
                  <c:v>14.744722198929034</c:v>
                </c:pt>
                <c:pt idx="689">
                  <c:v>15.673736599553797</c:v>
                </c:pt>
                <c:pt idx="690">
                  <c:v>15.022602626217795</c:v>
                </c:pt>
                <c:pt idx="691">
                  <c:v>13.756263324383831</c:v>
                </c:pt>
                <c:pt idx="692">
                  <c:v>13.970382868633406</c:v>
                </c:pt>
                <c:pt idx="693">
                  <c:v>13.566000235866387</c:v>
                </c:pt>
                <c:pt idx="694">
                  <c:v>14.394286865289882</c:v>
                </c:pt>
                <c:pt idx="695">
                  <c:v>15.319080645788004</c:v>
                </c:pt>
                <c:pt idx="696">
                  <c:v>15.160747337240498</c:v>
                </c:pt>
                <c:pt idx="697">
                  <c:v>14.688829855076802</c:v>
                </c:pt>
                <c:pt idx="698">
                  <c:v>13.663130314864317</c:v>
                </c:pt>
                <c:pt idx="699">
                  <c:v>14.983745229489266</c:v>
                </c:pt>
                <c:pt idx="700">
                  <c:v>14.701607506536972</c:v>
                </c:pt>
                <c:pt idx="701">
                  <c:v>15.597344355605919</c:v>
                </c:pt>
                <c:pt idx="702">
                  <c:v>15.006010451796914</c:v>
                </c:pt>
                <c:pt idx="703">
                  <c:v>15.377311815878988</c:v>
                </c:pt>
                <c:pt idx="704">
                  <c:v>13.942651378768096</c:v>
                </c:pt>
                <c:pt idx="705">
                  <c:v>15.376076463778974</c:v>
                </c:pt>
                <c:pt idx="706">
                  <c:v>15.150392301852975</c:v>
                </c:pt>
                <c:pt idx="707">
                  <c:v>14.17012133135589</c:v>
                </c:pt>
                <c:pt idx="708">
                  <c:v>14.14719414356729</c:v>
                </c:pt>
                <c:pt idx="709">
                  <c:v>15.216698255564957</c:v>
                </c:pt>
                <c:pt idx="710">
                  <c:v>15.961323153392923</c:v>
                </c:pt>
                <c:pt idx="711">
                  <c:v>14.728743900125401</c:v>
                </c:pt>
                <c:pt idx="712">
                  <c:v>14.705440955911831</c:v>
                </c:pt>
                <c:pt idx="713">
                  <c:v>15.182607505818556</c:v>
                </c:pt>
                <c:pt idx="714">
                  <c:v>14.228848305346084</c:v>
                </c:pt>
                <c:pt idx="715">
                  <c:v>14.004081023525456</c:v>
                </c:pt>
                <c:pt idx="716">
                  <c:v>15.190690309641285</c:v>
                </c:pt>
                <c:pt idx="717">
                  <c:v>14.299447794518892</c:v>
                </c:pt>
                <c:pt idx="718">
                  <c:v>14.294820597145071</c:v>
                </c:pt>
                <c:pt idx="719">
                  <c:v>14.771677783558712</c:v>
                </c:pt>
                <c:pt idx="720">
                  <c:v>14.394481573469134</c:v>
                </c:pt>
                <c:pt idx="721">
                  <c:v>14.594808851791848</c:v>
                </c:pt>
                <c:pt idx="722">
                  <c:v>14.483482428506587</c:v>
                </c:pt>
                <c:pt idx="723">
                  <c:v>14.3716104719868</c:v>
                </c:pt>
                <c:pt idx="724">
                  <c:v>14.147149528861457</c:v>
                </c:pt>
                <c:pt idx="725">
                  <c:v>14.601803215480642</c:v>
                </c:pt>
                <c:pt idx="726">
                  <c:v>15.321296788700002</c:v>
                </c:pt>
                <c:pt idx="727">
                  <c:v>15.441385864980038</c:v>
                </c:pt>
                <c:pt idx="728">
                  <c:v>14.244938353504089</c:v>
                </c:pt>
                <c:pt idx="729">
                  <c:v>13.777065252248439</c:v>
                </c:pt>
                <c:pt idx="730">
                  <c:v>14.299590682151628</c:v>
                </c:pt>
                <c:pt idx="731">
                  <c:v>14.716058097950578</c:v>
                </c:pt>
                <c:pt idx="732">
                  <c:v>14.531932822493227</c:v>
                </c:pt>
                <c:pt idx="733">
                  <c:v>14.963245353766467</c:v>
                </c:pt>
                <c:pt idx="734">
                  <c:v>14.409463365328021</c:v>
                </c:pt>
                <c:pt idx="735">
                  <c:v>15.02216642715196</c:v>
                </c:pt>
                <c:pt idx="736">
                  <c:v>14.753420627551934</c:v>
                </c:pt>
                <c:pt idx="737">
                  <c:v>15.73832515688412</c:v>
                </c:pt>
                <c:pt idx="738">
                  <c:v>15.314760850114606</c:v>
                </c:pt>
                <c:pt idx="739">
                  <c:v>14.608433381862724</c:v>
                </c:pt>
                <c:pt idx="740">
                  <c:v>15.205556906342499</c:v>
                </c:pt>
                <c:pt idx="741">
                  <c:v>14.597236184811294</c:v>
                </c:pt>
                <c:pt idx="742">
                  <c:v>13.303292722710919</c:v>
                </c:pt>
                <c:pt idx="743">
                  <c:v>12.717393878454818</c:v>
                </c:pt>
                <c:pt idx="744">
                  <c:v>14.807908940009183</c:v>
                </c:pt>
                <c:pt idx="745">
                  <c:v>14.938861073286031</c:v>
                </c:pt>
                <c:pt idx="746">
                  <c:v>14.693780613355692</c:v>
                </c:pt>
                <c:pt idx="747">
                  <c:v>14.13553766368317</c:v>
                </c:pt>
                <c:pt idx="748">
                  <c:v>14.709728422584181</c:v>
                </c:pt>
                <c:pt idx="749">
                  <c:v>13.712563060558088</c:v>
                </c:pt>
                <c:pt idx="750">
                  <c:v>14.221875443110811</c:v>
                </c:pt>
                <c:pt idx="751">
                  <c:v>14.060759778452162</c:v>
                </c:pt>
                <c:pt idx="752">
                  <c:v>14.581130787787103</c:v>
                </c:pt>
                <c:pt idx="753">
                  <c:v>13.875113286591574</c:v>
                </c:pt>
                <c:pt idx="754">
                  <c:v>15.048923520966051</c:v>
                </c:pt>
                <c:pt idx="755">
                  <c:v>15.696661580025035</c:v>
                </c:pt>
                <c:pt idx="756">
                  <c:v>15.207110367722915</c:v>
                </c:pt>
                <c:pt idx="757">
                  <c:v>14.274794768762293</c:v>
                </c:pt>
                <c:pt idx="758">
                  <c:v>15.693317695310647</c:v>
                </c:pt>
                <c:pt idx="759">
                  <c:v>14.889174152765634</c:v>
                </c:pt>
                <c:pt idx="760">
                  <c:v>15.168226453501411</c:v>
                </c:pt>
                <c:pt idx="761">
                  <c:v>14.715284916903705</c:v>
                </c:pt>
                <c:pt idx="762">
                  <c:v>14.92910772191795</c:v>
                </c:pt>
                <c:pt idx="763">
                  <c:v>15.218608638998729</c:v>
                </c:pt>
                <c:pt idx="764">
                  <c:v>14.865856089408979</c:v>
                </c:pt>
                <c:pt idx="765">
                  <c:v>14.304491939572241</c:v>
                </c:pt>
                <c:pt idx="766">
                  <c:v>14.118251719970075</c:v>
                </c:pt>
                <c:pt idx="767">
                  <c:v>14.425822848350187</c:v>
                </c:pt>
                <c:pt idx="768">
                  <c:v>15.167160283169242</c:v>
                </c:pt>
                <c:pt idx="769">
                  <c:v>14.841015582213021</c:v>
                </c:pt>
                <c:pt idx="770">
                  <c:v>14.949961101987133</c:v>
                </c:pt>
                <c:pt idx="771">
                  <c:v>14.345512972096515</c:v>
                </c:pt>
                <c:pt idx="772">
                  <c:v>14.494046012207876</c:v>
                </c:pt>
                <c:pt idx="773">
                  <c:v>13.941820220505294</c:v>
                </c:pt>
                <c:pt idx="774">
                  <c:v>14.845034327723049</c:v>
                </c:pt>
                <c:pt idx="775">
                  <c:v>13.601134570916685</c:v>
                </c:pt>
                <c:pt idx="776">
                  <c:v>14.557165775702465</c:v>
                </c:pt>
                <c:pt idx="777">
                  <c:v>14.716729155280257</c:v>
                </c:pt>
                <c:pt idx="778">
                  <c:v>15.445343019937773</c:v>
                </c:pt>
                <c:pt idx="779">
                  <c:v>13.734752314488423</c:v>
                </c:pt>
                <c:pt idx="780">
                  <c:v>15.26497549233618</c:v>
                </c:pt>
                <c:pt idx="781">
                  <c:v>14.372485561547633</c:v>
                </c:pt>
                <c:pt idx="782">
                  <c:v>14.291133561525941</c:v>
                </c:pt>
                <c:pt idx="783">
                  <c:v>14.499372125905479</c:v>
                </c:pt>
                <c:pt idx="784">
                  <c:v>13.516920698831145</c:v>
                </c:pt>
                <c:pt idx="785">
                  <c:v>14.309719225815048</c:v>
                </c:pt>
                <c:pt idx="786">
                  <c:v>14.82904565613519</c:v>
                </c:pt>
                <c:pt idx="787">
                  <c:v>15.199986633561103</c:v>
                </c:pt>
                <c:pt idx="788">
                  <c:v>14.12520026245749</c:v>
                </c:pt>
                <c:pt idx="789">
                  <c:v>14.710962625050676</c:v>
                </c:pt>
                <c:pt idx="790">
                  <c:v>14.689989692489215</c:v>
                </c:pt>
                <c:pt idx="791">
                  <c:v>14.537639695753297</c:v>
                </c:pt>
                <c:pt idx="792">
                  <c:v>13.766173871014283</c:v>
                </c:pt>
                <c:pt idx="793">
                  <c:v>14.163158415192202</c:v>
                </c:pt>
                <c:pt idx="794">
                  <c:v>15.090734999804182</c:v>
                </c:pt>
                <c:pt idx="795">
                  <c:v>13.738683282940327</c:v>
                </c:pt>
                <c:pt idx="796">
                  <c:v>14.203045610408788</c:v>
                </c:pt>
                <c:pt idx="797">
                  <c:v>14.174310588190348</c:v>
                </c:pt>
                <c:pt idx="798">
                  <c:v>14.0662301967758</c:v>
                </c:pt>
                <c:pt idx="799">
                  <c:v>15.067137322356086</c:v>
                </c:pt>
                <c:pt idx="800">
                  <c:v>14.237470728196781</c:v>
                </c:pt>
                <c:pt idx="801">
                  <c:v>15.106478752209192</c:v>
                </c:pt>
                <c:pt idx="802">
                  <c:v>14.644425787461142</c:v>
                </c:pt>
                <c:pt idx="803">
                  <c:v>13.830452637852392</c:v>
                </c:pt>
                <c:pt idx="804">
                  <c:v>15.16857209278349</c:v>
                </c:pt>
                <c:pt idx="805">
                  <c:v>13.469677236656342</c:v>
                </c:pt>
                <c:pt idx="806">
                  <c:v>15.036664530133161</c:v>
                </c:pt>
                <c:pt idx="807">
                  <c:v>15.091140119633621</c:v>
                </c:pt>
                <c:pt idx="808">
                  <c:v>14.998299160535222</c:v>
                </c:pt>
                <c:pt idx="809">
                  <c:v>14.852943804930716</c:v>
                </c:pt>
                <c:pt idx="810">
                  <c:v>15.330192851019426</c:v>
                </c:pt>
                <c:pt idx="811">
                  <c:v>14.891489122791157</c:v>
                </c:pt>
                <c:pt idx="812">
                  <c:v>14.70680672434918</c:v>
                </c:pt>
                <c:pt idx="813">
                  <c:v>15.398520265631314</c:v>
                </c:pt>
                <c:pt idx="814">
                  <c:v>14.154494044267647</c:v>
                </c:pt>
                <c:pt idx="815">
                  <c:v>14.93315254732051</c:v>
                </c:pt>
                <c:pt idx="816">
                  <c:v>15.204461887604987</c:v>
                </c:pt>
                <c:pt idx="817">
                  <c:v>13.910959166096914</c:v>
                </c:pt>
                <c:pt idx="818">
                  <c:v>14.239997780691272</c:v>
                </c:pt>
                <c:pt idx="819">
                  <c:v>15.247836172215676</c:v>
                </c:pt>
                <c:pt idx="820">
                  <c:v>15.120322213707096</c:v>
                </c:pt>
                <c:pt idx="821">
                  <c:v>14.813860633692331</c:v>
                </c:pt>
                <c:pt idx="822">
                  <c:v>14.72775461503894</c:v>
                </c:pt>
                <c:pt idx="823">
                  <c:v>13.882327876866562</c:v>
                </c:pt>
                <c:pt idx="824">
                  <c:v>14.887784071148229</c:v>
                </c:pt>
                <c:pt idx="825">
                  <c:v>14.379994869495258</c:v>
                </c:pt>
                <c:pt idx="826">
                  <c:v>13.903713167933471</c:v>
                </c:pt>
                <c:pt idx="827">
                  <c:v>14.068838655978935</c:v>
                </c:pt>
                <c:pt idx="828">
                  <c:v>14.360479856660053</c:v>
                </c:pt>
                <c:pt idx="829">
                  <c:v>14.336904085259341</c:v>
                </c:pt>
                <c:pt idx="830">
                  <c:v>13.987471465812709</c:v>
                </c:pt>
                <c:pt idx="831">
                  <c:v>15.138617134924534</c:v>
                </c:pt>
                <c:pt idx="832">
                  <c:v>14.960738832219073</c:v>
                </c:pt>
                <c:pt idx="833">
                  <c:v>15.138838598985599</c:v>
                </c:pt>
                <c:pt idx="834">
                  <c:v>15.322757969879023</c:v>
                </c:pt>
                <c:pt idx="835">
                  <c:v>15.192350800236357</c:v>
                </c:pt>
                <c:pt idx="836">
                  <c:v>14.363481432079364</c:v>
                </c:pt>
                <c:pt idx="837">
                  <c:v>14.993324398723678</c:v>
                </c:pt>
                <c:pt idx="838">
                  <c:v>15.404769782572492</c:v>
                </c:pt>
                <c:pt idx="839">
                  <c:v>15.212640910323898</c:v>
                </c:pt>
                <c:pt idx="840">
                  <c:v>14.82891141983386</c:v>
                </c:pt>
                <c:pt idx="841">
                  <c:v>13.223668915627512</c:v>
                </c:pt>
                <c:pt idx="842">
                  <c:v>14.134031278151257</c:v>
                </c:pt>
                <c:pt idx="843">
                  <c:v>14.407935596523043</c:v>
                </c:pt>
                <c:pt idx="844">
                  <c:v>14.727956220086659</c:v>
                </c:pt>
                <c:pt idx="845">
                  <c:v>14.120369553147226</c:v>
                </c:pt>
                <c:pt idx="846">
                  <c:v>15.016853860252807</c:v>
                </c:pt>
                <c:pt idx="847">
                  <c:v>14.46072390202362</c:v>
                </c:pt>
                <c:pt idx="848">
                  <c:v>14.963621883694733</c:v>
                </c:pt>
                <c:pt idx="849">
                  <c:v>14.732336028928131</c:v>
                </c:pt>
                <c:pt idx="850">
                  <c:v>13.931459279479155</c:v>
                </c:pt>
                <c:pt idx="851">
                  <c:v>15.319545532537308</c:v>
                </c:pt>
                <c:pt idx="852">
                  <c:v>13.835645984761348</c:v>
                </c:pt>
                <c:pt idx="853">
                  <c:v>14.254647488964649</c:v>
                </c:pt>
                <c:pt idx="854">
                  <c:v>14.224381023395152</c:v>
                </c:pt>
                <c:pt idx="855">
                  <c:v>14.657664885496748</c:v>
                </c:pt>
                <c:pt idx="856">
                  <c:v>14.966657943312152</c:v>
                </c:pt>
                <c:pt idx="857">
                  <c:v>14.942893320451613</c:v>
                </c:pt>
                <c:pt idx="858">
                  <c:v>15.88181802461683</c:v>
                </c:pt>
                <c:pt idx="859">
                  <c:v>15.292517329804522</c:v>
                </c:pt>
                <c:pt idx="860">
                  <c:v>15.314624679352967</c:v>
                </c:pt>
                <c:pt idx="861">
                  <c:v>14.847642615181803</c:v>
                </c:pt>
                <c:pt idx="862">
                  <c:v>14.392002908813012</c:v>
                </c:pt>
                <c:pt idx="863">
                  <c:v>14.827626431735075</c:v>
                </c:pt>
                <c:pt idx="864">
                  <c:v>15.536728242615245</c:v>
                </c:pt>
                <c:pt idx="865">
                  <c:v>14.485158390909607</c:v>
                </c:pt>
                <c:pt idx="866">
                  <c:v>14.211471869314886</c:v>
                </c:pt>
                <c:pt idx="867">
                  <c:v>15.174044951734651</c:v>
                </c:pt>
                <c:pt idx="868">
                  <c:v>15.993888667821697</c:v>
                </c:pt>
                <c:pt idx="869">
                  <c:v>15.060858324317765</c:v>
                </c:pt>
                <c:pt idx="870">
                  <c:v>14.419338665698309</c:v>
                </c:pt>
                <c:pt idx="871">
                  <c:v>14.535374464054296</c:v>
                </c:pt>
                <c:pt idx="872">
                  <c:v>13.689128562670167</c:v>
                </c:pt>
                <c:pt idx="873">
                  <c:v>15.252077384379573</c:v>
                </c:pt>
                <c:pt idx="874">
                  <c:v>16.01166275532217</c:v>
                </c:pt>
                <c:pt idx="875">
                  <c:v>13.64465758666439</c:v>
                </c:pt>
                <c:pt idx="876">
                  <c:v>14.59604986143955</c:v>
                </c:pt>
                <c:pt idx="877">
                  <c:v>14.728968606485823</c:v>
                </c:pt>
                <c:pt idx="878">
                  <c:v>14.58195219955673</c:v>
                </c:pt>
                <c:pt idx="879">
                  <c:v>15.170680760835031</c:v>
                </c:pt>
                <c:pt idx="880">
                  <c:v>13.873811561782954</c:v>
                </c:pt>
                <c:pt idx="881">
                  <c:v>14.373067248697764</c:v>
                </c:pt>
                <c:pt idx="882">
                  <c:v>13.845620017930957</c:v>
                </c:pt>
                <c:pt idx="883">
                  <c:v>15.300646905320797</c:v>
                </c:pt>
                <c:pt idx="884">
                  <c:v>15.31659708600794</c:v>
                </c:pt>
                <c:pt idx="885">
                  <c:v>14.777403805144795</c:v>
                </c:pt>
                <c:pt idx="886">
                  <c:v>14.829355586227267</c:v>
                </c:pt>
                <c:pt idx="887">
                  <c:v>14.202490166416617</c:v>
                </c:pt>
                <c:pt idx="888">
                  <c:v>14.837565201415014</c:v>
                </c:pt>
                <c:pt idx="889">
                  <c:v>14.40879608225123</c:v>
                </c:pt>
                <c:pt idx="890">
                  <c:v>14.747552058428772</c:v>
                </c:pt>
                <c:pt idx="891">
                  <c:v>14.820995373326424</c:v>
                </c:pt>
                <c:pt idx="892">
                  <c:v>14.54839253725304</c:v>
                </c:pt>
                <c:pt idx="893">
                  <c:v>14.819313914496391</c:v>
                </c:pt>
                <c:pt idx="894">
                  <c:v>14.848726119781311</c:v>
                </c:pt>
                <c:pt idx="895">
                  <c:v>15.27690580739433</c:v>
                </c:pt>
                <c:pt idx="896">
                  <c:v>14.434634530702297</c:v>
                </c:pt>
                <c:pt idx="897">
                  <c:v>14.867623673994668</c:v>
                </c:pt>
                <c:pt idx="898">
                  <c:v>13.399349326798202</c:v>
                </c:pt>
                <c:pt idx="899">
                  <c:v>14.597957390509462</c:v>
                </c:pt>
                <c:pt idx="900">
                  <c:v>15.223860895062419</c:v>
                </c:pt>
                <c:pt idx="901">
                  <c:v>14.656270852984905</c:v>
                </c:pt>
                <c:pt idx="902">
                  <c:v>14.050295433271486</c:v>
                </c:pt>
                <c:pt idx="903">
                  <c:v>15.129686849519128</c:v>
                </c:pt>
                <c:pt idx="904">
                  <c:v>14.689331666813535</c:v>
                </c:pt>
                <c:pt idx="905">
                  <c:v>14.887386871130214</c:v>
                </c:pt>
                <c:pt idx="906">
                  <c:v>14.924768562882942</c:v>
                </c:pt>
                <c:pt idx="907">
                  <c:v>14.807050313458969</c:v>
                </c:pt>
                <c:pt idx="908">
                  <c:v>14.177585568996433</c:v>
                </c:pt>
                <c:pt idx="909">
                  <c:v>14.426752475015366</c:v>
                </c:pt>
                <c:pt idx="910">
                  <c:v>14.448462669707718</c:v>
                </c:pt>
                <c:pt idx="911">
                  <c:v>15.148787697140895</c:v>
                </c:pt>
                <c:pt idx="912">
                  <c:v>14.066000831416332</c:v>
                </c:pt>
                <c:pt idx="913">
                  <c:v>15.371213722606651</c:v>
                </c:pt>
                <c:pt idx="914">
                  <c:v>14.862827603112866</c:v>
                </c:pt>
                <c:pt idx="915">
                  <c:v>15.163533025031937</c:v>
                </c:pt>
                <c:pt idx="916">
                  <c:v>14.585147056740897</c:v>
                </c:pt>
                <c:pt idx="917">
                  <c:v>14.579731246722716</c:v>
                </c:pt>
                <c:pt idx="918">
                  <c:v>14.834865246306878</c:v>
                </c:pt>
                <c:pt idx="919">
                  <c:v>14.420201572570441</c:v>
                </c:pt>
                <c:pt idx="920">
                  <c:v>15.772080112799966</c:v>
                </c:pt>
                <c:pt idx="921">
                  <c:v>14.854407607958059</c:v>
                </c:pt>
                <c:pt idx="922">
                  <c:v>13.899758120891542</c:v>
                </c:pt>
                <c:pt idx="923">
                  <c:v>14.421791361009408</c:v>
                </c:pt>
                <c:pt idx="924">
                  <c:v>13.863283773469723</c:v>
                </c:pt>
                <c:pt idx="925">
                  <c:v>14.54078652683109</c:v>
                </c:pt>
                <c:pt idx="926">
                  <c:v>15.536910092259868</c:v>
                </c:pt>
                <c:pt idx="927">
                  <c:v>15.27246821297147</c:v>
                </c:pt>
                <c:pt idx="928">
                  <c:v>15.503316913504237</c:v>
                </c:pt>
                <c:pt idx="929">
                  <c:v>14.662332197866746</c:v>
                </c:pt>
                <c:pt idx="930">
                  <c:v>15.598273432394087</c:v>
                </c:pt>
                <c:pt idx="931">
                  <c:v>14.967569513788433</c:v>
                </c:pt>
                <c:pt idx="932">
                  <c:v>14.986123651355056</c:v>
                </c:pt>
                <c:pt idx="933">
                  <c:v>14.433499965563579</c:v>
                </c:pt>
                <c:pt idx="934">
                  <c:v>13.914121837106757</c:v>
                </c:pt>
                <c:pt idx="935">
                  <c:v>14.555979323103086</c:v>
                </c:pt>
                <c:pt idx="936">
                  <c:v>14.700407775213701</c:v>
                </c:pt>
                <c:pt idx="937">
                  <c:v>15.032591746087734</c:v>
                </c:pt>
                <c:pt idx="938">
                  <c:v>14.963283747339458</c:v>
                </c:pt>
                <c:pt idx="939">
                  <c:v>14.447722596131607</c:v>
                </c:pt>
                <c:pt idx="940">
                  <c:v>14.37184130705463</c:v>
                </c:pt>
                <c:pt idx="941">
                  <c:v>15.62867959169319</c:v>
                </c:pt>
                <c:pt idx="942">
                  <c:v>14.893308423305461</c:v>
                </c:pt>
                <c:pt idx="943">
                  <c:v>15.387899563026087</c:v>
                </c:pt>
                <c:pt idx="944">
                  <c:v>14.226554664969868</c:v>
                </c:pt>
                <c:pt idx="945">
                  <c:v>14.135031839767635</c:v>
                </c:pt>
                <c:pt idx="946">
                  <c:v>14.110144486634494</c:v>
                </c:pt>
                <c:pt idx="947">
                  <c:v>15.269953391659019</c:v>
                </c:pt>
                <c:pt idx="948">
                  <c:v>14.267803615998687</c:v>
                </c:pt>
                <c:pt idx="949">
                  <c:v>14.557571632188946</c:v>
                </c:pt>
                <c:pt idx="950">
                  <c:v>14.696673866164923</c:v>
                </c:pt>
                <c:pt idx="951">
                  <c:v>14.510618715844782</c:v>
                </c:pt>
                <c:pt idx="952">
                  <c:v>15.292719860368699</c:v>
                </c:pt>
                <c:pt idx="953">
                  <c:v>14.425530148910248</c:v>
                </c:pt>
                <c:pt idx="954">
                  <c:v>14.959324815861855</c:v>
                </c:pt>
                <c:pt idx="955">
                  <c:v>14.801289718391809</c:v>
                </c:pt>
                <c:pt idx="956">
                  <c:v>14.905676211524552</c:v>
                </c:pt>
                <c:pt idx="957">
                  <c:v>14.858008019580808</c:v>
                </c:pt>
                <c:pt idx="958">
                  <c:v>13.839833876185788</c:v>
                </c:pt>
                <c:pt idx="959">
                  <c:v>14.611771844595541</c:v>
                </c:pt>
                <c:pt idx="960">
                  <c:v>14.895771739863759</c:v>
                </c:pt>
                <c:pt idx="961">
                  <c:v>14.670811066093334</c:v>
                </c:pt>
                <c:pt idx="962">
                  <c:v>14.573816484866242</c:v>
                </c:pt>
                <c:pt idx="963">
                  <c:v>13.886025531906691</c:v>
                </c:pt>
                <c:pt idx="964">
                  <c:v>14.280510740820633</c:v>
                </c:pt>
                <c:pt idx="965">
                  <c:v>14.639286336864997</c:v>
                </c:pt>
                <c:pt idx="966">
                  <c:v>15.099918561747678</c:v>
                </c:pt>
                <c:pt idx="967">
                  <c:v>14.943928373032655</c:v>
                </c:pt>
                <c:pt idx="968">
                  <c:v>14.677120294924007</c:v>
                </c:pt>
                <c:pt idx="969">
                  <c:v>14.22442466600004</c:v>
                </c:pt>
                <c:pt idx="970">
                  <c:v>15.487297947664331</c:v>
                </c:pt>
                <c:pt idx="971">
                  <c:v>15.526537812370984</c:v>
                </c:pt>
                <c:pt idx="972">
                  <c:v>14.944642369406361</c:v>
                </c:pt>
                <c:pt idx="973">
                  <c:v>14.741275887939608</c:v>
                </c:pt>
                <c:pt idx="974">
                  <c:v>14.192616805012918</c:v>
                </c:pt>
                <c:pt idx="975">
                  <c:v>14.835527088751444</c:v>
                </c:pt>
                <c:pt idx="976">
                  <c:v>14.251525130743412</c:v>
                </c:pt>
                <c:pt idx="977">
                  <c:v>14.465135427198016</c:v>
                </c:pt>
                <c:pt idx="978">
                  <c:v>14.367120365674195</c:v>
                </c:pt>
                <c:pt idx="979">
                  <c:v>14.710341705599369</c:v>
                </c:pt>
                <c:pt idx="980">
                  <c:v>15.366504190258347</c:v>
                </c:pt>
                <c:pt idx="981">
                  <c:v>15.496366733244088</c:v>
                </c:pt>
                <c:pt idx="982">
                  <c:v>14.371143548955141</c:v>
                </c:pt>
                <c:pt idx="983">
                  <c:v>14.189587476584242</c:v>
                </c:pt>
                <c:pt idx="984">
                  <c:v>14.234949178605351</c:v>
                </c:pt>
                <c:pt idx="985">
                  <c:v>14.929438166868168</c:v>
                </c:pt>
                <c:pt idx="986">
                  <c:v>15.505080696552275</c:v>
                </c:pt>
                <c:pt idx="987">
                  <c:v>14.393957573937088</c:v>
                </c:pt>
                <c:pt idx="988">
                  <c:v>15.075063007145022</c:v>
                </c:pt>
                <c:pt idx="989">
                  <c:v>15.455056234435297</c:v>
                </c:pt>
                <c:pt idx="990">
                  <c:v>14.715761973154914</c:v>
                </c:pt>
                <c:pt idx="991">
                  <c:v>14.876008808024221</c:v>
                </c:pt>
                <c:pt idx="992">
                  <c:v>15.578495272806808</c:v>
                </c:pt>
                <c:pt idx="993">
                  <c:v>14.49971990602381</c:v>
                </c:pt>
                <c:pt idx="994">
                  <c:v>14.890830080516579</c:v>
                </c:pt>
                <c:pt idx="995">
                  <c:v>14.539660530383221</c:v>
                </c:pt>
                <c:pt idx="996">
                  <c:v>13.768598193635123</c:v>
                </c:pt>
                <c:pt idx="997">
                  <c:v>14.53778199520781</c:v>
                </c:pt>
                <c:pt idx="998">
                  <c:v>15.405285173409236</c:v>
                </c:pt>
                <c:pt idx="999">
                  <c:v>15.272350070035801</c:v>
                </c:pt>
              </c:numCache>
            </c:numRef>
          </c:xVal>
          <c:yVal>
            <c:numRef>
              <c:f>Simulation!$R$6:$R$1005</c:f>
              <c:numCache>
                <c:formatCode>0.00_ ;\-0.00\ </c:formatCode>
                <c:ptCount val="1000"/>
                <c:pt idx="0">
                  <c:v>537.86492891324963</c:v>
                </c:pt>
                <c:pt idx="1">
                  <c:v>563.15244083582866</c:v>
                </c:pt>
                <c:pt idx="2">
                  <c:v>620.23195342882536</c:v>
                </c:pt>
                <c:pt idx="3">
                  <c:v>534.58062616551024</c:v>
                </c:pt>
                <c:pt idx="4">
                  <c:v>461.01938073178138</c:v>
                </c:pt>
                <c:pt idx="5">
                  <c:v>502.23428922981037</c:v>
                </c:pt>
                <c:pt idx="6">
                  <c:v>522.93191875144873</c:v>
                </c:pt>
                <c:pt idx="7">
                  <c:v>519.28369764866216</c:v>
                </c:pt>
                <c:pt idx="8">
                  <c:v>566.4442537580469</c:v>
                </c:pt>
                <c:pt idx="9">
                  <c:v>526.60838904206946</c:v>
                </c:pt>
                <c:pt idx="10">
                  <c:v>491.56428975646025</c:v>
                </c:pt>
                <c:pt idx="11">
                  <c:v>510.00277647539372</c:v>
                </c:pt>
                <c:pt idx="12">
                  <c:v>521.78194057946575</c:v>
                </c:pt>
                <c:pt idx="13">
                  <c:v>500.47552978276781</c:v>
                </c:pt>
                <c:pt idx="14">
                  <c:v>522.26628961694917</c:v>
                </c:pt>
                <c:pt idx="15">
                  <c:v>497.08617293493904</c:v>
                </c:pt>
                <c:pt idx="16">
                  <c:v>607.21183198119297</c:v>
                </c:pt>
                <c:pt idx="17">
                  <c:v>490.43645779976646</c:v>
                </c:pt>
                <c:pt idx="18">
                  <c:v>534.28404889961075</c:v>
                </c:pt>
                <c:pt idx="19">
                  <c:v>491.7828703859542</c:v>
                </c:pt>
                <c:pt idx="20">
                  <c:v>511.00777912105639</c:v>
                </c:pt>
                <c:pt idx="21">
                  <c:v>508.98402472159341</c:v>
                </c:pt>
                <c:pt idx="22">
                  <c:v>505.93900614105183</c:v>
                </c:pt>
                <c:pt idx="23">
                  <c:v>540.0845036530111</c:v>
                </c:pt>
                <c:pt idx="24">
                  <c:v>573.47424892410413</c:v>
                </c:pt>
                <c:pt idx="25">
                  <c:v>502.6250824551874</c:v>
                </c:pt>
                <c:pt idx="26">
                  <c:v>469.51974398016472</c:v>
                </c:pt>
                <c:pt idx="27">
                  <c:v>499.06299302372702</c:v>
                </c:pt>
                <c:pt idx="28">
                  <c:v>497.11194648072626</c:v>
                </c:pt>
                <c:pt idx="29">
                  <c:v>514.68542816691001</c:v>
                </c:pt>
                <c:pt idx="30">
                  <c:v>521.6939050035819</c:v>
                </c:pt>
                <c:pt idx="31">
                  <c:v>509.57153222429838</c:v>
                </c:pt>
                <c:pt idx="32">
                  <c:v>560.56622203617349</c:v>
                </c:pt>
                <c:pt idx="33">
                  <c:v>534.76051943823597</c:v>
                </c:pt>
                <c:pt idx="34">
                  <c:v>459.96382067085597</c:v>
                </c:pt>
                <c:pt idx="35">
                  <c:v>476.14096829770961</c:v>
                </c:pt>
                <c:pt idx="36">
                  <c:v>518.72201080984814</c:v>
                </c:pt>
                <c:pt idx="37">
                  <c:v>481.90447213039886</c:v>
                </c:pt>
                <c:pt idx="38">
                  <c:v>503.69527419409923</c:v>
                </c:pt>
                <c:pt idx="39">
                  <c:v>495.68835689413538</c:v>
                </c:pt>
                <c:pt idx="40">
                  <c:v>457.60941556711958</c:v>
                </c:pt>
                <c:pt idx="41">
                  <c:v>504.97357725344557</c:v>
                </c:pt>
                <c:pt idx="42">
                  <c:v>571.27161159748255</c:v>
                </c:pt>
                <c:pt idx="43">
                  <c:v>598.78922253864141</c:v>
                </c:pt>
                <c:pt idx="44">
                  <c:v>505.64501795515719</c:v>
                </c:pt>
                <c:pt idx="45">
                  <c:v>520.74268742115078</c:v>
                </c:pt>
                <c:pt idx="46">
                  <c:v>477.8166409188658</c:v>
                </c:pt>
                <c:pt idx="47">
                  <c:v>453.72457688045193</c:v>
                </c:pt>
                <c:pt idx="48">
                  <c:v>512.48917954301862</c:v>
                </c:pt>
                <c:pt idx="49">
                  <c:v>505.69293841277948</c:v>
                </c:pt>
                <c:pt idx="50">
                  <c:v>684.92835483255908</c:v>
                </c:pt>
                <c:pt idx="51">
                  <c:v>621.54927400462839</c:v>
                </c:pt>
                <c:pt idx="52">
                  <c:v>502.46001840060507</c:v>
                </c:pt>
                <c:pt idx="53">
                  <c:v>506.66497865673551</c:v>
                </c:pt>
                <c:pt idx="54">
                  <c:v>524.07060767313487</c:v>
                </c:pt>
                <c:pt idx="55">
                  <c:v>539.88869656739598</c:v>
                </c:pt>
                <c:pt idx="56">
                  <c:v>551.324919300994</c:v>
                </c:pt>
                <c:pt idx="57">
                  <c:v>457.89491821975332</c:v>
                </c:pt>
                <c:pt idx="58">
                  <c:v>475.81070670387601</c:v>
                </c:pt>
                <c:pt idx="59">
                  <c:v>495.4506641338096</c:v>
                </c:pt>
                <c:pt idx="60">
                  <c:v>518.13756263197786</c:v>
                </c:pt>
                <c:pt idx="61">
                  <c:v>446.47066206365264</c:v>
                </c:pt>
                <c:pt idx="62">
                  <c:v>519.38650830869744</c:v>
                </c:pt>
                <c:pt idx="63">
                  <c:v>515.15857263460487</c:v>
                </c:pt>
                <c:pt idx="64">
                  <c:v>501.12608215101307</c:v>
                </c:pt>
                <c:pt idx="65">
                  <c:v>533.25308009041271</c:v>
                </c:pt>
                <c:pt idx="66">
                  <c:v>469.17009364765028</c:v>
                </c:pt>
                <c:pt idx="67">
                  <c:v>524.82934696828318</c:v>
                </c:pt>
                <c:pt idx="68">
                  <c:v>547.41807471183813</c:v>
                </c:pt>
                <c:pt idx="69">
                  <c:v>519.01241269989134</c:v>
                </c:pt>
                <c:pt idx="70">
                  <c:v>469.54650855216016</c:v>
                </c:pt>
                <c:pt idx="71">
                  <c:v>516.97183708899593</c:v>
                </c:pt>
                <c:pt idx="72">
                  <c:v>546.28179004207004</c:v>
                </c:pt>
                <c:pt idx="73">
                  <c:v>512.96361034755</c:v>
                </c:pt>
                <c:pt idx="74">
                  <c:v>540.87293396529549</c:v>
                </c:pt>
                <c:pt idx="75">
                  <c:v>632.87376797874049</c:v>
                </c:pt>
                <c:pt idx="76">
                  <c:v>451.13345474721712</c:v>
                </c:pt>
                <c:pt idx="77">
                  <c:v>501.24957760703455</c:v>
                </c:pt>
                <c:pt idx="78">
                  <c:v>530.28919581918228</c:v>
                </c:pt>
                <c:pt idx="79">
                  <c:v>499.84373429646894</c:v>
                </c:pt>
                <c:pt idx="80">
                  <c:v>483.54210131206275</c:v>
                </c:pt>
                <c:pt idx="81">
                  <c:v>574.32816038010321</c:v>
                </c:pt>
                <c:pt idx="82">
                  <c:v>477.43272940963863</c:v>
                </c:pt>
                <c:pt idx="83">
                  <c:v>491.75567312370896</c:v>
                </c:pt>
                <c:pt idx="84">
                  <c:v>483.38437736692885</c:v>
                </c:pt>
                <c:pt idx="85">
                  <c:v>453.1009158962305</c:v>
                </c:pt>
                <c:pt idx="86">
                  <c:v>514.64124181250872</c:v>
                </c:pt>
                <c:pt idx="87">
                  <c:v>467.86460897185071</c:v>
                </c:pt>
                <c:pt idx="88">
                  <c:v>484.56112648018996</c:v>
                </c:pt>
                <c:pt idx="89">
                  <c:v>479.07100288752594</c:v>
                </c:pt>
                <c:pt idx="90">
                  <c:v>492.15283062858083</c:v>
                </c:pt>
                <c:pt idx="91">
                  <c:v>607.69096365837174</c:v>
                </c:pt>
                <c:pt idx="92">
                  <c:v>507.53046063782</c:v>
                </c:pt>
                <c:pt idx="93">
                  <c:v>473.71972336447067</c:v>
                </c:pt>
                <c:pt idx="94">
                  <c:v>526.06119199016246</c:v>
                </c:pt>
                <c:pt idx="95">
                  <c:v>513.0116259723136</c:v>
                </c:pt>
                <c:pt idx="96">
                  <c:v>510.48850237043382</c:v>
                </c:pt>
                <c:pt idx="97">
                  <c:v>489.31605370206188</c:v>
                </c:pt>
                <c:pt idx="98">
                  <c:v>552.07423935046938</c:v>
                </c:pt>
                <c:pt idx="99">
                  <c:v>531.38709779194608</c:v>
                </c:pt>
                <c:pt idx="100">
                  <c:v>451.12762023135144</c:v>
                </c:pt>
                <c:pt idx="101">
                  <c:v>468.36634521424406</c:v>
                </c:pt>
                <c:pt idx="102">
                  <c:v>523.23278249686564</c:v>
                </c:pt>
                <c:pt idx="103">
                  <c:v>465.89451408493312</c:v>
                </c:pt>
                <c:pt idx="104">
                  <c:v>612.9980051492538</c:v>
                </c:pt>
                <c:pt idx="105">
                  <c:v>509.1494752200357</c:v>
                </c:pt>
                <c:pt idx="106">
                  <c:v>500.29803817549066</c:v>
                </c:pt>
                <c:pt idx="107">
                  <c:v>583.71921862569309</c:v>
                </c:pt>
                <c:pt idx="108">
                  <c:v>478.60976804763385</c:v>
                </c:pt>
                <c:pt idx="109">
                  <c:v>469.72420316486671</c:v>
                </c:pt>
                <c:pt idx="110">
                  <c:v>573.29623734499012</c:v>
                </c:pt>
                <c:pt idx="111">
                  <c:v>531.77410934022623</c:v>
                </c:pt>
                <c:pt idx="112">
                  <c:v>504.90618666872399</c:v>
                </c:pt>
                <c:pt idx="113">
                  <c:v>511.31475031473718</c:v>
                </c:pt>
                <c:pt idx="114">
                  <c:v>448.75232748085648</c:v>
                </c:pt>
                <c:pt idx="115">
                  <c:v>463.0901222805698</c:v>
                </c:pt>
                <c:pt idx="116">
                  <c:v>542.48653198258216</c:v>
                </c:pt>
                <c:pt idx="117">
                  <c:v>502.17725277066614</c:v>
                </c:pt>
                <c:pt idx="118">
                  <c:v>444.87432236086022</c:v>
                </c:pt>
                <c:pt idx="119">
                  <c:v>587.2986225133094</c:v>
                </c:pt>
                <c:pt idx="120">
                  <c:v>477.63018725229904</c:v>
                </c:pt>
                <c:pt idx="121">
                  <c:v>510.01164067527162</c:v>
                </c:pt>
                <c:pt idx="122">
                  <c:v>469.76186968585336</c:v>
                </c:pt>
                <c:pt idx="123">
                  <c:v>523.63162092026334</c:v>
                </c:pt>
                <c:pt idx="124">
                  <c:v>505.8765558409724</c:v>
                </c:pt>
                <c:pt idx="125">
                  <c:v>485.5657480397806</c:v>
                </c:pt>
                <c:pt idx="126">
                  <c:v>457.49905659134339</c:v>
                </c:pt>
                <c:pt idx="127">
                  <c:v>563.53830702357857</c:v>
                </c:pt>
                <c:pt idx="128">
                  <c:v>540.61963567729811</c:v>
                </c:pt>
                <c:pt idx="129">
                  <c:v>517.96074180786911</c:v>
                </c:pt>
                <c:pt idx="130">
                  <c:v>481.87643002931929</c:v>
                </c:pt>
                <c:pt idx="131">
                  <c:v>467.11939961287516</c:v>
                </c:pt>
                <c:pt idx="132">
                  <c:v>586.75058482587178</c:v>
                </c:pt>
                <c:pt idx="133">
                  <c:v>440.03561714562204</c:v>
                </c:pt>
                <c:pt idx="134">
                  <c:v>486.48058599184463</c:v>
                </c:pt>
                <c:pt idx="135">
                  <c:v>468.98716512677385</c:v>
                </c:pt>
                <c:pt idx="136">
                  <c:v>516.89142105630651</c:v>
                </c:pt>
                <c:pt idx="137">
                  <c:v>512.01510553382752</c:v>
                </c:pt>
                <c:pt idx="138">
                  <c:v>475.7767481018783</c:v>
                </c:pt>
                <c:pt idx="139">
                  <c:v>474.44286438502587</c:v>
                </c:pt>
                <c:pt idx="140">
                  <c:v>521.07477177196961</c:v>
                </c:pt>
                <c:pt idx="141">
                  <c:v>503.76908000486173</c:v>
                </c:pt>
                <c:pt idx="142">
                  <c:v>461.81227160415597</c:v>
                </c:pt>
                <c:pt idx="143">
                  <c:v>517.6128283601663</c:v>
                </c:pt>
                <c:pt idx="144">
                  <c:v>517.03852204801331</c:v>
                </c:pt>
                <c:pt idx="145">
                  <c:v>486.61240223574964</c:v>
                </c:pt>
                <c:pt idx="146">
                  <c:v>505.27483708433806</c:v>
                </c:pt>
                <c:pt idx="147">
                  <c:v>596.63888842288986</c:v>
                </c:pt>
                <c:pt idx="148">
                  <c:v>445.43427331496622</c:v>
                </c:pt>
                <c:pt idx="149">
                  <c:v>459.12857021772402</c:v>
                </c:pt>
                <c:pt idx="150">
                  <c:v>529.02099267475705</c:v>
                </c:pt>
                <c:pt idx="151">
                  <c:v>477.7554441370217</c:v>
                </c:pt>
                <c:pt idx="152">
                  <c:v>507.87555309854565</c:v>
                </c:pt>
                <c:pt idx="153">
                  <c:v>481.57999591827064</c:v>
                </c:pt>
                <c:pt idx="154">
                  <c:v>493.29216161774889</c:v>
                </c:pt>
                <c:pt idx="155">
                  <c:v>503.45107048556702</c:v>
                </c:pt>
                <c:pt idx="156">
                  <c:v>504.1531463932206</c:v>
                </c:pt>
                <c:pt idx="157">
                  <c:v>537.24042861753219</c:v>
                </c:pt>
                <c:pt idx="158">
                  <c:v>508.525497271566</c:v>
                </c:pt>
                <c:pt idx="159">
                  <c:v>568.45818853733726</c:v>
                </c:pt>
                <c:pt idx="160">
                  <c:v>524.94432995629188</c:v>
                </c:pt>
                <c:pt idx="161">
                  <c:v>541.29452253462375</c:v>
                </c:pt>
                <c:pt idx="162">
                  <c:v>470.2458423045428</c:v>
                </c:pt>
                <c:pt idx="163">
                  <c:v>594.33293283064097</c:v>
                </c:pt>
                <c:pt idx="164">
                  <c:v>589.0982562635221</c:v>
                </c:pt>
                <c:pt idx="165">
                  <c:v>495.65135460221023</c:v>
                </c:pt>
                <c:pt idx="166">
                  <c:v>466.83547170824676</c:v>
                </c:pt>
                <c:pt idx="167">
                  <c:v>529.50117831650289</c:v>
                </c:pt>
                <c:pt idx="168">
                  <c:v>493.35908711777932</c:v>
                </c:pt>
                <c:pt idx="169">
                  <c:v>428.29714385801026</c:v>
                </c:pt>
                <c:pt idx="170">
                  <c:v>506.58217141766221</c:v>
                </c:pt>
                <c:pt idx="171">
                  <c:v>515.26917902808009</c:v>
                </c:pt>
                <c:pt idx="172">
                  <c:v>529.02064626630238</c:v>
                </c:pt>
                <c:pt idx="173">
                  <c:v>508.92125315888285</c:v>
                </c:pt>
                <c:pt idx="174">
                  <c:v>455.76106659432031</c:v>
                </c:pt>
                <c:pt idx="175">
                  <c:v>542.44023879139752</c:v>
                </c:pt>
                <c:pt idx="176">
                  <c:v>514.84140109620876</c:v>
                </c:pt>
                <c:pt idx="177">
                  <c:v>540.41486864479441</c:v>
                </c:pt>
                <c:pt idx="178">
                  <c:v>544.52607290139906</c:v>
                </c:pt>
                <c:pt idx="179">
                  <c:v>534.89274328478166</c:v>
                </c:pt>
                <c:pt idx="180">
                  <c:v>502.42424218403102</c:v>
                </c:pt>
                <c:pt idx="181">
                  <c:v>522.17277404637287</c:v>
                </c:pt>
                <c:pt idx="182">
                  <c:v>495.70762694360241</c:v>
                </c:pt>
                <c:pt idx="183">
                  <c:v>513.42150864487155</c:v>
                </c:pt>
                <c:pt idx="184">
                  <c:v>481.0659681723414</c:v>
                </c:pt>
                <c:pt idx="185">
                  <c:v>493.69853048755829</c:v>
                </c:pt>
                <c:pt idx="186">
                  <c:v>551.70170512888751</c:v>
                </c:pt>
                <c:pt idx="187">
                  <c:v>642.46979498252335</c:v>
                </c:pt>
                <c:pt idx="188">
                  <c:v>488.94285680706446</c:v>
                </c:pt>
                <c:pt idx="189">
                  <c:v>488.15505365522966</c:v>
                </c:pt>
                <c:pt idx="190">
                  <c:v>484.88048090026871</c:v>
                </c:pt>
                <c:pt idx="191">
                  <c:v>508.24513103035889</c:v>
                </c:pt>
                <c:pt idx="192">
                  <c:v>578.37184206492589</c:v>
                </c:pt>
                <c:pt idx="193">
                  <c:v>528.09014981119128</c:v>
                </c:pt>
                <c:pt idx="194">
                  <c:v>511.49632614116314</c:v>
                </c:pt>
                <c:pt idx="195">
                  <c:v>512.81911250910093</c:v>
                </c:pt>
                <c:pt idx="196">
                  <c:v>527.54425814188858</c:v>
                </c:pt>
                <c:pt idx="197">
                  <c:v>490.83545150094636</c:v>
                </c:pt>
                <c:pt idx="198">
                  <c:v>543.02401477574347</c:v>
                </c:pt>
                <c:pt idx="199">
                  <c:v>485.52055677566108</c:v>
                </c:pt>
                <c:pt idx="200">
                  <c:v>454.7126815585375</c:v>
                </c:pt>
                <c:pt idx="201">
                  <c:v>526.3228559139061</c:v>
                </c:pt>
                <c:pt idx="202">
                  <c:v>479.95334562356027</c:v>
                </c:pt>
                <c:pt idx="203">
                  <c:v>477.62156996711934</c:v>
                </c:pt>
                <c:pt idx="204">
                  <c:v>528.03423697107769</c:v>
                </c:pt>
                <c:pt idx="205">
                  <c:v>535.65823692135416</c:v>
                </c:pt>
                <c:pt idx="206">
                  <c:v>537.91076695887932</c:v>
                </c:pt>
                <c:pt idx="207">
                  <c:v>505.1308278996438</c:v>
                </c:pt>
                <c:pt idx="208">
                  <c:v>503.51186509230195</c:v>
                </c:pt>
                <c:pt idx="209">
                  <c:v>530.11776684606457</c:v>
                </c:pt>
                <c:pt idx="210">
                  <c:v>446.07392057744482</c:v>
                </c:pt>
                <c:pt idx="211">
                  <c:v>482.92527545861935</c:v>
                </c:pt>
                <c:pt idx="212">
                  <c:v>593.58383165717976</c:v>
                </c:pt>
                <c:pt idx="213">
                  <c:v>524.38992274248369</c:v>
                </c:pt>
                <c:pt idx="214">
                  <c:v>541.78192371752175</c:v>
                </c:pt>
                <c:pt idx="215">
                  <c:v>517.78984538797374</c:v>
                </c:pt>
                <c:pt idx="216">
                  <c:v>491.66481735977237</c:v>
                </c:pt>
                <c:pt idx="217">
                  <c:v>492.44443338731094</c:v>
                </c:pt>
                <c:pt idx="218">
                  <c:v>553.15292710417737</c:v>
                </c:pt>
                <c:pt idx="219">
                  <c:v>510.76498176396615</c:v>
                </c:pt>
                <c:pt idx="220">
                  <c:v>509.28359235406475</c:v>
                </c:pt>
                <c:pt idx="221">
                  <c:v>459.72858982687035</c:v>
                </c:pt>
                <c:pt idx="222">
                  <c:v>532.5818505010933</c:v>
                </c:pt>
                <c:pt idx="223">
                  <c:v>535.22460851874257</c:v>
                </c:pt>
                <c:pt idx="224">
                  <c:v>527.05905353336709</c:v>
                </c:pt>
                <c:pt idx="225">
                  <c:v>495.0508281244206</c:v>
                </c:pt>
                <c:pt idx="226">
                  <c:v>521.58941682368072</c:v>
                </c:pt>
                <c:pt idx="227">
                  <c:v>532.06414182961316</c:v>
                </c:pt>
                <c:pt idx="228">
                  <c:v>497.05939845719871</c:v>
                </c:pt>
                <c:pt idx="229">
                  <c:v>489.156257572887</c:v>
                </c:pt>
                <c:pt idx="230">
                  <c:v>463.9055322622682</c:v>
                </c:pt>
                <c:pt idx="231">
                  <c:v>504.05969822680328</c:v>
                </c:pt>
                <c:pt idx="232">
                  <c:v>471.5698750293937</c:v>
                </c:pt>
                <c:pt idx="233">
                  <c:v>532.61384586684608</c:v>
                </c:pt>
                <c:pt idx="234">
                  <c:v>486.39532586372906</c:v>
                </c:pt>
                <c:pt idx="235">
                  <c:v>541.51179229442198</c:v>
                </c:pt>
                <c:pt idx="236">
                  <c:v>506.65650259933153</c:v>
                </c:pt>
                <c:pt idx="237">
                  <c:v>545.04831093221287</c:v>
                </c:pt>
                <c:pt idx="238">
                  <c:v>499.15831948965439</c:v>
                </c:pt>
                <c:pt idx="239">
                  <c:v>469.66242387532174</c:v>
                </c:pt>
                <c:pt idx="240">
                  <c:v>507.71259977887019</c:v>
                </c:pt>
                <c:pt idx="241">
                  <c:v>577.80211559960185</c:v>
                </c:pt>
                <c:pt idx="242">
                  <c:v>678.12813002678774</c:v>
                </c:pt>
                <c:pt idx="243">
                  <c:v>505.2751961924078</c:v>
                </c:pt>
                <c:pt idx="244">
                  <c:v>537.67238751226171</c:v>
                </c:pt>
                <c:pt idx="245">
                  <c:v>527.5245663243652</c:v>
                </c:pt>
                <c:pt idx="246">
                  <c:v>524.11247368654847</c:v>
                </c:pt>
                <c:pt idx="247">
                  <c:v>556.47413449288615</c:v>
                </c:pt>
                <c:pt idx="248">
                  <c:v>482.63093338688708</c:v>
                </c:pt>
                <c:pt idx="249">
                  <c:v>523.83684547931693</c:v>
                </c:pt>
                <c:pt idx="250">
                  <c:v>582.56625814123811</c:v>
                </c:pt>
                <c:pt idx="251">
                  <c:v>550.52719705506945</c:v>
                </c:pt>
                <c:pt idx="252">
                  <c:v>470.26104586904523</c:v>
                </c:pt>
                <c:pt idx="253">
                  <c:v>549.637153818809</c:v>
                </c:pt>
                <c:pt idx="254">
                  <c:v>477.19791701196908</c:v>
                </c:pt>
                <c:pt idx="255">
                  <c:v>497.65529321248169</c:v>
                </c:pt>
                <c:pt idx="256">
                  <c:v>500.43561958581915</c:v>
                </c:pt>
                <c:pt idx="257">
                  <c:v>547.4064823941402</c:v>
                </c:pt>
                <c:pt idx="258">
                  <c:v>551.49313142317681</c:v>
                </c:pt>
                <c:pt idx="259">
                  <c:v>541.21714546387182</c:v>
                </c:pt>
                <c:pt idx="260">
                  <c:v>502.14894305779308</c:v>
                </c:pt>
                <c:pt idx="261">
                  <c:v>538.82328350973773</c:v>
                </c:pt>
                <c:pt idx="262">
                  <c:v>449.71922389255155</c:v>
                </c:pt>
                <c:pt idx="263">
                  <c:v>529.71187667473498</c:v>
                </c:pt>
                <c:pt idx="264">
                  <c:v>471.17358376410795</c:v>
                </c:pt>
                <c:pt idx="265">
                  <c:v>521.76014273600265</c:v>
                </c:pt>
                <c:pt idx="266">
                  <c:v>536.46882233842246</c:v>
                </c:pt>
                <c:pt idx="267">
                  <c:v>525.01484453833734</c:v>
                </c:pt>
                <c:pt idx="268">
                  <c:v>555.39330399535527</c:v>
                </c:pt>
                <c:pt idx="269">
                  <c:v>463.01056214729363</c:v>
                </c:pt>
                <c:pt idx="270">
                  <c:v>458.29236017768886</c:v>
                </c:pt>
                <c:pt idx="271">
                  <c:v>574.01811238949404</c:v>
                </c:pt>
                <c:pt idx="272">
                  <c:v>509.94477844852071</c:v>
                </c:pt>
                <c:pt idx="273">
                  <c:v>498.6156875556029</c:v>
                </c:pt>
                <c:pt idx="274">
                  <c:v>443.22000013569362</c:v>
                </c:pt>
                <c:pt idx="275">
                  <c:v>514.13415988985946</c:v>
                </c:pt>
                <c:pt idx="276">
                  <c:v>464.21215912138774</c:v>
                </c:pt>
                <c:pt idx="277">
                  <c:v>487.96068477379765</c:v>
                </c:pt>
                <c:pt idx="278">
                  <c:v>498.01463087586484</c:v>
                </c:pt>
                <c:pt idx="279">
                  <c:v>486.87397373407356</c:v>
                </c:pt>
                <c:pt idx="280">
                  <c:v>492.47909981519138</c:v>
                </c:pt>
                <c:pt idx="281">
                  <c:v>483.71454271685491</c:v>
                </c:pt>
                <c:pt idx="282">
                  <c:v>497.66863906317491</c:v>
                </c:pt>
                <c:pt idx="283">
                  <c:v>526.94404043754128</c:v>
                </c:pt>
                <c:pt idx="284">
                  <c:v>465.23554591996748</c:v>
                </c:pt>
                <c:pt idx="285">
                  <c:v>546.72314892849909</c:v>
                </c:pt>
                <c:pt idx="286">
                  <c:v>456.88660019523945</c:v>
                </c:pt>
                <c:pt idx="287">
                  <c:v>491.41587995940699</c:v>
                </c:pt>
                <c:pt idx="288">
                  <c:v>454.65017440888715</c:v>
                </c:pt>
                <c:pt idx="289">
                  <c:v>534.91836457721354</c:v>
                </c:pt>
                <c:pt idx="290">
                  <c:v>553.0495644141572</c:v>
                </c:pt>
                <c:pt idx="291">
                  <c:v>493.87406682196792</c:v>
                </c:pt>
                <c:pt idx="292">
                  <c:v>520.18714888281852</c:v>
                </c:pt>
                <c:pt idx="293">
                  <c:v>505.23478473167518</c:v>
                </c:pt>
                <c:pt idx="294">
                  <c:v>484.50678068375544</c:v>
                </c:pt>
                <c:pt idx="295">
                  <c:v>516.58084412849746</c:v>
                </c:pt>
                <c:pt idx="296">
                  <c:v>491.40570848635792</c:v>
                </c:pt>
                <c:pt idx="297">
                  <c:v>480.54663589219513</c:v>
                </c:pt>
                <c:pt idx="298">
                  <c:v>488.04458516884085</c:v>
                </c:pt>
                <c:pt idx="299">
                  <c:v>517.68109679778274</c:v>
                </c:pt>
                <c:pt idx="300">
                  <c:v>495.20929692664293</c:v>
                </c:pt>
                <c:pt idx="301">
                  <c:v>496.62729257044651</c:v>
                </c:pt>
                <c:pt idx="302">
                  <c:v>507.309488131504</c:v>
                </c:pt>
                <c:pt idx="303">
                  <c:v>506.10490691214324</c:v>
                </c:pt>
                <c:pt idx="304">
                  <c:v>469.87301024874387</c:v>
                </c:pt>
                <c:pt idx="305">
                  <c:v>547.56966638998438</c:v>
                </c:pt>
                <c:pt idx="306">
                  <c:v>513.09115279760738</c:v>
                </c:pt>
                <c:pt idx="307">
                  <c:v>474.54097543756291</c:v>
                </c:pt>
                <c:pt idx="308">
                  <c:v>494.74328539613293</c:v>
                </c:pt>
                <c:pt idx="309">
                  <c:v>521.67253732811992</c:v>
                </c:pt>
                <c:pt idx="310">
                  <c:v>497.53970564213176</c:v>
                </c:pt>
                <c:pt idx="311">
                  <c:v>438.62611928305523</c:v>
                </c:pt>
                <c:pt idx="312">
                  <c:v>485.74088990332541</c:v>
                </c:pt>
                <c:pt idx="313">
                  <c:v>546.00126132808839</c:v>
                </c:pt>
                <c:pt idx="314">
                  <c:v>477.90797510881822</c:v>
                </c:pt>
                <c:pt idx="315">
                  <c:v>547.80991366891328</c:v>
                </c:pt>
                <c:pt idx="316">
                  <c:v>476.40170148855077</c:v>
                </c:pt>
                <c:pt idx="317">
                  <c:v>579.94154569911404</c:v>
                </c:pt>
                <c:pt idx="318">
                  <c:v>555.88963698369685</c:v>
                </c:pt>
                <c:pt idx="319">
                  <c:v>474.32821806263843</c:v>
                </c:pt>
                <c:pt idx="320">
                  <c:v>525.38617577101024</c:v>
                </c:pt>
                <c:pt idx="321">
                  <c:v>480.88516796272785</c:v>
                </c:pt>
                <c:pt idx="322">
                  <c:v>502.10110212317102</c:v>
                </c:pt>
                <c:pt idx="323">
                  <c:v>544.84894447541149</c:v>
                </c:pt>
                <c:pt idx="324">
                  <c:v>492.34301593468405</c:v>
                </c:pt>
                <c:pt idx="325">
                  <c:v>488.3578362036443</c:v>
                </c:pt>
                <c:pt idx="326">
                  <c:v>464.98330585653179</c:v>
                </c:pt>
                <c:pt idx="327">
                  <c:v>521.15219537548182</c:v>
                </c:pt>
                <c:pt idx="328">
                  <c:v>496.11836999279541</c:v>
                </c:pt>
                <c:pt idx="329">
                  <c:v>549.65216103031958</c:v>
                </c:pt>
                <c:pt idx="330">
                  <c:v>627.36453645918505</c:v>
                </c:pt>
                <c:pt idx="331">
                  <c:v>594.46032917706452</c:v>
                </c:pt>
                <c:pt idx="332">
                  <c:v>508.91095719771641</c:v>
                </c:pt>
                <c:pt idx="333">
                  <c:v>510.38393226996158</c:v>
                </c:pt>
                <c:pt idx="334">
                  <c:v>526.5539209959519</c:v>
                </c:pt>
                <c:pt idx="335">
                  <c:v>457.66251675234093</c:v>
                </c:pt>
                <c:pt idx="336">
                  <c:v>564.92426335746575</c:v>
                </c:pt>
                <c:pt idx="337">
                  <c:v>510.56595244065278</c:v>
                </c:pt>
                <c:pt idx="338">
                  <c:v>533.36031455561385</c:v>
                </c:pt>
                <c:pt idx="339">
                  <c:v>458.79488987835765</c:v>
                </c:pt>
                <c:pt idx="340">
                  <c:v>488.63174882750491</c:v>
                </c:pt>
                <c:pt idx="341">
                  <c:v>515.70646874099452</c:v>
                </c:pt>
                <c:pt idx="342">
                  <c:v>555.8035139024297</c:v>
                </c:pt>
                <c:pt idx="343">
                  <c:v>445.99617844740226</c:v>
                </c:pt>
                <c:pt idx="344">
                  <c:v>545.5145171472326</c:v>
                </c:pt>
                <c:pt idx="345">
                  <c:v>635.01670263393214</c:v>
                </c:pt>
                <c:pt idx="346">
                  <c:v>447.78589607745022</c:v>
                </c:pt>
                <c:pt idx="347">
                  <c:v>579.31587205261849</c:v>
                </c:pt>
                <c:pt idx="348">
                  <c:v>459.06832593712249</c:v>
                </c:pt>
                <c:pt idx="349">
                  <c:v>529.64287657537614</c:v>
                </c:pt>
                <c:pt idx="350">
                  <c:v>529.57886679442311</c:v>
                </c:pt>
                <c:pt idx="351">
                  <c:v>491.66503140561491</c:v>
                </c:pt>
                <c:pt idx="352">
                  <c:v>503.6057373966915</c:v>
                </c:pt>
                <c:pt idx="353">
                  <c:v>479.0574642983027</c:v>
                </c:pt>
                <c:pt idx="354">
                  <c:v>503.73254957554371</c:v>
                </c:pt>
                <c:pt idx="355">
                  <c:v>502.48538807886956</c:v>
                </c:pt>
                <c:pt idx="356">
                  <c:v>592.00369989572118</c:v>
                </c:pt>
                <c:pt idx="357">
                  <c:v>558.01583154826938</c:v>
                </c:pt>
                <c:pt idx="358">
                  <c:v>502.15718376584346</c:v>
                </c:pt>
                <c:pt idx="359">
                  <c:v>560.94230255888624</c:v>
                </c:pt>
                <c:pt idx="360">
                  <c:v>520.09833699481828</c:v>
                </c:pt>
                <c:pt idx="361">
                  <c:v>466.37415624108604</c:v>
                </c:pt>
                <c:pt idx="362">
                  <c:v>546.81213092953612</c:v>
                </c:pt>
                <c:pt idx="363">
                  <c:v>631.80499173754833</c:v>
                </c:pt>
                <c:pt idx="364">
                  <c:v>536.91606568977545</c:v>
                </c:pt>
                <c:pt idx="365">
                  <c:v>441.65049573188998</c:v>
                </c:pt>
                <c:pt idx="366">
                  <c:v>501.40857621334123</c:v>
                </c:pt>
                <c:pt idx="367">
                  <c:v>590.03930256092428</c:v>
                </c:pt>
                <c:pt idx="368">
                  <c:v>554.93473004663554</c:v>
                </c:pt>
                <c:pt idx="369">
                  <c:v>527.13873364682672</c:v>
                </c:pt>
                <c:pt idx="370">
                  <c:v>479.87142157126812</c:v>
                </c:pt>
                <c:pt idx="371">
                  <c:v>473.73025669869486</c:v>
                </c:pt>
                <c:pt idx="372">
                  <c:v>563.55675507560807</c:v>
                </c:pt>
                <c:pt idx="373">
                  <c:v>559.38387015995761</c:v>
                </c:pt>
                <c:pt idx="374">
                  <c:v>465.7619165637247</c:v>
                </c:pt>
                <c:pt idx="375">
                  <c:v>507.87812146574782</c:v>
                </c:pt>
                <c:pt idx="376">
                  <c:v>529.39856315369104</c:v>
                </c:pt>
                <c:pt idx="377">
                  <c:v>505.95345626198218</c:v>
                </c:pt>
                <c:pt idx="378">
                  <c:v>504.39694442697788</c:v>
                </c:pt>
                <c:pt idx="379">
                  <c:v>506.8797855381016</c:v>
                </c:pt>
                <c:pt idx="380">
                  <c:v>498.89525854050703</c:v>
                </c:pt>
                <c:pt idx="381">
                  <c:v>551.58805623033538</c:v>
                </c:pt>
                <c:pt idx="382">
                  <c:v>475.15876185838255</c:v>
                </c:pt>
                <c:pt idx="383">
                  <c:v>494.48249454653006</c:v>
                </c:pt>
                <c:pt idx="384">
                  <c:v>514.12645687632926</c:v>
                </c:pt>
                <c:pt idx="385">
                  <c:v>491.48364149773784</c:v>
                </c:pt>
                <c:pt idx="386">
                  <c:v>478.84643641797436</c:v>
                </c:pt>
                <c:pt idx="387">
                  <c:v>467.49095958878706</c:v>
                </c:pt>
                <c:pt idx="388">
                  <c:v>482.7660194749418</c:v>
                </c:pt>
                <c:pt idx="389">
                  <c:v>530.98016560769065</c:v>
                </c:pt>
                <c:pt idx="390">
                  <c:v>442.01226495923027</c:v>
                </c:pt>
                <c:pt idx="391">
                  <c:v>480.35080570424094</c:v>
                </c:pt>
                <c:pt idx="392">
                  <c:v>632.03722795094097</c:v>
                </c:pt>
                <c:pt idx="393">
                  <c:v>531.80727904357911</c:v>
                </c:pt>
                <c:pt idx="394">
                  <c:v>455.1044877839862</c:v>
                </c:pt>
                <c:pt idx="395">
                  <c:v>458.31102788489</c:v>
                </c:pt>
                <c:pt idx="396">
                  <c:v>487.25508882542795</c:v>
                </c:pt>
                <c:pt idx="397">
                  <c:v>458.59303162348539</c:v>
                </c:pt>
                <c:pt idx="398">
                  <c:v>527.36718100319047</c:v>
                </c:pt>
                <c:pt idx="399">
                  <c:v>476.86222091096022</c:v>
                </c:pt>
                <c:pt idx="400">
                  <c:v>531.20187571080953</c:v>
                </c:pt>
                <c:pt idx="401">
                  <c:v>578.96515566450489</c:v>
                </c:pt>
                <c:pt idx="402">
                  <c:v>522.59395427205084</c:v>
                </c:pt>
                <c:pt idx="403">
                  <c:v>510.72814119261517</c:v>
                </c:pt>
                <c:pt idx="404">
                  <c:v>547.28065770685146</c:v>
                </c:pt>
                <c:pt idx="405">
                  <c:v>550.60354195322634</c:v>
                </c:pt>
                <c:pt idx="406">
                  <c:v>479.63519321540787</c:v>
                </c:pt>
                <c:pt idx="407">
                  <c:v>540.01503348600079</c:v>
                </c:pt>
                <c:pt idx="408">
                  <c:v>533.42237638472091</c:v>
                </c:pt>
                <c:pt idx="409">
                  <c:v>522.94723316084094</c:v>
                </c:pt>
                <c:pt idx="410">
                  <c:v>560.44710871909183</c:v>
                </c:pt>
                <c:pt idx="411">
                  <c:v>451.91903443720048</c:v>
                </c:pt>
                <c:pt idx="412">
                  <c:v>495.15909624618104</c:v>
                </c:pt>
                <c:pt idx="413">
                  <c:v>459.18930933567304</c:v>
                </c:pt>
                <c:pt idx="414">
                  <c:v>542.15759922596555</c:v>
                </c:pt>
                <c:pt idx="415">
                  <c:v>495.86426619515834</c:v>
                </c:pt>
                <c:pt idx="416">
                  <c:v>533.88664487136236</c:v>
                </c:pt>
                <c:pt idx="417">
                  <c:v>490.31714985200273</c:v>
                </c:pt>
                <c:pt idx="418">
                  <c:v>492.76858710049419</c:v>
                </c:pt>
                <c:pt idx="419">
                  <c:v>593.9128804398822</c:v>
                </c:pt>
                <c:pt idx="420">
                  <c:v>497.73395340708436</c:v>
                </c:pt>
                <c:pt idx="421">
                  <c:v>570.8593815671245</c:v>
                </c:pt>
                <c:pt idx="422">
                  <c:v>587.49248335459879</c:v>
                </c:pt>
                <c:pt idx="423">
                  <c:v>540.82230197192666</c:v>
                </c:pt>
                <c:pt idx="424">
                  <c:v>535.94748835841517</c:v>
                </c:pt>
                <c:pt idx="425">
                  <c:v>503.64065550187127</c:v>
                </c:pt>
                <c:pt idx="426">
                  <c:v>461.81212881823205</c:v>
                </c:pt>
                <c:pt idx="427">
                  <c:v>466.38767790866854</c:v>
                </c:pt>
                <c:pt idx="428">
                  <c:v>580.58275112297463</c:v>
                </c:pt>
                <c:pt idx="429">
                  <c:v>500.13790090048201</c:v>
                </c:pt>
                <c:pt idx="430">
                  <c:v>501.95770452031792</c:v>
                </c:pt>
                <c:pt idx="431">
                  <c:v>535.44977657421259</c:v>
                </c:pt>
                <c:pt idx="432">
                  <c:v>598.70561909179582</c:v>
                </c:pt>
                <c:pt idx="433">
                  <c:v>485.53319526623841</c:v>
                </c:pt>
                <c:pt idx="434">
                  <c:v>559.1295760303459</c:v>
                </c:pt>
                <c:pt idx="435">
                  <c:v>485.13306943685973</c:v>
                </c:pt>
                <c:pt idx="436">
                  <c:v>509.47678544404533</c:v>
                </c:pt>
                <c:pt idx="437">
                  <c:v>542.60642818329757</c:v>
                </c:pt>
                <c:pt idx="438">
                  <c:v>511.93805668187167</c:v>
                </c:pt>
                <c:pt idx="439">
                  <c:v>482.865390056997</c:v>
                </c:pt>
                <c:pt idx="440">
                  <c:v>517.79879134112912</c:v>
                </c:pt>
                <c:pt idx="441">
                  <c:v>622.52539118414131</c:v>
                </c:pt>
                <c:pt idx="442">
                  <c:v>523.69298254246041</c:v>
                </c:pt>
                <c:pt idx="443">
                  <c:v>562.27720475888691</c:v>
                </c:pt>
                <c:pt idx="444">
                  <c:v>580.75651691990311</c:v>
                </c:pt>
                <c:pt idx="445">
                  <c:v>503.15302396888865</c:v>
                </c:pt>
                <c:pt idx="446">
                  <c:v>538.0151791753832</c:v>
                </c:pt>
                <c:pt idx="447">
                  <c:v>539.56708251226371</c:v>
                </c:pt>
                <c:pt idx="448">
                  <c:v>553.12830700876793</c:v>
                </c:pt>
                <c:pt idx="449">
                  <c:v>526.12707626737892</c:v>
                </c:pt>
                <c:pt idx="450">
                  <c:v>545.53963826539109</c:v>
                </c:pt>
                <c:pt idx="451">
                  <c:v>491.69971310757177</c:v>
                </c:pt>
                <c:pt idx="452">
                  <c:v>536.14958519319964</c:v>
                </c:pt>
                <c:pt idx="453">
                  <c:v>486.79853291728989</c:v>
                </c:pt>
                <c:pt idx="454">
                  <c:v>517.81905401266226</c:v>
                </c:pt>
                <c:pt idx="455">
                  <c:v>544.02757617093505</c:v>
                </c:pt>
                <c:pt idx="456">
                  <c:v>475.76836429708294</c:v>
                </c:pt>
                <c:pt idx="457">
                  <c:v>485.28588463193125</c:v>
                </c:pt>
                <c:pt idx="458">
                  <c:v>507.60740488538676</c:v>
                </c:pt>
                <c:pt idx="459">
                  <c:v>501.66864476667092</c:v>
                </c:pt>
                <c:pt idx="460">
                  <c:v>459.21294733120658</c:v>
                </c:pt>
                <c:pt idx="461">
                  <c:v>486.8942318586154</c:v>
                </c:pt>
                <c:pt idx="462">
                  <c:v>506.91320044697471</c:v>
                </c:pt>
                <c:pt idx="463">
                  <c:v>593.39803962791791</c:v>
                </c:pt>
                <c:pt idx="464">
                  <c:v>525.53014683060576</c:v>
                </c:pt>
                <c:pt idx="465">
                  <c:v>491.7901426393982</c:v>
                </c:pt>
                <c:pt idx="466">
                  <c:v>508.09968656942215</c:v>
                </c:pt>
                <c:pt idx="467">
                  <c:v>554.52049436733409</c:v>
                </c:pt>
                <c:pt idx="468">
                  <c:v>486.33641502286594</c:v>
                </c:pt>
                <c:pt idx="469">
                  <c:v>467.15231604688802</c:v>
                </c:pt>
                <c:pt idx="470">
                  <c:v>533.85786167212348</c:v>
                </c:pt>
                <c:pt idx="471">
                  <c:v>519.31702121304579</c:v>
                </c:pt>
                <c:pt idx="472">
                  <c:v>522.60343965364325</c:v>
                </c:pt>
                <c:pt idx="473">
                  <c:v>506.77084297769375</c:v>
                </c:pt>
                <c:pt idx="474">
                  <c:v>448.46387172380497</c:v>
                </c:pt>
                <c:pt idx="475">
                  <c:v>570.56131483538059</c:v>
                </c:pt>
                <c:pt idx="476">
                  <c:v>470.72416263082988</c:v>
                </c:pt>
                <c:pt idx="477">
                  <c:v>539.64583073540155</c:v>
                </c:pt>
                <c:pt idx="478">
                  <c:v>473.95960284116717</c:v>
                </c:pt>
                <c:pt idx="479">
                  <c:v>539.81884075637902</c:v>
                </c:pt>
                <c:pt idx="480">
                  <c:v>449.16961190032026</c:v>
                </c:pt>
                <c:pt idx="481">
                  <c:v>486.50836647103057</c:v>
                </c:pt>
                <c:pt idx="482">
                  <c:v>541.23319645461515</c:v>
                </c:pt>
                <c:pt idx="483">
                  <c:v>572.7257955256357</c:v>
                </c:pt>
                <c:pt idx="484">
                  <c:v>487.45701333982112</c:v>
                </c:pt>
                <c:pt idx="485">
                  <c:v>501.56055756670372</c:v>
                </c:pt>
                <c:pt idx="486">
                  <c:v>594.8427081836461</c:v>
                </c:pt>
                <c:pt idx="487">
                  <c:v>502.26307776002807</c:v>
                </c:pt>
                <c:pt idx="488">
                  <c:v>480.59392901794797</c:v>
                </c:pt>
                <c:pt idx="489">
                  <c:v>453.68376595784798</c:v>
                </c:pt>
                <c:pt idx="490">
                  <c:v>478.68064418124624</c:v>
                </c:pt>
                <c:pt idx="491">
                  <c:v>518.69788017107351</c:v>
                </c:pt>
                <c:pt idx="492">
                  <c:v>485.17974252016705</c:v>
                </c:pt>
                <c:pt idx="493">
                  <c:v>458.22479883359836</c:v>
                </c:pt>
                <c:pt idx="494">
                  <c:v>501.97034750459562</c:v>
                </c:pt>
                <c:pt idx="495">
                  <c:v>512.34107179409455</c:v>
                </c:pt>
                <c:pt idx="496">
                  <c:v>538.3528537241458</c:v>
                </c:pt>
                <c:pt idx="497">
                  <c:v>468.18269077202979</c:v>
                </c:pt>
                <c:pt idx="498">
                  <c:v>582.0265514448439</c:v>
                </c:pt>
                <c:pt idx="499">
                  <c:v>474.16729713865288</c:v>
                </c:pt>
                <c:pt idx="500">
                  <c:v>475.58563206651758</c:v>
                </c:pt>
                <c:pt idx="501">
                  <c:v>516.98179667349439</c:v>
                </c:pt>
                <c:pt idx="502">
                  <c:v>540.17503264996878</c:v>
                </c:pt>
                <c:pt idx="503">
                  <c:v>505.54150772749034</c:v>
                </c:pt>
                <c:pt idx="504">
                  <c:v>458.37447987226324</c:v>
                </c:pt>
                <c:pt idx="505">
                  <c:v>520.15094828386191</c:v>
                </c:pt>
                <c:pt idx="506">
                  <c:v>464.41801709412567</c:v>
                </c:pt>
                <c:pt idx="507">
                  <c:v>578.30158506095665</c:v>
                </c:pt>
                <c:pt idx="508">
                  <c:v>487.17520164523506</c:v>
                </c:pt>
                <c:pt idx="509">
                  <c:v>576.95664179876599</c:v>
                </c:pt>
                <c:pt idx="510">
                  <c:v>565.55842628725145</c:v>
                </c:pt>
                <c:pt idx="511">
                  <c:v>469.20642180823324</c:v>
                </c:pt>
                <c:pt idx="512">
                  <c:v>518.24038867558477</c:v>
                </c:pt>
                <c:pt idx="513">
                  <c:v>516.82302792786106</c:v>
                </c:pt>
                <c:pt idx="514">
                  <c:v>529.43431063151343</c:v>
                </c:pt>
                <c:pt idx="515">
                  <c:v>526.48326507069498</c:v>
                </c:pt>
                <c:pt idx="516">
                  <c:v>494.77622480934377</c:v>
                </c:pt>
                <c:pt idx="517">
                  <c:v>535.92194892064663</c:v>
                </c:pt>
                <c:pt idx="518">
                  <c:v>549.80907958450575</c:v>
                </c:pt>
                <c:pt idx="519">
                  <c:v>521.00795219890472</c:v>
                </c:pt>
                <c:pt idx="520">
                  <c:v>519.97023937120923</c:v>
                </c:pt>
                <c:pt idx="521">
                  <c:v>534.517140731513</c:v>
                </c:pt>
                <c:pt idx="522">
                  <c:v>492.5594031672635</c:v>
                </c:pt>
                <c:pt idx="523">
                  <c:v>499.6017593402961</c:v>
                </c:pt>
                <c:pt idx="524">
                  <c:v>531.20199885169802</c:v>
                </c:pt>
                <c:pt idx="525">
                  <c:v>506.81680786301359</c:v>
                </c:pt>
                <c:pt idx="526">
                  <c:v>471.70192902057772</c:v>
                </c:pt>
                <c:pt idx="527">
                  <c:v>619.20967059226518</c:v>
                </c:pt>
                <c:pt idx="528">
                  <c:v>467.11653363638237</c:v>
                </c:pt>
                <c:pt idx="529">
                  <c:v>501.32576731205342</c:v>
                </c:pt>
                <c:pt idx="530">
                  <c:v>478.74166363065353</c:v>
                </c:pt>
                <c:pt idx="531">
                  <c:v>542.97961654039204</c:v>
                </c:pt>
                <c:pt idx="532">
                  <c:v>540.16089702564614</c:v>
                </c:pt>
                <c:pt idx="533">
                  <c:v>527.12515225538152</c:v>
                </c:pt>
                <c:pt idx="534">
                  <c:v>477.88585731002985</c:v>
                </c:pt>
                <c:pt idx="535">
                  <c:v>438.03238082671538</c:v>
                </c:pt>
                <c:pt idx="536">
                  <c:v>547.3934109020646</c:v>
                </c:pt>
                <c:pt idx="537">
                  <c:v>491.97482148095395</c:v>
                </c:pt>
                <c:pt idx="538">
                  <c:v>589.78241816876186</c:v>
                </c:pt>
                <c:pt idx="539">
                  <c:v>474.07374702878047</c:v>
                </c:pt>
                <c:pt idx="540">
                  <c:v>446.393194400455</c:v>
                </c:pt>
                <c:pt idx="541">
                  <c:v>552.65953501420404</c:v>
                </c:pt>
                <c:pt idx="542">
                  <c:v>536.83528056373484</c:v>
                </c:pt>
                <c:pt idx="543">
                  <c:v>474.36601184112021</c:v>
                </c:pt>
                <c:pt idx="544">
                  <c:v>559.1867939029587</c:v>
                </c:pt>
                <c:pt idx="545">
                  <c:v>531.23743518141259</c:v>
                </c:pt>
                <c:pt idx="546">
                  <c:v>440.74495340146632</c:v>
                </c:pt>
                <c:pt idx="547">
                  <c:v>504.12589007021211</c:v>
                </c:pt>
                <c:pt idx="548">
                  <c:v>593.56130054272762</c:v>
                </c:pt>
                <c:pt idx="549">
                  <c:v>442.50308892892872</c:v>
                </c:pt>
                <c:pt idx="550">
                  <c:v>560.32673777669038</c:v>
                </c:pt>
                <c:pt idx="551">
                  <c:v>479.46209771633926</c:v>
                </c:pt>
                <c:pt idx="552">
                  <c:v>495.67673617830525</c:v>
                </c:pt>
                <c:pt idx="553">
                  <c:v>524.79928992655141</c:v>
                </c:pt>
                <c:pt idx="554">
                  <c:v>571.67924991877044</c:v>
                </c:pt>
                <c:pt idx="555">
                  <c:v>495.38930889888474</c:v>
                </c:pt>
                <c:pt idx="556">
                  <c:v>527.60657005584062</c:v>
                </c:pt>
                <c:pt idx="557">
                  <c:v>494.46060249864638</c:v>
                </c:pt>
                <c:pt idx="558">
                  <c:v>510.68071827210349</c:v>
                </c:pt>
                <c:pt idx="559">
                  <c:v>491.54474316489382</c:v>
                </c:pt>
                <c:pt idx="560">
                  <c:v>496.1115201151012</c:v>
                </c:pt>
                <c:pt idx="561">
                  <c:v>491.60214636754546</c:v>
                </c:pt>
                <c:pt idx="562">
                  <c:v>520.19599434539339</c:v>
                </c:pt>
                <c:pt idx="563">
                  <c:v>528.74086382472979</c:v>
                </c:pt>
                <c:pt idx="564">
                  <c:v>535.4195729003377</c:v>
                </c:pt>
                <c:pt idx="565">
                  <c:v>463.11520289659137</c:v>
                </c:pt>
                <c:pt idx="566">
                  <c:v>468.40973156999689</c:v>
                </c:pt>
                <c:pt idx="567">
                  <c:v>526.9262695902388</c:v>
                </c:pt>
                <c:pt idx="568">
                  <c:v>561.91768161105949</c:v>
                </c:pt>
                <c:pt idx="569">
                  <c:v>641.95630249388557</c:v>
                </c:pt>
                <c:pt idx="570">
                  <c:v>548.47013239486148</c:v>
                </c:pt>
                <c:pt idx="571">
                  <c:v>511.21761213987992</c:v>
                </c:pt>
                <c:pt idx="572">
                  <c:v>464.38377347342646</c:v>
                </c:pt>
                <c:pt idx="573">
                  <c:v>462.85979034170816</c:v>
                </c:pt>
                <c:pt idx="574">
                  <c:v>453.24450930637818</c:v>
                </c:pt>
                <c:pt idx="575">
                  <c:v>479.9052010851434</c:v>
                </c:pt>
                <c:pt idx="576">
                  <c:v>493.76034012722124</c:v>
                </c:pt>
                <c:pt idx="577">
                  <c:v>499.10352695191466</c:v>
                </c:pt>
                <c:pt idx="578">
                  <c:v>568.04255301805392</c:v>
                </c:pt>
                <c:pt idx="579">
                  <c:v>536.85953318258828</c:v>
                </c:pt>
                <c:pt idx="580">
                  <c:v>515.10084199120649</c:v>
                </c:pt>
                <c:pt idx="581">
                  <c:v>541.39659597878597</c:v>
                </c:pt>
                <c:pt idx="582">
                  <c:v>564.02055799513073</c:v>
                </c:pt>
                <c:pt idx="583">
                  <c:v>537.04096209621491</c:v>
                </c:pt>
                <c:pt idx="584">
                  <c:v>468.22296861427856</c:v>
                </c:pt>
                <c:pt idx="585">
                  <c:v>447.80035466920742</c:v>
                </c:pt>
                <c:pt idx="586">
                  <c:v>462.65126433850764</c:v>
                </c:pt>
                <c:pt idx="587">
                  <c:v>504.96368783827052</c:v>
                </c:pt>
                <c:pt idx="588">
                  <c:v>471.63111386411106</c:v>
                </c:pt>
                <c:pt idx="589">
                  <c:v>486.24895940025726</c:v>
                </c:pt>
                <c:pt idx="590">
                  <c:v>527.92928916467292</c:v>
                </c:pt>
                <c:pt idx="591">
                  <c:v>507.87466988814867</c:v>
                </c:pt>
                <c:pt idx="592">
                  <c:v>505.76424871814834</c:v>
                </c:pt>
                <c:pt idx="593">
                  <c:v>525.11541646026524</c:v>
                </c:pt>
                <c:pt idx="594">
                  <c:v>522.345943808573</c:v>
                </c:pt>
                <c:pt idx="595">
                  <c:v>552.54041399482321</c:v>
                </c:pt>
                <c:pt idx="596">
                  <c:v>664.14578732686527</c:v>
                </c:pt>
                <c:pt idx="597">
                  <c:v>474.05438636362902</c:v>
                </c:pt>
                <c:pt idx="598">
                  <c:v>593.30346190630928</c:v>
                </c:pt>
                <c:pt idx="599">
                  <c:v>485.05429790647747</c:v>
                </c:pt>
                <c:pt idx="600">
                  <c:v>470.99305343191872</c:v>
                </c:pt>
                <c:pt idx="601">
                  <c:v>481.77891782883574</c:v>
                </c:pt>
                <c:pt idx="602">
                  <c:v>473.38829681949682</c:v>
                </c:pt>
                <c:pt idx="603">
                  <c:v>466.17528750269742</c:v>
                </c:pt>
                <c:pt idx="604">
                  <c:v>475.26430320731265</c:v>
                </c:pt>
                <c:pt idx="605">
                  <c:v>504.34244178394238</c:v>
                </c:pt>
                <c:pt idx="606">
                  <c:v>485.798204750921</c:v>
                </c:pt>
                <c:pt idx="607">
                  <c:v>525.9510170953406</c:v>
                </c:pt>
                <c:pt idx="608">
                  <c:v>528.50290100058783</c:v>
                </c:pt>
                <c:pt idx="609">
                  <c:v>528.98598380417707</c:v>
                </c:pt>
                <c:pt idx="610">
                  <c:v>500.37431948634116</c:v>
                </c:pt>
                <c:pt idx="611">
                  <c:v>585.05176782435285</c:v>
                </c:pt>
                <c:pt idx="612">
                  <c:v>536.79682829395949</c:v>
                </c:pt>
                <c:pt idx="613">
                  <c:v>533.74533263729245</c:v>
                </c:pt>
                <c:pt idx="614">
                  <c:v>525.97616576286327</c:v>
                </c:pt>
                <c:pt idx="615">
                  <c:v>471.24516012968684</c:v>
                </c:pt>
                <c:pt idx="616">
                  <c:v>480.78430980652121</c:v>
                </c:pt>
                <c:pt idx="617">
                  <c:v>516.55810405736577</c:v>
                </c:pt>
                <c:pt idx="618">
                  <c:v>525.98346664523046</c:v>
                </c:pt>
                <c:pt idx="619">
                  <c:v>553.18711977308078</c:v>
                </c:pt>
                <c:pt idx="620">
                  <c:v>533.69323986683446</c:v>
                </c:pt>
                <c:pt idx="621">
                  <c:v>529.2992232118736</c:v>
                </c:pt>
                <c:pt idx="622">
                  <c:v>469.29346500946514</c:v>
                </c:pt>
                <c:pt idx="623">
                  <c:v>485.59304563601057</c:v>
                </c:pt>
                <c:pt idx="624">
                  <c:v>447.33333120786028</c:v>
                </c:pt>
                <c:pt idx="625">
                  <c:v>514.2509747235647</c:v>
                </c:pt>
                <c:pt idx="626">
                  <c:v>456.89557592274855</c:v>
                </c:pt>
                <c:pt idx="627">
                  <c:v>480.12204659775097</c:v>
                </c:pt>
                <c:pt idx="628">
                  <c:v>538.30117401407483</c:v>
                </c:pt>
                <c:pt idx="629">
                  <c:v>495.6916574861603</c:v>
                </c:pt>
                <c:pt idx="630">
                  <c:v>527.45360458517291</c:v>
                </c:pt>
                <c:pt idx="631">
                  <c:v>524.89269802503475</c:v>
                </c:pt>
                <c:pt idx="632">
                  <c:v>447.73691182614021</c:v>
                </c:pt>
                <c:pt idx="633">
                  <c:v>514.54830841153932</c:v>
                </c:pt>
                <c:pt idx="634">
                  <c:v>544.26351391509525</c:v>
                </c:pt>
                <c:pt idx="635">
                  <c:v>548.44117952061538</c:v>
                </c:pt>
                <c:pt idx="636">
                  <c:v>514.95660718425142</c:v>
                </c:pt>
                <c:pt idx="637">
                  <c:v>481.60627430865736</c:v>
                </c:pt>
                <c:pt idx="638">
                  <c:v>550.63099272377644</c:v>
                </c:pt>
                <c:pt idx="639">
                  <c:v>448.15014450340482</c:v>
                </c:pt>
                <c:pt idx="640">
                  <c:v>514.97331952116826</c:v>
                </c:pt>
                <c:pt idx="641">
                  <c:v>632.10511565645493</c:v>
                </c:pt>
                <c:pt idx="642">
                  <c:v>530.24125461582935</c:v>
                </c:pt>
                <c:pt idx="643">
                  <c:v>492.01495697724482</c:v>
                </c:pt>
                <c:pt idx="644">
                  <c:v>589.59353464641015</c:v>
                </c:pt>
                <c:pt idx="645">
                  <c:v>464.09680273070893</c:v>
                </c:pt>
                <c:pt idx="646">
                  <c:v>465.61335042675097</c:v>
                </c:pt>
                <c:pt idx="647">
                  <c:v>484.92924052660265</c:v>
                </c:pt>
                <c:pt idx="648">
                  <c:v>510.7067058178971</c:v>
                </c:pt>
                <c:pt idx="649">
                  <c:v>579.15626386622159</c:v>
                </c:pt>
                <c:pt idx="650">
                  <c:v>500.83677137617525</c:v>
                </c:pt>
                <c:pt idx="651">
                  <c:v>513.19817631037154</c:v>
                </c:pt>
                <c:pt idx="652">
                  <c:v>507.43325226506767</c:v>
                </c:pt>
                <c:pt idx="653">
                  <c:v>449.50830103964995</c:v>
                </c:pt>
                <c:pt idx="654">
                  <c:v>529.40047523875194</c:v>
                </c:pt>
                <c:pt idx="655">
                  <c:v>499.37408497698641</c:v>
                </c:pt>
                <c:pt idx="656">
                  <c:v>462.26858834630076</c:v>
                </c:pt>
                <c:pt idx="657">
                  <c:v>449.97529962526153</c:v>
                </c:pt>
                <c:pt idx="658">
                  <c:v>621.17302569208607</c:v>
                </c:pt>
                <c:pt idx="659">
                  <c:v>518.44876835245634</c:v>
                </c:pt>
                <c:pt idx="660">
                  <c:v>578.06349183590612</c:v>
                </c:pt>
                <c:pt idx="661">
                  <c:v>533.36665762607618</c:v>
                </c:pt>
                <c:pt idx="662">
                  <c:v>512.47291254170534</c:v>
                </c:pt>
                <c:pt idx="663">
                  <c:v>507.13393138822448</c:v>
                </c:pt>
                <c:pt idx="664">
                  <c:v>454.43314715749591</c:v>
                </c:pt>
                <c:pt idx="665">
                  <c:v>476.5459746791982</c:v>
                </c:pt>
                <c:pt idx="666">
                  <c:v>522.35368993464169</c:v>
                </c:pt>
                <c:pt idx="667">
                  <c:v>546.5430019426243</c:v>
                </c:pt>
                <c:pt idx="668">
                  <c:v>530.40462174053175</c:v>
                </c:pt>
                <c:pt idx="669">
                  <c:v>460.33019729161236</c:v>
                </c:pt>
                <c:pt idx="670">
                  <c:v>515.83235583165731</c:v>
                </c:pt>
                <c:pt idx="671">
                  <c:v>485.62106663899453</c:v>
                </c:pt>
                <c:pt idx="672">
                  <c:v>491.60022648310036</c:v>
                </c:pt>
                <c:pt idx="673">
                  <c:v>547.37981082809972</c:v>
                </c:pt>
                <c:pt idx="674">
                  <c:v>487.05755499064446</c:v>
                </c:pt>
                <c:pt idx="675">
                  <c:v>483.55104343085833</c:v>
                </c:pt>
                <c:pt idx="676">
                  <c:v>556.79914592568844</c:v>
                </c:pt>
                <c:pt idx="677">
                  <c:v>557.17759167392455</c:v>
                </c:pt>
                <c:pt idx="678">
                  <c:v>501.97741629449257</c:v>
                </c:pt>
                <c:pt idx="679">
                  <c:v>470.92647167498927</c:v>
                </c:pt>
                <c:pt idx="680">
                  <c:v>636.67599835182023</c:v>
                </c:pt>
                <c:pt idx="681">
                  <c:v>669.57643662684973</c:v>
                </c:pt>
                <c:pt idx="682">
                  <c:v>561.19033109984821</c:v>
                </c:pt>
                <c:pt idx="683">
                  <c:v>544.61116028252604</c:v>
                </c:pt>
                <c:pt idx="684">
                  <c:v>606.15009323272852</c:v>
                </c:pt>
                <c:pt idx="685">
                  <c:v>463.85603354966679</c:v>
                </c:pt>
                <c:pt idx="686">
                  <c:v>530.09176987546266</c:v>
                </c:pt>
                <c:pt idx="687">
                  <c:v>523.00273769707428</c:v>
                </c:pt>
                <c:pt idx="688">
                  <c:v>540.62451424523022</c:v>
                </c:pt>
                <c:pt idx="689">
                  <c:v>520.04852694374483</c:v>
                </c:pt>
                <c:pt idx="690">
                  <c:v>472.07352064943069</c:v>
                </c:pt>
                <c:pt idx="691">
                  <c:v>520.49246287223309</c:v>
                </c:pt>
                <c:pt idx="692">
                  <c:v>504.85767199114866</c:v>
                </c:pt>
                <c:pt idx="693">
                  <c:v>512.51299131511985</c:v>
                </c:pt>
                <c:pt idx="694">
                  <c:v>464.05485988273546</c:v>
                </c:pt>
                <c:pt idx="695">
                  <c:v>609.65398367160856</c:v>
                </c:pt>
                <c:pt idx="696">
                  <c:v>517.03780722586907</c:v>
                </c:pt>
                <c:pt idx="697">
                  <c:v>554.88634334799599</c:v>
                </c:pt>
                <c:pt idx="698">
                  <c:v>620.65012567215717</c:v>
                </c:pt>
                <c:pt idx="699">
                  <c:v>466.00043380897165</c:v>
                </c:pt>
                <c:pt idx="700">
                  <c:v>489.02808995138992</c:v>
                </c:pt>
                <c:pt idx="701">
                  <c:v>502.2054837136746</c:v>
                </c:pt>
                <c:pt idx="702">
                  <c:v>496.88338172057553</c:v>
                </c:pt>
                <c:pt idx="703">
                  <c:v>521.61847309579832</c:v>
                </c:pt>
                <c:pt idx="704">
                  <c:v>626.75117401018497</c:v>
                </c:pt>
                <c:pt idx="705">
                  <c:v>516.9312298146142</c:v>
                </c:pt>
                <c:pt idx="706">
                  <c:v>471.73918999596458</c:v>
                </c:pt>
                <c:pt idx="707">
                  <c:v>450.56011129189199</c:v>
                </c:pt>
                <c:pt idx="708">
                  <c:v>480.95523449840158</c:v>
                </c:pt>
                <c:pt idx="709">
                  <c:v>504.98770208716309</c:v>
                </c:pt>
                <c:pt idx="710">
                  <c:v>458.43615951122285</c:v>
                </c:pt>
                <c:pt idx="711">
                  <c:v>530.10653691818004</c:v>
                </c:pt>
                <c:pt idx="712">
                  <c:v>483.00150574378409</c:v>
                </c:pt>
                <c:pt idx="713">
                  <c:v>628.37710927713874</c:v>
                </c:pt>
                <c:pt idx="714">
                  <c:v>521.71328783268621</c:v>
                </c:pt>
                <c:pt idx="715">
                  <c:v>529.32458317791134</c:v>
                </c:pt>
                <c:pt idx="716">
                  <c:v>442.69990691279912</c:v>
                </c:pt>
                <c:pt idx="717">
                  <c:v>559.65102757024567</c:v>
                </c:pt>
                <c:pt idx="718">
                  <c:v>576.80146967075666</c:v>
                </c:pt>
                <c:pt idx="719">
                  <c:v>508.7752674047789</c:v>
                </c:pt>
                <c:pt idx="720">
                  <c:v>437.12246775827242</c:v>
                </c:pt>
                <c:pt idx="721">
                  <c:v>491.61072261875501</c:v>
                </c:pt>
                <c:pt idx="722">
                  <c:v>446.75894346221094</c:v>
                </c:pt>
                <c:pt idx="723">
                  <c:v>613.20308694772837</c:v>
                </c:pt>
                <c:pt idx="724">
                  <c:v>551.93355553514334</c:v>
                </c:pt>
                <c:pt idx="725">
                  <c:v>521.62581390469506</c:v>
                </c:pt>
                <c:pt idx="726">
                  <c:v>461.4313873471998</c:v>
                </c:pt>
                <c:pt idx="727">
                  <c:v>570.97485174365136</c:v>
                </c:pt>
                <c:pt idx="728">
                  <c:v>529.45366859807541</c:v>
                </c:pt>
                <c:pt idx="729">
                  <c:v>518.36093805083124</c:v>
                </c:pt>
                <c:pt idx="730">
                  <c:v>606.51779403248997</c:v>
                </c:pt>
                <c:pt idx="731">
                  <c:v>508.79708199493945</c:v>
                </c:pt>
                <c:pt idx="732">
                  <c:v>455.35323352994158</c:v>
                </c:pt>
                <c:pt idx="733">
                  <c:v>532.24788376441472</c:v>
                </c:pt>
                <c:pt idx="734">
                  <c:v>670.81132732940534</c:v>
                </c:pt>
                <c:pt idx="735">
                  <c:v>567.6485473356588</c:v>
                </c:pt>
                <c:pt idx="736">
                  <c:v>529.82418303571626</c:v>
                </c:pt>
                <c:pt idx="737">
                  <c:v>513.74712258636816</c:v>
                </c:pt>
                <c:pt idx="738">
                  <c:v>493.7947700236129</c:v>
                </c:pt>
                <c:pt idx="739">
                  <c:v>549.54150833084623</c:v>
                </c:pt>
                <c:pt idx="740">
                  <c:v>451.2940782117617</c:v>
                </c:pt>
                <c:pt idx="741">
                  <c:v>537.94938681144299</c:v>
                </c:pt>
                <c:pt idx="742">
                  <c:v>481.76497052464271</c:v>
                </c:pt>
                <c:pt idx="743">
                  <c:v>615.55926952683524</c:v>
                </c:pt>
                <c:pt idx="744">
                  <c:v>464.15703704754839</c:v>
                </c:pt>
                <c:pt idx="745">
                  <c:v>535.76795057347363</c:v>
                </c:pt>
                <c:pt idx="746">
                  <c:v>519.1367936980472</c:v>
                </c:pt>
                <c:pt idx="747">
                  <c:v>505.45382562756345</c:v>
                </c:pt>
                <c:pt idx="748">
                  <c:v>479.64441190754792</c:v>
                </c:pt>
                <c:pt idx="749">
                  <c:v>560.44304103964521</c:v>
                </c:pt>
                <c:pt idx="750">
                  <c:v>621.49341013684386</c:v>
                </c:pt>
                <c:pt idx="751">
                  <c:v>508.44489277944149</c:v>
                </c:pt>
                <c:pt idx="752">
                  <c:v>450.43227944676346</c:v>
                </c:pt>
                <c:pt idx="753">
                  <c:v>618.31686514972682</c:v>
                </c:pt>
                <c:pt idx="754">
                  <c:v>517.63179192225516</c:v>
                </c:pt>
                <c:pt idx="755">
                  <c:v>480.64024397265928</c:v>
                </c:pt>
                <c:pt idx="756">
                  <c:v>543.24672947458748</c:v>
                </c:pt>
                <c:pt idx="757">
                  <c:v>560.97203358409013</c:v>
                </c:pt>
                <c:pt idx="758">
                  <c:v>494.08382534381866</c:v>
                </c:pt>
                <c:pt idx="759">
                  <c:v>536.99597462837721</c:v>
                </c:pt>
                <c:pt idx="760">
                  <c:v>569.10665524945</c:v>
                </c:pt>
                <c:pt idx="761">
                  <c:v>471.22264260923276</c:v>
                </c:pt>
                <c:pt idx="762">
                  <c:v>492.71826229290599</c:v>
                </c:pt>
                <c:pt idx="763">
                  <c:v>547.10352987556575</c:v>
                </c:pt>
                <c:pt idx="764">
                  <c:v>499.10522334807075</c:v>
                </c:pt>
                <c:pt idx="765">
                  <c:v>522.34335473131739</c:v>
                </c:pt>
                <c:pt idx="766">
                  <c:v>471.47262086441026</c:v>
                </c:pt>
                <c:pt idx="767">
                  <c:v>523.52395730315413</c:v>
                </c:pt>
                <c:pt idx="768">
                  <c:v>449.22096841121936</c:v>
                </c:pt>
                <c:pt idx="769">
                  <c:v>567.38094619704782</c:v>
                </c:pt>
                <c:pt idx="770">
                  <c:v>520.09127513026601</c:v>
                </c:pt>
                <c:pt idx="771">
                  <c:v>534.58192016539442</c:v>
                </c:pt>
                <c:pt idx="772">
                  <c:v>444.68242566449226</c:v>
                </c:pt>
                <c:pt idx="773">
                  <c:v>525.01836222662848</c:v>
                </c:pt>
                <c:pt idx="774">
                  <c:v>484.44278868323494</c:v>
                </c:pt>
                <c:pt idx="775">
                  <c:v>511.99220560289598</c:v>
                </c:pt>
                <c:pt idx="776">
                  <c:v>530.34959921959637</c:v>
                </c:pt>
                <c:pt idx="777">
                  <c:v>527.02813223496719</c:v>
                </c:pt>
                <c:pt idx="778">
                  <c:v>502.58107958369533</c:v>
                </c:pt>
                <c:pt idx="779">
                  <c:v>538.88578957559685</c:v>
                </c:pt>
                <c:pt idx="780">
                  <c:v>474.18390384054328</c:v>
                </c:pt>
                <c:pt idx="781">
                  <c:v>513.41376244904131</c:v>
                </c:pt>
                <c:pt idx="782">
                  <c:v>461.05964651795568</c:v>
                </c:pt>
                <c:pt idx="783">
                  <c:v>531.60533321181288</c:v>
                </c:pt>
                <c:pt idx="784">
                  <c:v>528.17860686701636</c:v>
                </c:pt>
                <c:pt idx="785">
                  <c:v>486.71277835167382</c:v>
                </c:pt>
                <c:pt idx="786">
                  <c:v>545.78809360605078</c:v>
                </c:pt>
                <c:pt idx="787">
                  <c:v>552.64970270562719</c:v>
                </c:pt>
                <c:pt idx="788">
                  <c:v>557.67986362440945</c:v>
                </c:pt>
                <c:pt idx="789">
                  <c:v>522.3748682715227</c:v>
                </c:pt>
                <c:pt idx="790">
                  <c:v>485.22801198847975</c:v>
                </c:pt>
                <c:pt idx="791">
                  <c:v>491.35395220649826</c:v>
                </c:pt>
                <c:pt idx="792">
                  <c:v>517.80497400342028</c:v>
                </c:pt>
                <c:pt idx="793">
                  <c:v>540.24818492630618</c:v>
                </c:pt>
                <c:pt idx="794">
                  <c:v>546.81286184672945</c:v>
                </c:pt>
                <c:pt idx="795">
                  <c:v>508.76538629517165</c:v>
                </c:pt>
                <c:pt idx="796">
                  <c:v>510.91044419433462</c:v>
                </c:pt>
                <c:pt idx="797">
                  <c:v>538.63836669277703</c:v>
                </c:pt>
                <c:pt idx="798">
                  <c:v>531.5497298852207</c:v>
                </c:pt>
                <c:pt idx="799">
                  <c:v>503.86830310326008</c:v>
                </c:pt>
                <c:pt idx="800">
                  <c:v>452.95438259184169</c:v>
                </c:pt>
                <c:pt idx="801">
                  <c:v>474.86819224237001</c:v>
                </c:pt>
                <c:pt idx="802">
                  <c:v>471.33288566351013</c:v>
                </c:pt>
                <c:pt idx="803">
                  <c:v>538.91484360756431</c:v>
                </c:pt>
                <c:pt idx="804">
                  <c:v>480.83175688936643</c:v>
                </c:pt>
                <c:pt idx="805">
                  <c:v>471.35554767228842</c:v>
                </c:pt>
                <c:pt idx="806">
                  <c:v>446.21952116434221</c:v>
                </c:pt>
                <c:pt idx="807">
                  <c:v>488.51020478063725</c:v>
                </c:pt>
                <c:pt idx="808">
                  <c:v>457.95330488920644</c:v>
                </c:pt>
                <c:pt idx="809">
                  <c:v>524.52689980172499</c:v>
                </c:pt>
                <c:pt idx="810">
                  <c:v>490.30217175678291</c:v>
                </c:pt>
                <c:pt idx="811">
                  <c:v>522.26880566804414</c:v>
                </c:pt>
                <c:pt idx="812">
                  <c:v>457.87746569445704</c:v>
                </c:pt>
                <c:pt idx="813">
                  <c:v>496.03000939238126</c:v>
                </c:pt>
                <c:pt idx="814">
                  <c:v>530.15714576048094</c:v>
                </c:pt>
                <c:pt idx="815">
                  <c:v>486.58378329330424</c:v>
                </c:pt>
                <c:pt idx="816">
                  <c:v>480.21179495813232</c:v>
                </c:pt>
                <c:pt idx="817">
                  <c:v>561.61021874137668</c:v>
                </c:pt>
                <c:pt idx="818">
                  <c:v>545.20486414571155</c:v>
                </c:pt>
                <c:pt idx="819">
                  <c:v>517.1928197740458</c:v>
                </c:pt>
                <c:pt idx="820">
                  <c:v>595.0465870225072</c:v>
                </c:pt>
                <c:pt idx="821">
                  <c:v>587.37719429995718</c:v>
                </c:pt>
                <c:pt idx="822">
                  <c:v>496.02194751616099</c:v>
                </c:pt>
                <c:pt idx="823">
                  <c:v>548.21985019315696</c:v>
                </c:pt>
                <c:pt idx="824">
                  <c:v>549.85276671422901</c:v>
                </c:pt>
                <c:pt idx="825">
                  <c:v>470.12652869463045</c:v>
                </c:pt>
                <c:pt idx="826">
                  <c:v>455.56216641341626</c:v>
                </c:pt>
                <c:pt idx="827">
                  <c:v>524.62673970848425</c:v>
                </c:pt>
                <c:pt idx="828">
                  <c:v>488.2750021803156</c:v>
                </c:pt>
                <c:pt idx="829">
                  <c:v>500.13320512565798</c:v>
                </c:pt>
                <c:pt idx="830">
                  <c:v>565.36840278164277</c:v>
                </c:pt>
                <c:pt idx="831">
                  <c:v>482.29938106987368</c:v>
                </c:pt>
                <c:pt idx="832">
                  <c:v>515.08555166862709</c:v>
                </c:pt>
                <c:pt idx="833">
                  <c:v>486.97289601889867</c:v>
                </c:pt>
                <c:pt idx="834">
                  <c:v>554.03144306095533</c:v>
                </c:pt>
                <c:pt idx="835">
                  <c:v>679.21535545667507</c:v>
                </c:pt>
                <c:pt idx="836">
                  <c:v>517.938213609787</c:v>
                </c:pt>
                <c:pt idx="837">
                  <c:v>586.03794190187773</c:v>
                </c:pt>
                <c:pt idx="838">
                  <c:v>484.46092494935255</c:v>
                </c:pt>
                <c:pt idx="839">
                  <c:v>540.08828648643566</c:v>
                </c:pt>
                <c:pt idx="840">
                  <c:v>460.06951171858685</c:v>
                </c:pt>
                <c:pt idx="841">
                  <c:v>559.2630574890984</c:v>
                </c:pt>
                <c:pt idx="842">
                  <c:v>503.13896677926419</c:v>
                </c:pt>
                <c:pt idx="843">
                  <c:v>428.87255129627579</c:v>
                </c:pt>
                <c:pt idx="844">
                  <c:v>478.58523859802051</c:v>
                </c:pt>
                <c:pt idx="845">
                  <c:v>463.14243490010955</c:v>
                </c:pt>
                <c:pt idx="846">
                  <c:v>451.90380179348409</c:v>
                </c:pt>
                <c:pt idx="847">
                  <c:v>512.14265545621151</c:v>
                </c:pt>
                <c:pt idx="848">
                  <c:v>472.76287384231296</c:v>
                </c:pt>
                <c:pt idx="849">
                  <c:v>535.63899318548511</c:v>
                </c:pt>
                <c:pt idx="850">
                  <c:v>550.42670202387967</c:v>
                </c:pt>
                <c:pt idx="851">
                  <c:v>559.77403196213982</c:v>
                </c:pt>
                <c:pt idx="852">
                  <c:v>535.79335221522513</c:v>
                </c:pt>
                <c:pt idx="853">
                  <c:v>466.46550708605184</c:v>
                </c:pt>
                <c:pt idx="854">
                  <c:v>583.97587527918847</c:v>
                </c:pt>
                <c:pt idx="855">
                  <c:v>624.59865121943608</c:v>
                </c:pt>
                <c:pt idx="856">
                  <c:v>597.54945775640726</c:v>
                </c:pt>
                <c:pt idx="857">
                  <c:v>477.46642419771905</c:v>
                </c:pt>
                <c:pt idx="858">
                  <c:v>453.85627017305546</c:v>
                </c:pt>
                <c:pt idx="859">
                  <c:v>479.50157229087205</c:v>
                </c:pt>
                <c:pt idx="860">
                  <c:v>600.22938997034237</c:v>
                </c:pt>
                <c:pt idx="861">
                  <c:v>479.15944523040986</c:v>
                </c:pt>
                <c:pt idx="862">
                  <c:v>486.08230869219449</c:v>
                </c:pt>
                <c:pt idx="863">
                  <c:v>517.77194538387653</c:v>
                </c:pt>
                <c:pt idx="864">
                  <c:v>514.52058540402834</c:v>
                </c:pt>
                <c:pt idx="865">
                  <c:v>549.96980044483257</c:v>
                </c:pt>
                <c:pt idx="866">
                  <c:v>530.3651841077658</c:v>
                </c:pt>
                <c:pt idx="867">
                  <c:v>583.25612185228022</c:v>
                </c:pt>
                <c:pt idx="868">
                  <c:v>556.74752580287304</c:v>
                </c:pt>
                <c:pt idx="869">
                  <c:v>500.47182104710447</c:v>
                </c:pt>
                <c:pt idx="870">
                  <c:v>468.89019077916436</c:v>
                </c:pt>
                <c:pt idx="871">
                  <c:v>530.75011069331526</c:v>
                </c:pt>
                <c:pt idx="872">
                  <c:v>520.30583116533455</c:v>
                </c:pt>
                <c:pt idx="873">
                  <c:v>482.39328696106156</c:v>
                </c:pt>
                <c:pt idx="874">
                  <c:v>469.76134787585499</c:v>
                </c:pt>
                <c:pt idx="875">
                  <c:v>533.52505383474193</c:v>
                </c:pt>
                <c:pt idx="876">
                  <c:v>469.08802740697274</c:v>
                </c:pt>
                <c:pt idx="877">
                  <c:v>541.27660937862356</c:v>
                </c:pt>
                <c:pt idx="878">
                  <c:v>657.71130648409417</c:v>
                </c:pt>
                <c:pt idx="879">
                  <c:v>492.00901823939483</c:v>
                </c:pt>
                <c:pt idx="880">
                  <c:v>492.03161061039879</c:v>
                </c:pt>
                <c:pt idx="881">
                  <c:v>492.16356345448361</c:v>
                </c:pt>
                <c:pt idx="882">
                  <c:v>532.85441255638079</c:v>
                </c:pt>
                <c:pt idx="883">
                  <c:v>680.15425634501446</c:v>
                </c:pt>
                <c:pt idx="884">
                  <c:v>474.62523534945575</c:v>
                </c:pt>
                <c:pt idx="885">
                  <c:v>518.43590432019414</c:v>
                </c:pt>
                <c:pt idx="886">
                  <c:v>509.65194652865171</c:v>
                </c:pt>
                <c:pt idx="887">
                  <c:v>505.06898444316613</c:v>
                </c:pt>
                <c:pt idx="888">
                  <c:v>465.75250806943308</c:v>
                </c:pt>
                <c:pt idx="889">
                  <c:v>547.36688282405601</c:v>
                </c:pt>
                <c:pt idx="890">
                  <c:v>515.69416153523014</c:v>
                </c:pt>
                <c:pt idx="891">
                  <c:v>481.53764487128893</c:v>
                </c:pt>
                <c:pt idx="892">
                  <c:v>561.8099128530713</c:v>
                </c:pt>
                <c:pt idx="893">
                  <c:v>528.3259643877268</c:v>
                </c:pt>
                <c:pt idx="894">
                  <c:v>595.380127647309</c:v>
                </c:pt>
                <c:pt idx="895">
                  <c:v>490.35421114946251</c:v>
                </c:pt>
                <c:pt idx="896">
                  <c:v>488.57931952405153</c:v>
                </c:pt>
                <c:pt idx="897">
                  <c:v>487.59664560534111</c:v>
                </c:pt>
                <c:pt idx="898">
                  <c:v>478.67475801210452</c:v>
                </c:pt>
                <c:pt idx="899">
                  <c:v>476.94114110822096</c:v>
                </c:pt>
                <c:pt idx="900">
                  <c:v>485.36094313435092</c:v>
                </c:pt>
                <c:pt idx="901">
                  <c:v>617.4215453733882</c:v>
                </c:pt>
                <c:pt idx="902">
                  <c:v>520.92469584879723</c:v>
                </c:pt>
                <c:pt idx="903">
                  <c:v>507.96987959340294</c:v>
                </c:pt>
                <c:pt idx="904">
                  <c:v>599.94890381234507</c:v>
                </c:pt>
                <c:pt idx="905">
                  <c:v>567.65584191860876</c:v>
                </c:pt>
                <c:pt idx="906">
                  <c:v>493.67878872177431</c:v>
                </c:pt>
                <c:pt idx="907">
                  <c:v>569.84955901542071</c:v>
                </c:pt>
                <c:pt idx="908">
                  <c:v>532.25154597526762</c:v>
                </c:pt>
                <c:pt idx="909">
                  <c:v>479.88098198389633</c:v>
                </c:pt>
                <c:pt idx="910">
                  <c:v>537.75663509813444</c:v>
                </c:pt>
                <c:pt idx="911">
                  <c:v>491.51985988938998</c:v>
                </c:pt>
                <c:pt idx="912">
                  <c:v>470.02967303415028</c:v>
                </c:pt>
                <c:pt idx="913">
                  <c:v>537.42296500992768</c:v>
                </c:pt>
                <c:pt idx="914">
                  <c:v>453.52414326642509</c:v>
                </c:pt>
                <c:pt idx="915">
                  <c:v>495.77809079864642</c:v>
                </c:pt>
                <c:pt idx="916">
                  <c:v>470.56794651080014</c:v>
                </c:pt>
                <c:pt idx="917">
                  <c:v>463.65778319734386</c:v>
                </c:pt>
                <c:pt idx="918">
                  <c:v>529.49367069251014</c:v>
                </c:pt>
                <c:pt idx="919">
                  <c:v>473.48742801054772</c:v>
                </c:pt>
                <c:pt idx="920">
                  <c:v>573.67442926433205</c:v>
                </c:pt>
                <c:pt idx="921">
                  <c:v>528.56537727581895</c:v>
                </c:pt>
                <c:pt idx="922">
                  <c:v>498.80838332340755</c:v>
                </c:pt>
                <c:pt idx="923">
                  <c:v>578.02229250670439</c:v>
                </c:pt>
                <c:pt idx="924">
                  <c:v>533.49370284327949</c:v>
                </c:pt>
                <c:pt idx="925">
                  <c:v>443.21929106791225</c:v>
                </c:pt>
                <c:pt idx="926">
                  <c:v>577.11555678638865</c:v>
                </c:pt>
                <c:pt idx="927">
                  <c:v>553.23088176546514</c:v>
                </c:pt>
                <c:pt idx="928">
                  <c:v>523.72355212508307</c:v>
                </c:pt>
                <c:pt idx="929">
                  <c:v>563.40594564021171</c:v>
                </c:pt>
                <c:pt idx="930">
                  <c:v>459.94473926529105</c:v>
                </c:pt>
                <c:pt idx="931">
                  <c:v>485.97756293996804</c:v>
                </c:pt>
                <c:pt idx="932">
                  <c:v>513.77932097853568</c:v>
                </c:pt>
                <c:pt idx="933">
                  <c:v>538.23116578250381</c:v>
                </c:pt>
                <c:pt idx="934">
                  <c:v>509.79594211979497</c:v>
                </c:pt>
                <c:pt idx="935">
                  <c:v>498.27402671702538</c:v>
                </c:pt>
                <c:pt idx="936">
                  <c:v>539.35725654493865</c:v>
                </c:pt>
                <c:pt idx="937">
                  <c:v>460.31479724769054</c:v>
                </c:pt>
                <c:pt idx="938">
                  <c:v>493.02532371523876</c:v>
                </c:pt>
                <c:pt idx="939">
                  <c:v>481.37687177571064</c:v>
                </c:pt>
                <c:pt idx="940">
                  <c:v>502.8619130384314</c:v>
                </c:pt>
                <c:pt idx="941">
                  <c:v>518.45836637577452</c:v>
                </c:pt>
                <c:pt idx="942">
                  <c:v>472.6010541495769</c:v>
                </c:pt>
                <c:pt idx="943">
                  <c:v>515.16327973662749</c:v>
                </c:pt>
                <c:pt idx="944">
                  <c:v>513.41436453551978</c:v>
                </c:pt>
                <c:pt idx="945">
                  <c:v>498.75179551567305</c:v>
                </c:pt>
                <c:pt idx="946">
                  <c:v>455.78459859035894</c:v>
                </c:pt>
                <c:pt idx="947">
                  <c:v>515.22377952511908</c:v>
                </c:pt>
                <c:pt idx="948">
                  <c:v>530.20508972737616</c:v>
                </c:pt>
                <c:pt idx="949">
                  <c:v>542.55322993567711</c:v>
                </c:pt>
                <c:pt idx="950">
                  <c:v>484.26226599846768</c:v>
                </c:pt>
                <c:pt idx="951">
                  <c:v>493.19346474622006</c:v>
                </c:pt>
                <c:pt idx="952">
                  <c:v>565.8318946359492</c:v>
                </c:pt>
                <c:pt idx="953">
                  <c:v>532.73795701734457</c:v>
                </c:pt>
                <c:pt idx="954">
                  <c:v>469.10123814163984</c:v>
                </c:pt>
                <c:pt idx="955">
                  <c:v>508.55337484885155</c:v>
                </c:pt>
                <c:pt idx="956">
                  <c:v>467.99415453836326</c:v>
                </c:pt>
                <c:pt idx="957">
                  <c:v>484.78914782890632</c:v>
                </c:pt>
                <c:pt idx="958">
                  <c:v>466.44290197352609</c:v>
                </c:pt>
                <c:pt idx="959">
                  <c:v>511.52771996531175</c:v>
                </c:pt>
                <c:pt idx="960">
                  <c:v>673.3807405389523</c:v>
                </c:pt>
                <c:pt idx="961">
                  <c:v>450.84219044632152</c:v>
                </c:pt>
                <c:pt idx="962">
                  <c:v>495.32509571678401</c:v>
                </c:pt>
                <c:pt idx="963">
                  <c:v>588.2246205497562</c:v>
                </c:pt>
                <c:pt idx="964">
                  <c:v>530.08708350828942</c:v>
                </c:pt>
                <c:pt idx="965">
                  <c:v>528.89213463475903</c:v>
                </c:pt>
                <c:pt idx="966">
                  <c:v>493.09950628667912</c:v>
                </c:pt>
                <c:pt idx="967">
                  <c:v>490.36319570892596</c:v>
                </c:pt>
                <c:pt idx="968">
                  <c:v>482.6141424219723</c:v>
                </c:pt>
                <c:pt idx="969">
                  <c:v>488.15047813832643</c:v>
                </c:pt>
                <c:pt idx="970">
                  <c:v>467.95376488671985</c:v>
                </c:pt>
                <c:pt idx="971">
                  <c:v>515.06893514001467</c:v>
                </c:pt>
                <c:pt idx="972">
                  <c:v>467.27988798343148</c:v>
                </c:pt>
                <c:pt idx="973">
                  <c:v>523.50235581517018</c:v>
                </c:pt>
                <c:pt idx="974">
                  <c:v>499.63438134785679</c:v>
                </c:pt>
                <c:pt idx="975">
                  <c:v>497.65602578986318</c:v>
                </c:pt>
                <c:pt idx="976">
                  <c:v>457.13165674748524</c:v>
                </c:pt>
                <c:pt idx="977">
                  <c:v>440.81407675240848</c:v>
                </c:pt>
                <c:pt idx="978">
                  <c:v>545.74258596066011</c:v>
                </c:pt>
                <c:pt idx="979">
                  <c:v>478.17419983346736</c:v>
                </c:pt>
                <c:pt idx="980">
                  <c:v>521.09972860534413</c:v>
                </c:pt>
                <c:pt idx="981">
                  <c:v>496.34864902570496</c:v>
                </c:pt>
                <c:pt idx="982">
                  <c:v>469.21660988898356</c:v>
                </c:pt>
                <c:pt idx="983">
                  <c:v>479.3805470318411</c:v>
                </c:pt>
                <c:pt idx="984">
                  <c:v>540.39599914905591</c:v>
                </c:pt>
                <c:pt idx="985">
                  <c:v>480.64969844842267</c:v>
                </c:pt>
                <c:pt idx="986">
                  <c:v>489.49850657031089</c:v>
                </c:pt>
                <c:pt idx="987">
                  <c:v>494.84231871916495</c:v>
                </c:pt>
                <c:pt idx="988">
                  <c:v>491.41572305473676</c:v>
                </c:pt>
                <c:pt idx="989">
                  <c:v>567.95745837810023</c:v>
                </c:pt>
                <c:pt idx="990">
                  <c:v>558.19841149134106</c:v>
                </c:pt>
                <c:pt idx="991">
                  <c:v>512.81599217061262</c:v>
                </c:pt>
                <c:pt idx="992">
                  <c:v>517.6050753259168</c:v>
                </c:pt>
                <c:pt idx="993">
                  <c:v>515.219086416756</c:v>
                </c:pt>
                <c:pt idx="994">
                  <c:v>485.04236578409268</c:v>
                </c:pt>
                <c:pt idx="995">
                  <c:v>494.33304054193434</c:v>
                </c:pt>
                <c:pt idx="996">
                  <c:v>536.98596950479737</c:v>
                </c:pt>
                <c:pt idx="997">
                  <c:v>447.69466715512823</c:v>
                </c:pt>
                <c:pt idx="998">
                  <c:v>463.99816341164438</c:v>
                </c:pt>
                <c:pt idx="999">
                  <c:v>541.32967389137582</c:v>
                </c:pt>
              </c:numCache>
            </c:numRef>
          </c:yVal>
          <c:smooth val="0"/>
          <c:extLst>
            <c:ext xmlns:c16="http://schemas.microsoft.com/office/drawing/2014/chart" uri="{C3380CC4-5D6E-409C-BE32-E72D297353CC}">
              <c16:uniqueId val="{00000000-83FB-488B-8643-FA5B3123DAA0}"/>
            </c:ext>
          </c:extLst>
        </c:ser>
        <c:ser>
          <c:idx val="1"/>
          <c:order val="1"/>
          <c:tx>
            <c:v>NP1</c:v>
          </c:tx>
          <c:spPr>
            <a:ln w="19050">
              <a:noFill/>
            </a:ln>
          </c:spPr>
          <c:marker>
            <c:symbol val="circle"/>
            <c:size val="5"/>
            <c:spPr>
              <a:solidFill>
                <a:srgbClr val="FFFFFF"/>
              </a:solidFill>
              <a:ln>
                <a:solidFill>
                  <a:srgbClr val="008000"/>
                </a:solidFill>
                <a:prstDash val="solid"/>
              </a:ln>
            </c:spPr>
          </c:marker>
          <c:xVal>
            <c:numRef>
              <c:f>Simulation!$S$6:$S$1005</c:f>
              <c:numCache>
                <c:formatCode>0.00_ ;\-0.00\ </c:formatCode>
                <c:ptCount val="1000"/>
                <c:pt idx="0">
                  <c:v>15.988408558116483</c:v>
                </c:pt>
                <c:pt idx="1">
                  <c:v>13.893065653034142</c:v>
                </c:pt>
                <c:pt idx="2">
                  <c:v>14.528478879154473</c:v>
                </c:pt>
                <c:pt idx="3">
                  <c:v>15.079270111964837</c:v>
                </c:pt>
                <c:pt idx="4">
                  <c:v>13.960960710602633</c:v>
                </c:pt>
                <c:pt idx="5">
                  <c:v>13.961407992792372</c:v>
                </c:pt>
                <c:pt idx="6">
                  <c:v>14.563974134612625</c:v>
                </c:pt>
                <c:pt idx="7">
                  <c:v>14.278547973680455</c:v>
                </c:pt>
                <c:pt idx="8">
                  <c:v>14.159315517726279</c:v>
                </c:pt>
                <c:pt idx="9">
                  <c:v>15.130726676694144</c:v>
                </c:pt>
                <c:pt idx="10">
                  <c:v>14.516211679506059</c:v>
                </c:pt>
                <c:pt idx="11">
                  <c:v>14.205142041416162</c:v>
                </c:pt>
                <c:pt idx="12">
                  <c:v>14.481822003832676</c:v>
                </c:pt>
                <c:pt idx="13">
                  <c:v>14.236516181994679</c:v>
                </c:pt>
                <c:pt idx="14">
                  <c:v>15.829453202692786</c:v>
                </c:pt>
                <c:pt idx="15">
                  <c:v>14.610209529792368</c:v>
                </c:pt>
                <c:pt idx="16">
                  <c:v>14.990464300444959</c:v>
                </c:pt>
                <c:pt idx="17">
                  <c:v>14.563164083189372</c:v>
                </c:pt>
                <c:pt idx="18">
                  <c:v>15.275595325340936</c:v>
                </c:pt>
                <c:pt idx="19">
                  <c:v>14.713671518086706</c:v>
                </c:pt>
                <c:pt idx="20">
                  <c:v>14.179779171724153</c:v>
                </c:pt>
                <c:pt idx="21">
                  <c:v>14.45929047053734</c:v>
                </c:pt>
                <c:pt idx="22">
                  <c:v>13.940814784046999</c:v>
                </c:pt>
                <c:pt idx="23">
                  <c:v>15.214018411605926</c:v>
                </c:pt>
                <c:pt idx="24">
                  <c:v>14.146378841228952</c:v>
                </c:pt>
                <c:pt idx="25">
                  <c:v>14.598653252865583</c:v>
                </c:pt>
                <c:pt idx="26">
                  <c:v>14.489023831704575</c:v>
                </c:pt>
                <c:pt idx="27">
                  <c:v>15.42065127385437</c:v>
                </c:pt>
                <c:pt idx="28">
                  <c:v>14.135445483200803</c:v>
                </c:pt>
                <c:pt idx="29">
                  <c:v>14.038377448077</c:v>
                </c:pt>
                <c:pt idx="30">
                  <c:v>15.328214385240159</c:v>
                </c:pt>
                <c:pt idx="31">
                  <c:v>15.138366226715286</c:v>
                </c:pt>
                <c:pt idx="32">
                  <c:v>14.268187948070452</c:v>
                </c:pt>
                <c:pt idx="33">
                  <c:v>14.647980207416612</c:v>
                </c:pt>
                <c:pt idx="34">
                  <c:v>14.420116058386002</c:v>
                </c:pt>
                <c:pt idx="35">
                  <c:v>14.242478502811972</c:v>
                </c:pt>
                <c:pt idx="36">
                  <c:v>14.496719466125835</c:v>
                </c:pt>
                <c:pt idx="37">
                  <c:v>14.726903696391512</c:v>
                </c:pt>
                <c:pt idx="38">
                  <c:v>15.155451785866761</c:v>
                </c:pt>
                <c:pt idx="39">
                  <c:v>15.188199231739201</c:v>
                </c:pt>
                <c:pt idx="40">
                  <c:v>14.83812874166672</c:v>
                </c:pt>
                <c:pt idx="41">
                  <c:v>13.012131922378618</c:v>
                </c:pt>
                <c:pt idx="42">
                  <c:v>14.715828712757693</c:v>
                </c:pt>
                <c:pt idx="43">
                  <c:v>15.177794234816155</c:v>
                </c:pt>
                <c:pt idx="44">
                  <c:v>14.190391400936447</c:v>
                </c:pt>
                <c:pt idx="45">
                  <c:v>14.416698254645555</c:v>
                </c:pt>
                <c:pt idx="46">
                  <c:v>15.737354210003126</c:v>
                </c:pt>
                <c:pt idx="47">
                  <c:v>15.121832605811141</c:v>
                </c:pt>
                <c:pt idx="48">
                  <c:v>14.901719602594257</c:v>
                </c:pt>
                <c:pt idx="49">
                  <c:v>14.520682779935669</c:v>
                </c:pt>
                <c:pt idx="50">
                  <c:v>15.096412412802399</c:v>
                </c:pt>
                <c:pt idx="51">
                  <c:v>14.967913858428657</c:v>
                </c:pt>
                <c:pt idx="52">
                  <c:v>14.618926066977213</c:v>
                </c:pt>
                <c:pt idx="53">
                  <c:v>14.205173542988245</c:v>
                </c:pt>
                <c:pt idx="54">
                  <c:v>15.3764389305053</c:v>
                </c:pt>
                <c:pt idx="55">
                  <c:v>14.443562921427747</c:v>
                </c:pt>
                <c:pt idx="56">
                  <c:v>15.026932646333663</c:v>
                </c:pt>
                <c:pt idx="57">
                  <c:v>13.333566545435213</c:v>
                </c:pt>
                <c:pt idx="58">
                  <c:v>14.83920575846127</c:v>
                </c:pt>
                <c:pt idx="59">
                  <c:v>13.931703633399126</c:v>
                </c:pt>
                <c:pt idx="60">
                  <c:v>14.214927914710442</c:v>
                </c:pt>
                <c:pt idx="61">
                  <c:v>14.210572957877151</c:v>
                </c:pt>
                <c:pt idx="62">
                  <c:v>14.357654649486051</c:v>
                </c:pt>
                <c:pt idx="63">
                  <c:v>14.350340689603499</c:v>
                </c:pt>
                <c:pt idx="64">
                  <c:v>13.302357844781367</c:v>
                </c:pt>
                <c:pt idx="65">
                  <c:v>14.473688736392747</c:v>
                </c:pt>
                <c:pt idx="66">
                  <c:v>13.855291796629521</c:v>
                </c:pt>
                <c:pt idx="67">
                  <c:v>15.142277338231617</c:v>
                </c:pt>
                <c:pt idx="68">
                  <c:v>14.095022718824227</c:v>
                </c:pt>
                <c:pt idx="69">
                  <c:v>14.701096913784941</c:v>
                </c:pt>
                <c:pt idx="70">
                  <c:v>14.519064177245939</c:v>
                </c:pt>
                <c:pt idx="71">
                  <c:v>14.782885270125357</c:v>
                </c:pt>
                <c:pt idx="72">
                  <c:v>15.200022847604242</c:v>
                </c:pt>
                <c:pt idx="73">
                  <c:v>14.656261754353578</c:v>
                </c:pt>
                <c:pt idx="74">
                  <c:v>14.555098275557661</c:v>
                </c:pt>
                <c:pt idx="75">
                  <c:v>14.103158596176991</c:v>
                </c:pt>
                <c:pt idx="76">
                  <c:v>14.706426668233062</c:v>
                </c:pt>
                <c:pt idx="77">
                  <c:v>13.919966906825682</c:v>
                </c:pt>
                <c:pt idx="78">
                  <c:v>15.062078686188739</c:v>
                </c:pt>
                <c:pt idx="79">
                  <c:v>14.396239013335979</c:v>
                </c:pt>
                <c:pt idx="80">
                  <c:v>14.437162881805925</c:v>
                </c:pt>
                <c:pt idx="81">
                  <c:v>15.213766057338169</c:v>
                </c:pt>
                <c:pt idx="82">
                  <c:v>14.208254383307404</c:v>
                </c:pt>
                <c:pt idx="83">
                  <c:v>15.383222711914151</c:v>
                </c:pt>
                <c:pt idx="84">
                  <c:v>15.225667767257706</c:v>
                </c:pt>
                <c:pt idx="85">
                  <c:v>14.87236175081056</c:v>
                </c:pt>
                <c:pt idx="86">
                  <c:v>14.69236997464172</c:v>
                </c:pt>
                <c:pt idx="87">
                  <c:v>15.14021209374982</c:v>
                </c:pt>
                <c:pt idx="88">
                  <c:v>14.610745600607556</c:v>
                </c:pt>
                <c:pt idx="89">
                  <c:v>14.455490486926163</c:v>
                </c:pt>
                <c:pt idx="90">
                  <c:v>14.547776160909789</c:v>
                </c:pt>
                <c:pt idx="91">
                  <c:v>14.720350914013563</c:v>
                </c:pt>
                <c:pt idx="92">
                  <c:v>14.85426555474255</c:v>
                </c:pt>
                <c:pt idx="93">
                  <c:v>14.84833488152478</c:v>
                </c:pt>
                <c:pt idx="94">
                  <c:v>14.88875991977754</c:v>
                </c:pt>
                <c:pt idx="95">
                  <c:v>14.056192307977065</c:v>
                </c:pt>
                <c:pt idx="96">
                  <c:v>14.025319925921353</c:v>
                </c:pt>
                <c:pt idx="97">
                  <c:v>14.235160411937997</c:v>
                </c:pt>
                <c:pt idx="98">
                  <c:v>14.841299863025137</c:v>
                </c:pt>
                <c:pt idx="99">
                  <c:v>14.154477636930981</c:v>
                </c:pt>
                <c:pt idx="100">
                  <c:v>14.804699262928249</c:v>
                </c:pt>
                <c:pt idx="101">
                  <c:v>13.878200527245067</c:v>
                </c:pt>
                <c:pt idx="102">
                  <c:v>15.061024934417418</c:v>
                </c:pt>
                <c:pt idx="103">
                  <c:v>15.42442698601117</c:v>
                </c:pt>
                <c:pt idx="104">
                  <c:v>14.531250051709417</c:v>
                </c:pt>
                <c:pt idx="105">
                  <c:v>14.341815465767057</c:v>
                </c:pt>
                <c:pt idx="106">
                  <c:v>13.600758314616677</c:v>
                </c:pt>
                <c:pt idx="107">
                  <c:v>14.024571488259195</c:v>
                </c:pt>
                <c:pt idx="108">
                  <c:v>13.547700868112708</c:v>
                </c:pt>
                <c:pt idx="109">
                  <c:v>14.754165178328496</c:v>
                </c:pt>
                <c:pt idx="110">
                  <c:v>14.373310106560993</c:v>
                </c:pt>
                <c:pt idx="111">
                  <c:v>15.072997536321678</c:v>
                </c:pt>
                <c:pt idx="112">
                  <c:v>14.739080884199049</c:v>
                </c:pt>
                <c:pt idx="113">
                  <c:v>15.451916530466056</c:v>
                </c:pt>
                <c:pt idx="114">
                  <c:v>15.218804203420376</c:v>
                </c:pt>
                <c:pt idx="115">
                  <c:v>15.611367581137152</c:v>
                </c:pt>
                <c:pt idx="116">
                  <c:v>15.480118393555696</c:v>
                </c:pt>
                <c:pt idx="117">
                  <c:v>14.973582290693715</c:v>
                </c:pt>
                <c:pt idx="118">
                  <c:v>15.087932633425323</c:v>
                </c:pt>
                <c:pt idx="119">
                  <c:v>14.050911767664683</c:v>
                </c:pt>
                <c:pt idx="120">
                  <c:v>14.34541658392048</c:v>
                </c:pt>
                <c:pt idx="121">
                  <c:v>15.506909956442566</c:v>
                </c:pt>
                <c:pt idx="122">
                  <c:v>14.032376665607845</c:v>
                </c:pt>
                <c:pt idx="123">
                  <c:v>15.026518323144131</c:v>
                </c:pt>
                <c:pt idx="124">
                  <c:v>14.948824353172185</c:v>
                </c:pt>
                <c:pt idx="125">
                  <c:v>15.678231421201595</c:v>
                </c:pt>
                <c:pt idx="126">
                  <c:v>14.076188500235498</c:v>
                </c:pt>
                <c:pt idx="127">
                  <c:v>14.534322824339386</c:v>
                </c:pt>
                <c:pt idx="128">
                  <c:v>14.856532658637748</c:v>
                </c:pt>
                <c:pt idx="129">
                  <c:v>13.913803085904666</c:v>
                </c:pt>
                <c:pt idx="130">
                  <c:v>15.016048667110997</c:v>
                </c:pt>
                <c:pt idx="131">
                  <c:v>14.491648496652378</c:v>
                </c:pt>
                <c:pt idx="132">
                  <c:v>15.199115471543804</c:v>
                </c:pt>
                <c:pt idx="133">
                  <c:v>15.033065570261082</c:v>
                </c:pt>
                <c:pt idx="134">
                  <c:v>14.018526121130511</c:v>
                </c:pt>
                <c:pt idx="135">
                  <c:v>15.219311766739716</c:v>
                </c:pt>
                <c:pt idx="136">
                  <c:v>14.652538607887767</c:v>
                </c:pt>
                <c:pt idx="137">
                  <c:v>14.845199138390447</c:v>
                </c:pt>
                <c:pt idx="138">
                  <c:v>14.367565537229103</c:v>
                </c:pt>
                <c:pt idx="139">
                  <c:v>14.231760595650776</c:v>
                </c:pt>
                <c:pt idx="140">
                  <c:v>14.620756126526752</c:v>
                </c:pt>
                <c:pt idx="141">
                  <c:v>14.395774181565233</c:v>
                </c:pt>
                <c:pt idx="142">
                  <c:v>14.475259651657291</c:v>
                </c:pt>
                <c:pt idx="143">
                  <c:v>13.486229216344697</c:v>
                </c:pt>
                <c:pt idx="144">
                  <c:v>14.992312231891331</c:v>
                </c:pt>
                <c:pt idx="145">
                  <c:v>14.964329218480039</c:v>
                </c:pt>
                <c:pt idx="146">
                  <c:v>13.346642811489303</c:v>
                </c:pt>
                <c:pt idx="147">
                  <c:v>15.342530179979395</c:v>
                </c:pt>
                <c:pt idx="148">
                  <c:v>13.939537065541888</c:v>
                </c:pt>
                <c:pt idx="149">
                  <c:v>13.956459566098198</c:v>
                </c:pt>
                <c:pt idx="150">
                  <c:v>14.630579641950126</c:v>
                </c:pt>
                <c:pt idx="151">
                  <c:v>14.925027052110771</c:v>
                </c:pt>
                <c:pt idx="152">
                  <c:v>15.027213021585123</c:v>
                </c:pt>
                <c:pt idx="153">
                  <c:v>14.297255846265118</c:v>
                </c:pt>
                <c:pt idx="154">
                  <c:v>14.625490617208472</c:v>
                </c:pt>
                <c:pt idx="155">
                  <c:v>13.917187807547219</c:v>
                </c:pt>
                <c:pt idx="156">
                  <c:v>14.179978164137346</c:v>
                </c:pt>
                <c:pt idx="157">
                  <c:v>13.571237604436259</c:v>
                </c:pt>
                <c:pt idx="158">
                  <c:v>14.458348050695804</c:v>
                </c:pt>
                <c:pt idx="159">
                  <c:v>14.857658755836251</c:v>
                </c:pt>
                <c:pt idx="160">
                  <c:v>14.923236732431761</c:v>
                </c:pt>
                <c:pt idx="161">
                  <c:v>14.46029509996905</c:v>
                </c:pt>
                <c:pt idx="162">
                  <c:v>13.845486107032549</c:v>
                </c:pt>
                <c:pt idx="163">
                  <c:v>13.804497935150263</c:v>
                </c:pt>
                <c:pt idx="164">
                  <c:v>14.286108489036668</c:v>
                </c:pt>
                <c:pt idx="165">
                  <c:v>15.211230186374168</c:v>
                </c:pt>
                <c:pt idx="166">
                  <c:v>13.070169289447811</c:v>
                </c:pt>
                <c:pt idx="167">
                  <c:v>15.062509466317088</c:v>
                </c:pt>
                <c:pt idx="168">
                  <c:v>14.166643313228541</c:v>
                </c:pt>
                <c:pt idx="169">
                  <c:v>14.708396086424516</c:v>
                </c:pt>
                <c:pt idx="170">
                  <c:v>14.354782960037376</c:v>
                </c:pt>
                <c:pt idx="171">
                  <c:v>15.31107341446671</c:v>
                </c:pt>
                <c:pt idx="172">
                  <c:v>13.803674059115684</c:v>
                </c:pt>
                <c:pt idx="173">
                  <c:v>15.322570828483604</c:v>
                </c:pt>
                <c:pt idx="174">
                  <c:v>13.690250229008392</c:v>
                </c:pt>
                <c:pt idx="175">
                  <c:v>13.50824255845508</c:v>
                </c:pt>
                <c:pt idx="176">
                  <c:v>14.021188848851237</c:v>
                </c:pt>
                <c:pt idx="177">
                  <c:v>13.595016353905587</c:v>
                </c:pt>
                <c:pt idx="178">
                  <c:v>14.739602157456421</c:v>
                </c:pt>
                <c:pt idx="179">
                  <c:v>15.615352448523369</c:v>
                </c:pt>
                <c:pt idx="180">
                  <c:v>14.982337896101738</c:v>
                </c:pt>
                <c:pt idx="181">
                  <c:v>14.562109722829161</c:v>
                </c:pt>
                <c:pt idx="182">
                  <c:v>14.879290019936152</c:v>
                </c:pt>
                <c:pt idx="183">
                  <c:v>14.589481730809739</c:v>
                </c:pt>
                <c:pt idx="184">
                  <c:v>15.603907320716576</c:v>
                </c:pt>
                <c:pt idx="185">
                  <c:v>14.614319591157125</c:v>
                </c:pt>
                <c:pt idx="186">
                  <c:v>14.905643206345371</c:v>
                </c:pt>
                <c:pt idx="187">
                  <c:v>14.872760264255614</c:v>
                </c:pt>
                <c:pt idx="188">
                  <c:v>14.198261560114879</c:v>
                </c:pt>
                <c:pt idx="189">
                  <c:v>14.625339055652079</c:v>
                </c:pt>
                <c:pt idx="190">
                  <c:v>13.8714798071089</c:v>
                </c:pt>
                <c:pt idx="191">
                  <c:v>14.56071120866309</c:v>
                </c:pt>
                <c:pt idx="192">
                  <c:v>14.389932375523731</c:v>
                </c:pt>
                <c:pt idx="193">
                  <c:v>14.955856042373997</c:v>
                </c:pt>
                <c:pt idx="194">
                  <c:v>13.918906741490657</c:v>
                </c:pt>
                <c:pt idx="195">
                  <c:v>15.076929561981002</c:v>
                </c:pt>
                <c:pt idx="196">
                  <c:v>14.725896005324184</c:v>
                </c:pt>
                <c:pt idx="197">
                  <c:v>14.164525578384215</c:v>
                </c:pt>
                <c:pt idx="198">
                  <c:v>13.937870770297867</c:v>
                </c:pt>
                <c:pt idx="199">
                  <c:v>15.540102212517869</c:v>
                </c:pt>
                <c:pt idx="200">
                  <c:v>15.093447144515789</c:v>
                </c:pt>
                <c:pt idx="201">
                  <c:v>13.859000021224093</c:v>
                </c:pt>
                <c:pt idx="202">
                  <c:v>14.521858563481628</c:v>
                </c:pt>
                <c:pt idx="203">
                  <c:v>15.117821245846926</c:v>
                </c:pt>
                <c:pt idx="204">
                  <c:v>14.858230525667414</c:v>
                </c:pt>
                <c:pt idx="205">
                  <c:v>15.529247031662885</c:v>
                </c:pt>
                <c:pt idx="206">
                  <c:v>15.428305263686255</c:v>
                </c:pt>
                <c:pt idx="207">
                  <c:v>14.22548752547578</c:v>
                </c:pt>
                <c:pt idx="208">
                  <c:v>14.965135462230265</c:v>
                </c:pt>
                <c:pt idx="209">
                  <c:v>15.127941134744862</c:v>
                </c:pt>
                <c:pt idx="210">
                  <c:v>15.023047947375945</c:v>
                </c:pt>
                <c:pt idx="211">
                  <c:v>14.769906672215864</c:v>
                </c:pt>
                <c:pt idx="212">
                  <c:v>14.62885000816412</c:v>
                </c:pt>
                <c:pt idx="213">
                  <c:v>14.824813645678374</c:v>
                </c:pt>
                <c:pt idx="214">
                  <c:v>14.469575448304282</c:v>
                </c:pt>
                <c:pt idx="215">
                  <c:v>15.467391602209378</c:v>
                </c:pt>
                <c:pt idx="216">
                  <c:v>15.712712407330581</c:v>
                </c:pt>
                <c:pt idx="217">
                  <c:v>14.250399652590779</c:v>
                </c:pt>
                <c:pt idx="218">
                  <c:v>15.241671871705954</c:v>
                </c:pt>
                <c:pt idx="219">
                  <c:v>15.023513334290886</c:v>
                </c:pt>
                <c:pt idx="220">
                  <c:v>14.995208629386902</c:v>
                </c:pt>
                <c:pt idx="221">
                  <c:v>14.027231656476344</c:v>
                </c:pt>
                <c:pt idx="222">
                  <c:v>14.908649622708987</c:v>
                </c:pt>
                <c:pt idx="223">
                  <c:v>15.058595183476267</c:v>
                </c:pt>
                <c:pt idx="224">
                  <c:v>14.262150509256642</c:v>
                </c:pt>
                <c:pt idx="225">
                  <c:v>13.716136029114514</c:v>
                </c:pt>
                <c:pt idx="226">
                  <c:v>14.629283650644291</c:v>
                </c:pt>
                <c:pt idx="227">
                  <c:v>15.807702072392232</c:v>
                </c:pt>
                <c:pt idx="228">
                  <c:v>14.550399051817442</c:v>
                </c:pt>
                <c:pt idx="229">
                  <c:v>13.700665975764831</c:v>
                </c:pt>
                <c:pt idx="230">
                  <c:v>15.403352964511575</c:v>
                </c:pt>
                <c:pt idx="231">
                  <c:v>14.60607155034668</c:v>
                </c:pt>
                <c:pt idx="232">
                  <c:v>15.20127576891683</c:v>
                </c:pt>
                <c:pt idx="233">
                  <c:v>14.613360271099971</c:v>
                </c:pt>
                <c:pt idx="234">
                  <c:v>14.635662079246059</c:v>
                </c:pt>
                <c:pt idx="235">
                  <c:v>13.633440391258389</c:v>
                </c:pt>
                <c:pt idx="236">
                  <c:v>13.520829872315206</c:v>
                </c:pt>
                <c:pt idx="237">
                  <c:v>15.230575782435224</c:v>
                </c:pt>
                <c:pt idx="238">
                  <c:v>13.826454418129105</c:v>
                </c:pt>
                <c:pt idx="239">
                  <c:v>14.015321358840263</c:v>
                </c:pt>
                <c:pt idx="240">
                  <c:v>14.563326169752527</c:v>
                </c:pt>
                <c:pt idx="241">
                  <c:v>15.23053937474606</c:v>
                </c:pt>
                <c:pt idx="242">
                  <c:v>13.61439317011639</c:v>
                </c:pt>
                <c:pt idx="243">
                  <c:v>14.165846114878667</c:v>
                </c:pt>
                <c:pt idx="244">
                  <c:v>14.422284050373554</c:v>
                </c:pt>
                <c:pt idx="245">
                  <c:v>14.189331408168158</c:v>
                </c:pt>
                <c:pt idx="246">
                  <c:v>14.120386033505232</c:v>
                </c:pt>
                <c:pt idx="247">
                  <c:v>14.147116857456224</c:v>
                </c:pt>
                <c:pt idx="248">
                  <c:v>15.266291734708368</c:v>
                </c:pt>
                <c:pt idx="249">
                  <c:v>13.976570156272407</c:v>
                </c:pt>
                <c:pt idx="250">
                  <c:v>16.007110486179588</c:v>
                </c:pt>
                <c:pt idx="251">
                  <c:v>15.671037290915955</c:v>
                </c:pt>
                <c:pt idx="252">
                  <c:v>15.104191066676885</c:v>
                </c:pt>
                <c:pt idx="253">
                  <c:v>14.378163908754972</c:v>
                </c:pt>
                <c:pt idx="254">
                  <c:v>14.74205761036972</c:v>
                </c:pt>
                <c:pt idx="255">
                  <c:v>14.875289458024225</c:v>
                </c:pt>
                <c:pt idx="256">
                  <c:v>14.159250380574161</c:v>
                </c:pt>
                <c:pt idx="257">
                  <c:v>14.76192483118716</c:v>
                </c:pt>
                <c:pt idx="258">
                  <c:v>14.881871908807895</c:v>
                </c:pt>
                <c:pt idx="259">
                  <c:v>13.999267147698998</c:v>
                </c:pt>
                <c:pt idx="260">
                  <c:v>14.49500627092325</c:v>
                </c:pt>
                <c:pt idx="261">
                  <c:v>15.670671700167757</c:v>
                </c:pt>
                <c:pt idx="262">
                  <c:v>15.000590301338622</c:v>
                </c:pt>
                <c:pt idx="263">
                  <c:v>14.925847306232049</c:v>
                </c:pt>
                <c:pt idx="264">
                  <c:v>14.835154083292945</c:v>
                </c:pt>
                <c:pt idx="265">
                  <c:v>15.180529463774377</c:v>
                </c:pt>
                <c:pt idx="266">
                  <c:v>15.43557302135717</c:v>
                </c:pt>
                <c:pt idx="267">
                  <c:v>13.893266489140272</c:v>
                </c:pt>
                <c:pt idx="268">
                  <c:v>15.177741911424652</c:v>
                </c:pt>
                <c:pt idx="269">
                  <c:v>14.975675704926077</c:v>
                </c:pt>
                <c:pt idx="270">
                  <c:v>15.593997922904359</c:v>
                </c:pt>
                <c:pt idx="271">
                  <c:v>14.387482444959019</c:v>
                </c:pt>
                <c:pt idx="272">
                  <c:v>14.339616362555848</c:v>
                </c:pt>
                <c:pt idx="273">
                  <c:v>14.538527841742379</c:v>
                </c:pt>
                <c:pt idx="274">
                  <c:v>14.638570165530485</c:v>
                </c:pt>
                <c:pt idx="275">
                  <c:v>15.034451497293883</c:v>
                </c:pt>
                <c:pt idx="276">
                  <c:v>14.833356398029949</c:v>
                </c:pt>
                <c:pt idx="277">
                  <c:v>14.509724471625237</c:v>
                </c:pt>
                <c:pt idx="278">
                  <c:v>14.433886644281774</c:v>
                </c:pt>
                <c:pt idx="279">
                  <c:v>15.618948962341243</c:v>
                </c:pt>
                <c:pt idx="280">
                  <c:v>15.015016250004297</c:v>
                </c:pt>
                <c:pt idx="281">
                  <c:v>15.132815094991802</c:v>
                </c:pt>
                <c:pt idx="282">
                  <c:v>15.307163930601391</c:v>
                </c:pt>
                <c:pt idx="283">
                  <c:v>14.306672971207215</c:v>
                </c:pt>
                <c:pt idx="284">
                  <c:v>15.398412156999498</c:v>
                </c:pt>
                <c:pt idx="285">
                  <c:v>15.42817527451817</c:v>
                </c:pt>
                <c:pt idx="286">
                  <c:v>15.97618038454304</c:v>
                </c:pt>
                <c:pt idx="287">
                  <c:v>15.468635045543106</c:v>
                </c:pt>
                <c:pt idx="288">
                  <c:v>15.176979667485572</c:v>
                </c:pt>
                <c:pt idx="289">
                  <c:v>14.802334096362786</c:v>
                </c:pt>
                <c:pt idx="290">
                  <c:v>14.690426293991441</c:v>
                </c:pt>
                <c:pt idx="291">
                  <c:v>14.872016649885605</c:v>
                </c:pt>
                <c:pt idx="292">
                  <c:v>14.496734509060849</c:v>
                </c:pt>
                <c:pt idx="293">
                  <c:v>14.256181674398022</c:v>
                </c:pt>
                <c:pt idx="294">
                  <c:v>14.418429023807297</c:v>
                </c:pt>
                <c:pt idx="295">
                  <c:v>14.072495363285926</c:v>
                </c:pt>
                <c:pt idx="296">
                  <c:v>13.411143372383805</c:v>
                </c:pt>
                <c:pt idx="297">
                  <c:v>14.430710693003391</c:v>
                </c:pt>
                <c:pt idx="298">
                  <c:v>14.393289058406911</c:v>
                </c:pt>
                <c:pt idx="299">
                  <c:v>13.915672908812569</c:v>
                </c:pt>
                <c:pt idx="300">
                  <c:v>14.619087155697308</c:v>
                </c:pt>
                <c:pt idx="301">
                  <c:v>14.727279438034344</c:v>
                </c:pt>
                <c:pt idx="302">
                  <c:v>14.985245596270717</c:v>
                </c:pt>
                <c:pt idx="303">
                  <c:v>14.277568021884612</c:v>
                </c:pt>
                <c:pt idx="304">
                  <c:v>14.851364057326691</c:v>
                </c:pt>
                <c:pt idx="305">
                  <c:v>15.055937759451341</c:v>
                </c:pt>
                <c:pt idx="306">
                  <c:v>14.557299873442478</c:v>
                </c:pt>
                <c:pt idx="307">
                  <c:v>13.408989083846304</c:v>
                </c:pt>
                <c:pt idx="308">
                  <c:v>15.220381993524459</c:v>
                </c:pt>
                <c:pt idx="309">
                  <c:v>15.288817773412395</c:v>
                </c:pt>
                <c:pt idx="310">
                  <c:v>15.571314883179282</c:v>
                </c:pt>
                <c:pt idx="311">
                  <c:v>15.370357342329616</c:v>
                </c:pt>
                <c:pt idx="312">
                  <c:v>15.256133066514762</c:v>
                </c:pt>
                <c:pt idx="313">
                  <c:v>15.073238185517544</c:v>
                </c:pt>
                <c:pt idx="314">
                  <c:v>14.734333027303606</c:v>
                </c:pt>
                <c:pt idx="315">
                  <c:v>15.068863914497038</c:v>
                </c:pt>
                <c:pt idx="316">
                  <c:v>14.12283551606191</c:v>
                </c:pt>
                <c:pt idx="317">
                  <c:v>14.921987073377501</c:v>
                </c:pt>
                <c:pt idx="318">
                  <c:v>14.550207286640818</c:v>
                </c:pt>
                <c:pt idx="319">
                  <c:v>15.269484640818616</c:v>
                </c:pt>
                <c:pt idx="320">
                  <c:v>14.089223125228118</c:v>
                </c:pt>
                <c:pt idx="321">
                  <c:v>13.836349746962377</c:v>
                </c:pt>
                <c:pt idx="322">
                  <c:v>14.996655964431902</c:v>
                </c:pt>
                <c:pt idx="323">
                  <c:v>15.760612721281827</c:v>
                </c:pt>
                <c:pt idx="324">
                  <c:v>14.1409301841699</c:v>
                </c:pt>
                <c:pt idx="325">
                  <c:v>14.815328303725549</c:v>
                </c:pt>
                <c:pt idx="326">
                  <c:v>14.588202168122601</c:v>
                </c:pt>
                <c:pt idx="327">
                  <c:v>14.956294922986503</c:v>
                </c:pt>
                <c:pt idx="328">
                  <c:v>14.303710917187574</c:v>
                </c:pt>
                <c:pt idx="329">
                  <c:v>14.405984293211814</c:v>
                </c:pt>
                <c:pt idx="330">
                  <c:v>14.562386930101001</c:v>
                </c:pt>
                <c:pt idx="331">
                  <c:v>14.500942602077476</c:v>
                </c:pt>
                <c:pt idx="332">
                  <c:v>14.201466715156664</c:v>
                </c:pt>
                <c:pt idx="333">
                  <c:v>14.981109719885994</c:v>
                </c:pt>
                <c:pt idx="334">
                  <c:v>14.783894311530592</c:v>
                </c:pt>
                <c:pt idx="335">
                  <c:v>14.349893748767451</c:v>
                </c:pt>
                <c:pt idx="336">
                  <c:v>15.401097968765674</c:v>
                </c:pt>
                <c:pt idx="337">
                  <c:v>14.532579042562968</c:v>
                </c:pt>
                <c:pt idx="338">
                  <c:v>14.926861489374469</c:v>
                </c:pt>
                <c:pt idx="339">
                  <c:v>14.868097928615715</c:v>
                </c:pt>
                <c:pt idx="340">
                  <c:v>14.822532970250036</c:v>
                </c:pt>
                <c:pt idx="341">
                  <c:v>13.98038542141256</c:v>
                </c:pt>
                <c:pt idx="342">
                  <c:v>14.62528367513371</c:v>
                </c:pt>
                <c:pt idx="343">
                  <c:v>15.204249097681778</c:v>
                </c:pt>
                <c:pt idx="344">
                  <c:v>13.680697859560205</c:v>
                </c:pt>
                <c:pt idx="345">
                  <c:v>15.400036732207667</c:v>
                </c:pt>
                <c:pt idx="346">
                  <c:v>14.985519449692797</c:v>
                </c:pt>
                <c:pt idx="347">
                  <c:v>14.50412957649189</c:v>
                </c:pt>
                <c:pt idx="348">
                  <c:v>14.077738869262898</c:v>
                </c:pt>
                <c:pt idx="349">
                  <c:v>15.127980135698458</c:v>
                </c:pt>
                <c:pt idx="350">
                  <c:v>14.159200101425599</c:v>
                </c:pt>
                <c:pt idx="351">
                  <c:v>15.759516979757084</c:v>
                </c:pt>
                <c:pt idx="352">
                  <c:v>13.791447759109557</c:v>
                </c:pt>
                <c:pt idx="353">
                  <c:v>14.574895090095358</c:v>
                </c:pt>
                <c:pt idx="354">
                  <c:v>14.115247539876369</c:v>
                </c:pt>
                <c:pt idx="355">
                  <c:v>14.812892507544614</c:v>
                </c:pt>
                <c:pt idx="356">
                  <c:v>14.862870140515042</c:v>
                </c:pt>
                <c:pt idx="357">
                  <c:v>14.901708944992395</c:v>
                </c:pt>
                <c:pt idx="358">
                  <c:v>14.974072367085112</c:v>
                </c:pt>
                <c:pt idx="359">
                  <c:v>13.925376533702371</c:v>
                </c:pt>
                <c:pt idx="360">
                  <c:v>14.796281825312947</c:v>
                </c:pt>
                <c:pt idx="361">
                  <c:v>14.483264869609608</c:v>
                </c:pt>
                <c:pt idx="362">
                  <c:v>14.461460269015623</c:v>
                </c:pt>
                <c:pt idx="363">
                  <c:v>15.045989969858772</c:v>
                </c:pt>
                <c:pt idx="364">
                  <c:v>13.882893888625514</c:v>
                </c:pt>
                <c:pt idx="365">
                  <c:v>13.935139492587542</c:v>
                </c:pt>
                <c:pt idx="366">
                  <c:v>14.549145111347627</c:v>
                </c:pt>
                <c:pt idx="367">
                  <c:v>13.33337388725583</c:v>
                </c:pt>
                <c:pt idx="368">
                  <c:v>14.724532528809233</c:v>
                </c:pt>
                <c:pt idx="369">
                  <c:v>15.384975818788156</c:v>
                </c:pt>
                <c:pt idx="370">
                  <c:v>15.883054528184926</c:v>
                </c:pt>
                <c:pt idx="371">
                  <c:v>14.167756085682411</c:v>
                </c:pt>
                <c:pt idx="372">
                  <c:v>14.324439762558926</c:v>
                </c:pt>
                <c:pt idx="373">
                  <c:v>15.049936535649737</c:v>
                </c:pt>
                <c:pt idx="374">
                  <c:v>15.471126952221612</c:v>
                </c:pt>
                <c:pt idx="375">
                  <c:v>13.851669364422007</c:v>
                </c:pt>
                <c:pt idx="376">
                  <c:v>14.102091572958654</c:v>
                </c:pt>
                <c:pt idx="377">
                  <c:v>14.955802829463401</c:v>
                </c:pt>
                <c:pt idx="378">
                  <c:v>14.860870045464361</c:v>
                </c:pt>
                <c:pt idx="379">
                  <c:v>14.532074642592409</c:v>
                </c:pt>
                <c:pt idx="380">
                  <c:v>13.584251878438069</c:v>
                </c:pt>
                <c:pt idx="381">
                  <c:v>15.028712776454263</c:v>
                </c:pt>
                <c:pt idx="382">
                  <c:v>14.621761388289944</c:v>
                </c:pt>
                <c:pt idx="383">
                  <c:v>15.03413597287946</c:v>
                </c:pt>
                <c:pt idx="384">
                  <c:v>14.219875647691154</c:v>
                </c:pt>
                <c:pt idx="385">
                  <c:v>14.255440306076649</c:v>
                </c:pt>
                <c:pt idx="386">
                  <c:v>14.431574584817966</c:v>
                </c:pt>
                <c:pt idx="387">
                  <c:v>14.938854025111068</c:v>
                </c:pt>
                <c:pt idx="388">
                  <c:v>15.250071731594206</c:v>
                </c:pt>
                <c:pt idx="389">
                  <c:v>15.247663034765079</c:v>
                </c:pt>
                <c:pt idx="390">
                  <c:v>15.312977395180672</c:v>
                </c:pt>
                <c:pt idx="391">
                  <c:v>14.584176578471904</c:v>
                </c:pt>
                <c:pt idx="392">
                  <c:v>15.903276454822439</c:v>
                </c:pt>
                <c:pt idx="393">
                  <c:v>15.092117095887534</c:v>
                </c:pt>
                <c:pt idx="394">
                  <c:v>15.377885892751721</c:v>
                </c:pt>
                <c:pt idx="395">
                  <c:v>15.082360084196605</c:v>
                </c:pt>
                <c:pt idx="396">
                  <c:v>15.051986556059022</c:v>
                </c:pt>
                <c:pt idx="397">
                  <c:v>13.830244716330187</c:v>
                </c:pt>
                <c:pt idx="398">
                  <c:v>15.167664098505327</c:v>
                </c:pt>
                <c:pt idx="399">
                  <c:v>13.734609424226782</c:v>
                </c:pt>
                <c:pt idx="400">
                  <c:v>14.108747588142542</c:v>
                </c:pt>
                <c:pt idx="401">
                  <c:v>15.401330800771932</c:v>
                </c:pt>
                <c:pt idx="402">
                  <c:v>14.374850476007696</c:v>
                </c:pt>
                <c:pt idx="403">
                  <c:v>15.391720983628675</c:v>
                </c:pt>
                <c:pt idx="404">
                  <c:v>14.844305699633015</c:v>
                </c:pt>
                <c:pt idx="405">
                  <c:v>14.341463967217393</c:v>
                </c:pt>
                <c:pt idx="406">
                  <c:v>15.485586725131297</c:v>
                </c:pt>
                <c:pt idx="407">
                  <c:v>14.119607053289487</c:v>
                </c:pt>
                <c:pt idx="408">
                  <c:v>14.069407188491326</c:v>
                </c:pt>
                <c:pt idx="409">
                  <c:v>14.512517058569035</c:v>
                </c:pt>
                <c:pt idx="410">
                  <c:v>14.236260660192908</c:v>
                </c:pt>
                <c:pt idx="411">
                  <c:v>14.932141664573216</c:v>
                </c:pt>
                <c:pt idx="412">
                  <c:v>14.502041100815473</c:v>
                </c:pt>
                <c:pt idx="413">
                  <c:v>14.644827588853516</c:v>
                </c:pt>
                <c:pt idx="414">
                  <c:v>14.844280246692405</c:v>
                </c:pt>
                <c:pt idx="415">
                  <c:v>15.791126621107555</c:v>
                </c:pt>
                <c:pt idx="416">
                  <c:v>14.480543816540656</c:v>
                </c:pt>
                <c:pt idx="417">
                  <c:v>14.679679159871656</c:v>
                </c:pt>
                <c:pt idx="418">
                  <c:v>14.042093066160453</c:v>
                </c:pt>
                <c:pt idx="419">
                  <c:v>14.067560947430469</c:v>
                </c:pt>
                <c:pt idx="420">
                  <c:v>13.154143187445353</c:v>
                </c:pt>
                <c:pt idx="421">
                  <c:v>14.320514382075544</c:v>
                </c:pt>
                <c:pt idx="422">
                  <c:v>15.339954897443057</c:v>
                </c:pt>
                <c:pt idx="423">
                  <c:v>15.301519056528045</c:v>
                </c:pt>
                <c:pt idx="424">
                  <c:v>14.995095179501876</c:v>
                </c:pt>
                <c:pt idx="425">
                  <c:v>15.507784958186747</c:v>
                </c:pt>
                <c:pt idx="426">
                  <c:v>15.479612796209054</c:v>
                </c:pt>
                <c:pt idx="427">
                  <c:v>15.52928678414135</c:v>
                </c:pt>
                <c:pt idx="428">
                  <c:v>14.581481565223214</c:v>
                </c:pt>
                <c:pt idx="429">
                  <c:v>15.135103839698861</c:v>
                </c:pt>
                <c:pt idx="430">
                  <c:v>14.637413819676901</c:v>
                </c:pt>
                <c:pt idx="431">
                  <c:v>14.800190140472662</c:v>
                </c:pt>
                <c:pt idx="432">
                  <c:v>14.645970384874019</c:v>
                </c:pt>
                <c:pt idx="433">
                  <c:v>13.810134280265391</c:v>
                </c:pt>
                <c:pt idx="434">
                  <c:v>15.653920863195028</c:v>
                </c:pt>
                <c:pt idx="435">
                  <c:v>14.952289519243907</c:v>
                </c:pt>
                <c:pt idx="436">
                  <c:v>14.677212870057637</c:v>
                </c:pt>
                <c:pt idx="437">
                  <c:v>15.115749282626279</c:v>
                </c:pt>
                <c:pt idx="438">
                  <c:v>14.877515521758536</c:v>
                </c:pt>
                <c:pt idx="439">
                  <c:v>15.897895650004491</c:v>
                </c:pt>
                <c:pt idx="440">
                  <c:v>14.567325511509887</c:v>
                </c:pt>
                <c:pt idx="441">
                  <c:v>15.052293238605429</c:v>
                </c:pt>
                <c:pt idx="442">
                  <c:v>14.767546024223536</c:v>
                </c:pt>
                <c:pt idx="443">
                  <c:v>14.649406165547514</c:v>
                </c:pt>
                <c:pt idx="444">
                  <c:v>14.876939121531828</c:v>
                </c:pt>
                <c:pt idx="445">
                  <c:v>15.09503286995583</c:v>
                </c:pt>
                <c:pt idx="446">
                  <c:v>14.654104243080091</c:v>
                </c:pt>
                <c:pt idx="447">
                  <c:v>14.192864372758887</c:v>
                </c:pt>
                <c:pt idx="448">
                  <c:v>14.436706249602647</c:v>
                </c:pt>
                <c:pt idx="449">
                  <c:v>14.559428531574246</c:v>
                </c:pt>
                <c:pt idx="450">
                  <c:v>13.776417521031835</c:v>
                </c:pt>
                <c:pt idx="451">
                  <c:v>15.06084575532484</c:v>
                </c:pt>
                <c:pt idx="452">
                  <c:v>14.401450615861114</c:v>
                </c:pt>
                <c:pt idx="453">
                  <c:v>15.28260235031998</c:v>
                </c:pt>
                <c:pt idx="454">
                  <c:v>13.860457972937349</c:v>
                </c:pt>
                <c:pt idx="455">
                  <c:v>14.924844004601796</c:v>
                </c:pt>
                <c:pt idx="456">
                  <c:v>14.593899082286409</c:v>
                </c:pt>
                <c:pt idx="457">
                  <c:v>15.066964943369207</c:v>
                </c:pt>
                <c:pt idx="458">
                  <c:v>14.848442859056259</c:v>
                </c:pt>
                <c:pt idx="459">
                  <c:v>14.667150846151646</c:v>
                </c:pt>
                <c:pt idx="460">
                  <c:v>14.369569828242799</c:v>
                </c:pt>
                <c:pt idx="461">
                  <c:v>15.200224999225647</c:v>
                </c:pt>
                <c:pt idx="462">
                  <c:v>14.734188960567868</c:v>
                </c:pt>
                <c:pt idx="463">
                  <c:v>15.133031825196753</c:v>
                </c:pt>
                <c:pt idx="464">
                  <c:v>15.136443876331501</c:v>
                </c:pt>
                <c:pt idx="465">
                  <c:v>15.104056279104819</c:v>
                </c:pt>
                <c:pt idx="466">
                  <c:v>14.068099989190518</c:v>
                </c:pt>
                <c:pt idx="467">
                  <c:v>15.369877328244153</c:v>
                </c:pt>
                <c:pt idx="468">
                  <c:v>14.255409600358837</c:v>
                </c:pt>
                <c:pt idx="469">
                  <c:v>14.909218757663592</c:v>
                </c:pt>
                <c:pt idx="470">
                  <c:v>14.661320635934061</c:v>
                </c:pt>
                <c:pt idx="471">
                  <c:v>14.999037060724891</c:v>
                </c:pt>
                <c:pt idx="472">
                  <c:v>13.061651688905924</c:v>
                </c:pt>
                <c:pt idx="473">
                  <c:v>14.969018324706964</c:v>
                </c:pt>
                <c:pt idx="474">
                  <c:v>15.190327828467405</c:v>
                </c:pt>
                <c:pt idx="475">
                  <c:v>14.740985129857398</c:v>
                </c:pt>
                <c:pt idx="476">
                  <c:v>14.170865996944027</c:v>
                </c:pt>
                <c:pt idx="477">
                  <c:v>15.075860257630904</c:v>
                </c:pt>
                <c:pt idx="478">
                  <c:v>14.578568194973224</c:v>
                </c:pt>
                <c:pt idx="479">
                  <c:v>14.881804723558826</c:v>
                </c:pt>
                <c:pt idx="480">
                  <c:v>14.942221743139426</c:v>
                </c:pt>
                <c:pt idx="481">
                  <c:v>13.795905394290747</c:v>
                </c:pt>
                <c:pt idx="482">
                  <c:v>14.379360231968899</c:v>
                </c:pt>
                <c:pt idx="483">
                  <c:v>14.981087360450704</c:v>
                </c:pt>
                <c:pt idx="484">
                  <c:v>13.902398422350213</c:v>
                </c:pt>
                <c:pt idx="485">
                  <c:v>14.919778829439826</c:v>
                </c:pt>
                <c:pt idx="486">
                  <c:v>15.143446250415911</c:v>
                </c:pt>
                <c:pt idx="487">
                  <c:v>14.845374544796448</c:v>
                </c:pt>
                <c:pt idx="488">
                  <c:v>13.985432281793431</c:v>
                </c:pt>
                <c:pt idx="489">
                  <c:v>14.480096469081023</c:v>
                </c:pt>
                <c:pt idx="490">
                  <c:v>15.761017772284914</c:v>
                </c:pt>
                <c:pt idx="491">
                  <c:v>14.96382439705101</c:v>
                </c:pt>
                <c:pt idx="492">
                  <c:v>15.092950171386926</c:v>
                </c:pt>
                <c:pt idx="493">
                  <c:v>15.521860928803095</c:v>
                </c:pt>
                <c:pt idx="494">
                  <c:v>14.569376266966605</c:v>
                </c:pt>
                <c:pt idx="495">
                  <c:v>14.764001958073248</c:v>
                </c:pt>
                <c:pt idx="496">
                  <c:v>15.357663625776112</c:v>
                </c:pt>
                <c:pt idx="497">
                  <c:v>14.14583403834178</c:v>
                </c:pt>
                <c:pt idx="498">
                  <c:v>15.048208270688583</c:v>
                </c:pt>
                <c:pt idx="499">
                  <c:v>14.736985920397883</c:v>
                </c:pt>
                <c:pt idx="500">
                  <c:v>15.135799960188002</c:v>
                </c:pt>
                <c:pt idx="501">
                  <c:v>14.260336400674637</c:v>
                </c:pt>
                <c:pt idx="502">
                  <c:v>14.11178963493794</c:v>
                </c:pt>
                <c:pt idx="503">
                  <c:v>13.948124664108958</c:v>
                </c:pt>
                <c:pt idx="504">
                  <c:v>13.588861156484013</c:v>
                </c:pt>
                <c:pt idx="505">
                  <c:v>14.902163126670857</c:v>
                </c:pt>
                <c:pt idx="506">
                  <c:v>14.816858168661216</c:v>
                </c:pt>
                <c:pt idx="507">
                  <c:v>15.625726061638749</c:v>
                </c:pt>
                <c:pt idx="508">
                  <c:v>13.749103075623122</c:v>
                </c:pt>
                <c:pt idx="509">
                  <c:v>14.859087809287525</c:v>
                </c:pt>
                <c:pt idx="510">
                  <c:v>15.362154038282615</c:v>
                </c:pt>
                <c:pt idx="511">
                  <c:v>14.315472041803279</c:v>
                </c:pt>
                <c:pt idx="512">
                  <c:v>14.490561614639891</c:v>
                </c:pt>
                <c:pt idx="513">
                  <c:v>14.250502095039918</c:v>
                </c:pt>
                <c:pt idx="514">
                  <c:v>14.99061632242436</c:v>
                </c:pt>
                <c:pt idx="515">
                  <c:v>14.977277337627122</c:v>
                </c:pt>
                <c:pt idx="516">
                  <c:v>15.0527096857793</c:v>
                </c:pt>
                <c:pt idx="517">
                  <c:v>14.536545430365901</c:v>
                </c:pt>
                <c:pt idx="518">
                  <c:v>15.177439521561974</c:v>
                </c:pt>
                <c:pt idx="519">
                  <c:v>15.010158395825748</c:v>
                </c:pt>
                <c:pt idx="520">
                  <c:v>14.111318338693115</c:v>
                </c:pt>
                <c:pt idx="521">
                  <c:v>15.356798645595688</c:v>
                </c:pt>
                <c:pt idx="522">
                  <c:v>15.034405762205397</c:v>
                </c:pt>
                <c:pt idx="523">
                  <c:v>14.659265261092836</c:v>
                </c:pt>
                <c:pt idx="524">
                  <c:v>14.111797174288268</c:v>
                </c:pt>
                <c:pt idx="525">
                  <c:v>14.443352547440909</c:v>
                </c:pt>
                <c:pt idx="526">
                  <c:v>14.590766494888021</c:v>
                </c:pt>
                <c:pt idx="527">
                  <c:v>14.797628495473855</c:v>
                </c:pt>
                <c:pt idx="528">
                  <c:v>14.435514318065302</c:v>
                </c:pt>
                <c:pt idx="529">
                  <c:v>15.459110476368039</c:v>
                </c:pt>
                <c:pt idx="530">
                  <c:v>15.526879976151861</c:v>
                </c:pt>
                <c:pt idx="531">
                  <c:v>15.345214581587271</c:v>
                </c:pt>
                <c:pt idx="532">
                  <c:v>14.896731936634147</c:v>
                </c:pt>
                <c:pt idx="533">
                  <c:v>14.50242521035479</c:v>
                </c:pt>
                <c:pt idx="534">
                  <c:v>14.530061100891063</c:v>
                </c:pt>
                <c:pt idx="535">
                  <c:v>13.800520436304042</c:v>
                </c:pt>
                <c:pt idx="536">
                  <c:v>14.389532932464835</c:v>
                </c:pt>
                <c:pt idx="537">
                  <c:v>14.516595157256262</c:v>
                </c:pt>
                <c:pt idx="538">
                  <c:v>13.98652505802117</c:v>
                </c:pt>
                <c:pt idx="539">
                  <c:v>15.374071436422565</c:v>
                </c:pt>
                <c:pt idx="540">
                  <c:v>14.598337662094393</c:v>
                </c:pt>
                <c:pt idx="541">
                  <c:v>14.315511966252698</c:v>
                </c:pt>
                <c:pt idx="542">
                  <c:v>14.750999966569559</c:v>
                </c:pt>
                <c:pt idx="543">
                  <c:v>13.85653853899494</c:v>
                </c:pt>
                <c:pt idx="544">
                  <c:v>14.269181699107543</c:v>
                </c:pt>
                <c:pt idx="545">
                  <c:v>14.589442030418738</c:v>
                </c:pt>
                <c:pt idx="546">
                  <c:v>14.799120605093924</c:v>
                </c:pt>
                <c:pt idx="547">
                  <c:v>14.49565743082683</c:v>
                </c:pt>
                <c:pt idx="548">
                  <c:v>15.00503972856273</c:v>
                </c:pt>
                <c:pt idx="549">
                  <c:v>15.343542917241235</c:v>
                </c:pt>
                <c:pt idx="550">
                  <c:v>14.415009031371614</c:v>
                </c:pt>
                <c:pt idx="551">
                  <c:v>14.770661657064899</c:v>
                </c:pt>
                <c:pt idx="552">
                  <c:v>14.845420506382206</c:v>
                </c:pt>
                <c:pt idx="553">
                  <c:v>13.850909228739757</c:v>
                </c:pt>
                <c:pt idx="554">
                  <c:v>14.349421371432229</c:v>
                </c:pt>
                <c:pt idx="555">
                  <c:v>14.483032763114553</c:v>
                </c:pt>
                <c:pt idx="556">
                  <c:v>13.345335764997401</c:v>
                </c:pt>
                <c:pt idx="557">
                  <c:v>15.055312903107131</c:v>
                </c:pt>
                <c:pt idx="558">
                  <c:v>15.458844628377502</c:v>
                </c:pt>
                <c:pt idx="559">
                  <c:v>14.647337159947067</c:v>
                </c:pt>
                <c:pt idx="560">
                  <c:v>15.517997157939204</c:v>
                </c:pt>
                <c:pt idx="561">
                  <c:v>15.178315825281759</c:v>
                </c:pt>
                <c:pt idx="562">
                  <c:v>14.330428117560098</c:v>
                </c:pt>
                <c:pt idx="563">
                  <c:v>13.601731245097245</c:v>
                </c:pt>
                <c:pt idx="564">
                  <c:v>14.048978512379678</c:v>
                </c:pt>
                <c:pt idx="565">
                  <c:v>14.664595611608993</c:v>
                </c:pt>
                <c:pt idx="566">
                  <c:v>13.402811749240886</c:v>
                </c:pt>
                <c:pt idx="567">
                  <c:v>13.852057306898354</c:v>
                </c:pt>
                <c:pt idx="568">
                  <c:v>14.291433472233154</c:v>
                </c:pt>
                <c:pt idx="569">
                  <c:v>14.527357995744348</c:v>
                </c:pt>
                <c:pt idx="570">
                  <c:v>15.554269937777564</c:v>
                </c:pt>
                <c:pt idx="571">
                  <c:v>15.71763634380096</c:v>
                </c:pt>
                <c:pt idx="572">
                  <c:v>14.228262142267658</c:v>
                </c:pt>
                <c:pt idx="573">
                  <c:v>14.63214946044679</c:v>
                </c:pt>
                <c:pt idx="574">
                  <c:v>14.359067612831156</c:v>
                </c:pt>
                <c:pt idx="575">
                  <c:v>15.038901247796609</c:v>
                </c:pt>
                <c:pt idx="576">
                  <c:v>14.277260418493274</c:v>
                </c:pt>
                <c:pt idx="577">
                  <c:v>14.736624686224381</c:v>
                </c:pt>
                <c:pt idx="578">
                  <c:v>15.298223103204396</c:v>
                </c:pt>
                <c:pt idx="579">
                  <c:v>15.28694911277867</c:v>
                </c:pt>
                <c:pt idx="580">
                  <c:v>14.200090114790294</c:v>
                </c:pt>
                <c:pt idx="581">
                  <c:v>15.227614391033784</c:v>
                </c:pt>
                <c:pt idx="582">
                  <c:v>14.19347139655576</c:v>
                </c:pt>
                <c:pt idx="583">
                  <c:v>15.12504945076461</c:v>
                </c:pt>
                <c:pt idx="584">
                  <c:v>15.332887567996142</c:v>
                </c:pt>
                <c:pt idx="585">
                  <c:v>14.330176945178374</c:v>
                </c:pt>
                <c:pt idx="586">
                  <c:v>15.058479483520106</c:v>
                </c:pt>
                <c:pt idx="587">
                  <c:v>14.866070712341662</c:v>
                </c:pt>
                <c:pt idx="588">
                  <c:v>14.943071805880868</c:v>
                </c:pt>
                <c:pt idx="589">
                  <c:v>14.195926771056369</c:v>
                </c:pt>
                <c:pt idx="590">
                  <c:v>15.106119736153092</c:v>
                </c:pt>
                <c:pt idx="591">
                  <c:v>14.71147279399694</c:v>
                </c:pt>
                <c:pt idx="592">
                  <c:v>15.009471270164223</c:v>
                </c:pt>
                <c:pt idx="593">
                  <c:v>13.907987062562889</c:v>
                </c:pt>
                <c:pt idx="594">
                  <c:v>14.849482975799695</c:v>
                </c:pt>
                <c:pt idx="595">
                  <c:v>14.833078182806497</c:v>
                </c:pt>
                <c:pt idx="596">
                  <c:v>15.4210740840968</c:v>
                </c:pt>
                <c:pt idx="597">
                  <c:v>15.359728951228876</c:v>
                </c:pt>
                <c:pt idx="598">
                  <c:v>14.663882074541084</c:v>
                </c:pt>
                <c:pt idx="599">
                  <c:v>15.005708763601062</c:v>
                </c:pt>
                <c:pt idx="600">
                  <c:v>14.103369937891831</c:v>
                </c:pt>
                <c:pt idx="601">
                  <c:v>14.314501749019296</c:v>
                </c:pt>
                <c:pt idx="602">
                  <c:v>14.722419594934223</c:v>
                </c:pt>
                <c:pt idx="603">
                  <c:v>15.051559929869326</c:v>
                </c:pt>
                <c:pt idx="604">
                  <c:v>15.030345433050384</c:v>
                </c:pt>
                <c:pt idx="605">
                  <c:v>13.519134964512881</c:v>
                </c:pt>
                <c:pt idx="606">
                  <c:v>14.523104171873877</c:v>
                </c:pt>
                <c:pt idx="607">
                  <c:v>13.973000561182207</c:v>
                </c:pt>
                <c:pt idx="608">
                  <c:v>15.534524541533623</c:v>
                </c:pt>
                <c:pt idx="609">
                  <c:v>15.293001704029669</c:v>
                </c:pt>
                <c:pt idx="610">
                  <c:v>14.664863236708031</c:v>
                </c:pt>
                <c:pt idx="611">
                  <c:v>14.821811858306193</c:v>
                </c:pt>
                <c:pt idx="612">
                  <c:v>15.152746107646664</c:v>
                </c:pt>
                <c:pt idx="613">
                  <c:v>14.371936216328059</c:v>
                </c:pt>
                <c:pt idx="614">
                  <c:v>15.222783839742446</c:v>
                </c:pt>
                <c:pt idx="615">
                  <c:v>13.565158811070814</c:v>
                </c:pt>
                <c:pt idx="616">
                  <c:v>14.214544727176099</c:v>
                </c:pt>
                <c:pt idx="617">
                  <c:v>14.234347367402474</c:v>
                </c:pt>
                <c:pt idx="618">
                  <c:v>14.471886995336094</c:v>
                </c:pt>
                <c:pt idx="619">
                  <c:v>14.794666186430415</c:v>
                </c:pt>
                <c:pt idx="620">
                  <c:v>15.59079057209904</c:v>
                </c:pt>
                <c:pt idx="621">
                  <c:v>14.81992969906409</c:v>
                </c:pt>
                <c:pt idx="622">
                  <c:v>13.12233278932303</c:v>
                </c:pt>
                <c:pt idx="623">
                  <c:v>14.24741251537799</c:v>
                </c:pt>
                <c:pt idx="624">
                  <c:v>14.517036096776611</c:v>
                </c:pt>
                <c:pt idx="625">
                  <c:v>14.751519108441711</c:v>
                </c:pt>
                <c:pt idx="626">
                  <c:v>15.536525637295968</c:v>
                </c:pt>
                <c:pt idx="627">
                  <c:v>15.109625991406043</c:v>
                </c:pt>
                <c:pt idx="628">
                  <c:v>14.671231918724001</c:v>
                </c:pt>
                <c:pt idx="629">
                  <c:v>15.492356619691027</c:v>
                </c:pt>
                <c:pt idx="630">
                  <c:v>15.015189547659542</c:v>
                </c:pt>
                <c:pt idx="631">
                  <c:v>15.018056611545408</c:v>
                </c:pt>
                <c:pt idx="632">
                  <c:v>14.688384574131607</c:v>
                </c:pt>
                <c:pt idx="633">
                  <c:v>15.535619801364806</c:v>
                </c:pt>
                <c:pt idx="634">
                  <c:v>15.489896626411808</c:v>
                </c:pt>
                <c:pt idx="635">
                  <c:v>14.483311496438429</c:v>
                </c:pt>
                <c:pt idx="636">
                  <c:v>15.320627611816009</c:v>
                </c:pt>
                <c:pt idx="637">
                  <c:v>13.853546871110556</c:v>
                </c:pt>
                <c:pt idx="638">
                  <c:v>14.865293220862862</c:v>
                </c:pt>
                <c:pt idx="639">
                  <c:v>14.780520117093733</c:v>
                </c:pt>
                <c:pt idx="640">
                  <c:v>14.204765512918868</c:v>
                </c:pt>
                <c:pt idx="641">
                  <c:v>15.03372966916246</c:v>
                </c:pt>
                <c:pt idx="642">
                  <c:v>15.049937665331038</c:v>
                </c:pt>
                <c:pt idx="643">
                  <c:v>14.964522206327072</c:v>
                </c:pt>
                <c:pt idx="644">
                  <c:v>14.346038465312287</c:v>
                </c:pt>
                <c:pt idx="645">
                  <c:v>14.447331423059024</c:v>
                </c:pt>
                <c:pt idx="646">
                  <c:v>14.040274919203318</c:v>
                </c:pt>
                <c:pt idx="647">
                  <c:v>14.760737111531199</c:v>
                </c:pt>
                <c:pt idx="648">
                  <c:v>14.412859360316839</c:v>
                </c:pt>
                <c:pt idx="649">
                  <c:v>14.784495881842004</c:v>
                </c:pt>
                <c:pt idx="650">
                  <c:v>15.333639969264988</c:v>
                </c:pt>
                <c:pt idx="651">
                  <c:v>14.290806949579794</c:v>
                </c:pt>
                <c:pt idx="652">
                  <c:v>15.02424032225931</c:v>
                </c:pt>
                <c:pt idx="653">
                  <c:v>14.719659656763458</c:v>
                </c:pt>
                <c:pt idx="654">
                  <c:v>14.974108254181669</c:v>
                </c:pt>
                <c:pt idx="655">
                  <c:v>15.137344685381866</c:v>
                </c:pt>
                <c:pt idx="656">
                  <c:v>14.213870741818466</c:v>
                </c:pt>
                <c:pt idx="657">
                  <c:v>14.637516217791102</c:v>
                </c:pt>
                <c:pt idx="658">
                  <c:v>15.236163762298471</c:v>
                </c:pt>
                <c:pt idx="659">
                  <c:v>13.729779487708445</c:v>
                </c:pt>
                <c:pt idx="660">
                  <c:v>14.369184339375142</c:v>
                </c:pt>
                <c:pt idx="661">
                  <c:v>14.494109904567562</c:v>
                </c:pt>
                <c:pt idx="662">
                  <c:v>15.844316368442684</c:v>
                </c:pt>
                <c:pt idx="663">
                  <c:v>15.597485733521792</c:v>
                </c:pt>
                <c:pt idx="664">
                  <c:v>14.510546030920542</c:v>
                </c:pt>
                <c:pt idx="665">
                  <c:v>14.923507756419854</c:v>
                </c:pt>
                <c:pt idx="666">
                  <c:v>15.130331126930942</c:v>
                </c:pt>
                <c:pt idx="667">
                  <c:v>14.409605257837402</c:v>
                </c:pt>
                <c:pt idx="668">
                  <c:v>14.570200839201403</c:v>
                </c:pt>
                <c:pt idx="669">
                  <c:v>14.094766392876924</c:v>
                </c:pt>
                <c:pt idx="670">
                  <c:v>14.340525036463575</c:v>
                </c:pt>
                <c:pt idx="671">
                  <c:v>15.452704705614327</c:v>
                </c:pt>
                <c:pt idx="672">
                  <c:v>15.335597137652428</c:v>
                </c:pt>
                <c:pt idx="673">
                  <c:v>15.497211601102224</c:v>
                </c:pt>
                <c:pt idx="674">
                  <c:v>14.642229545116873</c:v>
                </c:pt>
                <c:pt idx="675">
                  <c:v>14.830595122028049</c:v>
                </c:pt>
                <c:pt idx="676">
                  <c:v>14.432106337661386</c:v>
                </c:pt>
                <c:pt idx="677">
                  <c:v>14.738199669453614</c:v>
                </c:pt>
                <c:pt idx="678">
                  <c:v>14.319167428751649</c:v>
                </c:pt>
                <c:pt idx="679">
                  <c:v>13.863223197569484</c:v>
                </c:pt>
                <c:pt idx="680">
                  <c:v>15.027778335711234</c:v>
                </c:pt>
                <c:pt idx="681">
                  <c:v>15.542848474956168</c:v>
                </c:pt>
                <c:pt idx="682">
                  <c:v>14.172011202161238</c:v>
                </c:pt>
                <c:pt idx="683">
                  <c:v>14.040689716929901</c:v>
                </c:pt>
                <c:pt idx="684">
                  <c:v>14.545584276068359</c:v>
                </c:pt>
                <c:pt idx="685">
                  <c:v>15.231570749169169</c:v>
                </c:pt>
                <c:pt idx="686">
                  <c:v>14.751565497987626</c:v>
                </c:pt>
                <c:pt idx="687">
                  <c:v>15.113481870439205</c:v>
                </c:pt>
                <c:pt idx="688">
                  <c:v>14.782399143910531</c:v>
                </c:pt>
                <c:pt idx="689">
                  <c:v>15.70772324492026</c:v>
                </c:pt>
                <c:pt idx="690">
                  <c:v>15.058501695665525</c:v>
                </c:pt>
                <c:pt idx="691">
                  <c:v>13.775053054031506</c:v>
                </c:pt>
                <c:pt idx="692">
                  <c:v>13.998700030661661</c:v>
                </c:pt>
                <c:pt idx="693">
                  <c:v>13.607495240573828</c:v>
                </c:pt>
                <c:pt idx="694">
                  <c:v>14.420673720041881</c:v>
                </c:pt>
                <c:pt idx="695">
                  <c:v>15.384813159877437</c:v>
                </c:pt>
                <c:pt idx="696">
                  <c:v>15.216126109213345</c:v>
                </c:pt>
                <c:pt idx="697">
                  <c:v>14.734319800319559</c:v>
                </c:pt>
                <c:pt idx="698">
                  <c:v>13.681894223865793</c:v>
                </c:pt>
                <c:pt idx="699">
                  <c:v>15.041026253319515</c:v>
                </c:pt>
                <c:pt idx="700">
                  <c:v>14.724137436494015</c:v>
                </c:pt>
                <c:pt idx="701">
                  <c:v>15.628823916141757</c:v>
                </c:pt>
                <c:pt idx="702">
                  <c:v>15.035866000146303</c:v>
                </c:pt>
                <c:pt idx="703">
                  <c:v>15.432632179382683</c:v>
                </c:pt>
                <c:pt idx="704">
                  <c:v>13.97962440854838</c:v>
                </c:pt>
                <c:pt idx="705">
                  <c:v>15.419232416668383</c:v>
                </c:pt>
                <c:pt idx="706">
                  <c:v>15.202337702224511</c:v>
                </c:pt>
                <c:pt idx="707">
                  <c:v>14.190580083218855</c:v>
                </c:pt>
                <c:pt idx="708">
                  <c:v>14.182286928612049</c:v>
                </c:pt>
                <c:pt idx="709">
                  <c:v>15.258645030186647</c:v>
                </c:pt>
                <c:pt idx="710">
                  <c:v>16.012831778328454</c:v>
                </c:pt>
                <c:pt idx="711">
                  <c:v>14.769350982977668</c:v>
                </c:pt>
                <c:pt idx="712">
                  <c:v>14.734932848679179</c:v>
                </c:pt>
                <c:pt idx="713">
                  <c:v>15.280339940930215</c:v>
                </c:pt>
                <c:pt idx="714">
                  <c:v>14.286787990202782</c:v>
                </c:pt>
                <c:pt idx="715">
                  <c:v>14.05605019983361</c:v>
                </c:pt>
                <c:pt idx="716">
                  <c:v>15.258419511079085</c:v>
                </c:pt>
                <c:pt idx="717">
                  <c:v>14.329936102440678</c:v>
                </c:pt>
                <c:pt idx="718">
                  <c:v>14.357922456831016</c:v>
                </c:pt>
                <c:pt idx="719">
                  <c:v>14.815480782172079</c:v>
                </c:pt>
                <c:pt idx="720">
                  <c:v>14.419680080893134</c:v>
                </c:pt>
                <c:pt idx="721">
                  <c:v>14.63825019806062</c:v>
                </c:pt>
                <c:pt idx="722">
                  <c:v>14.528098655953675</c:v>
                </c:pt>
                <c:pt idx="723">
                  <c:v>14.418863429834868</c:v>
                </c:pt>
                <c:pt idx="724">
                  <c:v>14.196026454541698</c:v>
                </c:pt>
                <c:pt idx="725">
                  <c:v>14.666939842871489</c:v>
                </c:pt>
                <c:pt idx="726">
                  <c:v>15.363518498013095</c:v>
                </c:pt>
                <c:pt idx="727">
                  <c:v>15.489699388119435</c:v>
                </c:pt>
                <c:pt idx="728">
                  <c:v>14.275194234312561</c:v>
                </c:pt>
                <c:pt idx="729">
                  <c:v>13.833329149503294</c:v>
                </c:pt>
                <c:pt idx="730">
                  <c:v>14.341275568836169</c:v>
                </c:pt>
                <c:pt idx="731">
                  <c:v>14.754916988269112</c:v>
                </c:pt>
                <c:pt idx="732">
                  <c:v>14.548695142423457</c:v>
                </c:pt>
                <c:pt idx="733">
                  <c:v>15.018954212467046</c:v>
                </c:pt>
                <c:pt idx="734">
                  <c:v>14.516744355960922</c:v>
                </c:pt>
                <c:pt idx="735">
                  <c:v>15.100735052601008</c:v>
                </c:pt>
                <c:pt idx="736">
                  <c:v>14.79021526327802</c:v>
                </c:pt>
                <c:pt idx="737">
                  <c:v>15.796690162766145</c:v>
                </c:pt>
                <c:pt idx="738">
                  <c:v>15.364660540000283</c:v>
                </c:pt>
                <c:pt idx="739">
                  <c:v>14.666620391179647</c:v>
                </c:pt>
                <c:pt idx="740">
                  <c:v>15.233396569238145</c:v>
                </c:pt>
                <c:pt idx="741">
                  <c:v>14.651778354979037</c:v>
                </c:pt>
                <c:pt idx="742">
                  <c:v>13.333008402406904</c:v>
                </c:pt>
                <c:pt idx="743">
                  <c:v>12.729457945844375</c:v>
                </c:pt>
                <c:pt idx="744">
                  <c:v>14.84112485841742</c:v>
                </c:pt>
                <c:pt idx="745">
                  <c:v>14.99472092381296</c:v>
                </c:pt>
                <c:pt idx="746">
                  <c:v>14.745439961760082</c:v>
                </c:pt>
                <c:pt idx="747">
                  <c:v>14.158214621170778</c:v>
                </c:pt>
                <c:pt idx="748">
                  <c:v>14.755238709859137</c:v>
                </c:pt>
                <c:pt idx="749">
                  <c:v>13.750514572839242</c:v>
                </c:pt>
                <c:pt idx="750">
                  <c:v>14.263674346698332</c:v>
                </c:pt>
                <c:pt idx="751">
                  <c:v>14.100969062224221</c:v>
                </c:pt>
                <c:pt idx="752">
                  <c:v>14.61780832508137</c:v>
                </c:pt>
                <c:pt idx="753">
                  <c:v>13.943885242757874</c:v>
                </c:pt>
                <c:pt idx="754">
                  <c:v>15.090054953918083</c:v>
                </c:pt>
                <c:pt idx="755">
                  <c:v>15.720983125041551</c:v>
                </c:pt>
                <c:pt idx="756">
                  <c:v>15.269951921102429</c:v>
                </c:pt>
                <c:pt idx="757">
                  <c:v>14.317826422769727</c:v>
                </c:pt>
                <c:pt idx="758">
                  <c:v>15.779103680901265</c:v>
                </c:pt>
                <c:pt idx="759">
                  <c:v>14.920556582098326</c:v>
                </c:pt>
                <c:pt idx="760">
                  <c:v>15.248496877453437</c:v>
                </c:pt>
                <c:pt idx="761">
                  <c:v>14.744175494781986</c:v>
                </c:pt>
                <c:pt idx="762">
                  <c:v>14.954536441957666</c:v>
                </c:pt>
                <c:pt idx="763">
                  <c:v>15.292926792892533</c:v>
                </c:pt>
                <c:pt idx="764">
                  <c:v>14.926323749692424</c:v>
                </c:pt>
                <c:pt idx="765">
                  <c:v>14.33783476128019</c:v>
                </c:pt>
                <c:pt idx="766">
                  <c:v>14.153048936768313</c:v>
                </c:pt>
                <c:pt idx="767">
                  <c:v>14.469054940648864</c:v>
                </c:pt>
                <c:pt idx="768">
                  <c:v>15.192705409104736</c:v>
                </c:pt>
                <c:pt idx="769">
                  <c:v>14.891904963492658</c:v>
                </c:pt>
                <c:pt idx="770">
                  <c:v>14.984472070417512</c:v>
                </c:pt>
                <c:pt idx="771">
                  <c:v>14.378517905645754</c:v>
                </c:pt>
                <c:pt idx="772">
                  <c:v>14.5308793955209</c:v>
                </c:pt>
                <c:pt idx="773">
                  <c:v>13.974278258355929</c:v>
                </c:pt>
                <c:pt idx="774">
                  <c:v>14.901139188780233</c:v>
                </c:pt>
                <c:pt idx="775">
                  <c:v>13.649050612031012</c:v>
                </c:pt>
                <c:pt idx="776">
                  <c:v>14.593979231683461</c:v>
                </c:pt>
                <c:pt idx="777">
                  <c:v>14.763593974420214</c:v>
                </c:pt>
                <c:pt idx="778">
                  <c:v>15.477587909330154</c:v>
                </c:pt>
                <c:pt idx="779">
                  <c:v>13.79489785844328</c:v>
                </c:pt>
                <c:pt idx="780">
                  <c:v>15.313633087283216</c:v>
                </c:pt>
                <c:pt idx="781">
                  <c:v>14.43691970221901</c:v>
                </c:pt>
                <c:pt idx="782">
                  <c:v>14.334143323788634</c:v>
                </c:pt>
                <c:pt idx="783">
                  <c:v>14.564210584497394</c:v>
                </c:pt>
                <c:pt idx="784">
                  <c:v>13.55123409542675</c:v>
                </c:pt>
                <c:pt idx="785">
                  <c:v>14.328597238811941</c:v>
                </c:pt>
                <c:pt idx="786">
                  <c:v>14.906803975842832</c:v>
                </c:pt>
                <c:pt idx="787">
                  <c:v>15.267382041253258</c:v>
                </c:pt>
                <c:pt idx="788">
                  <c:v>14.140323919001091</c:v>
                </c:pt>
                <c:pt idx="789">
                  <c:v>14.766170611814109</c:v>
                </c:pt>
                <c:pt idx="790">
                  <c:v>14.741297108467325</c:v>
                </c:pt>
                <c:pt idx="791">
                  <c:v>14.578880979088382</c:v>
                </c:pt>
                <c:pt idx="792">
                  <c:v>13.796619710111198</c:v>
                </c:pt>
                <c:pt idx="793">
                  <c:v>14.219560100785978</c:v>
                </c:pt>
                <c:pt idx="794">
                  <c:v>15.158844608559752</c:v>
                </c:pt>
                <c:pt idx="795">
                  <c:v>13.771357773224608</c:v>
                </c:pt>
                <c:pt idx="796">
                  <c:v>14.217900525306373</c:v>
                </c:pt>
                <c:pt idx="797">
                  <c:v>14.219878282951305</c:v>
                </c:pt>
                <c:pt idx="798">
                  <c:v>14.074280341527759</c:v>
                </c:pt>
                <c:pt idx="799">
                  <c:v>15.136762887167146</c:v>
                </c:pt>
                <c:pt idx="800">
                  <c:v>14.251963365932504</c:v>
                </c:pt>
                <c:pt idx="801">
                  <c:v>15.14662437642458</c:v>
                </c:pt>
                <c:pt idx="802">
                  <c:v>14.672538957785491</c:v>
                </c:pt>
                <c:pt idx="803">
                  <c:v>13.851058627145552</c:v>
                </c:pt>
                <c:pt idx="804">
                  <c:v>15.218308373961186</c:v>
                </c:pt>
                <c:pt idx="805">
                  <c:v>13.496646537801189</c:v>
                </c:pt>
                <c:pt idx="806">
                  <c:v>15.062874167268474</c:v>
                </c:pt>
                <c:pt idx="807">
                  <c:v>15.149131111760122</c:v>
                </c:pt>
                <c:pt idx="808">
                  <c:v>15.023375513808853</c:v>
                </c:pt>
                <c:pt idx="809">
                  <c:v>14.887964297133417</c:v>
                </c:pt>
                <c:pt idx="810">
                  <c:v>15.377428983325613</c:v>
                </c:pt>
                <c:pt idx="811">
                  <c:v>14.938299401872351</c:v>
                </c:pt>
                <c:pt idx="812">
                  <c:v>14.730077710671877</c:v>
                </c:pt>
                <c:pt idx="813">
                  <c:v>15.457924637118056</c:v>
                </c:pt>
                <c:pt idx="814">
                  <c:v>14.200507700869743</c:v>
                </c:pt>
                <c:pt idx="815">
                  <c:v>14.982992175671612</c:v>
                </c:pt>
                <c:pt idx="816">
                  <c:v>15.254902772231866</c:v>
                </c:pt>
                <c:pt idx="817">
                  <c:v>13.971686063468486</c:v>
                </c:pt>
                <c:pt idx="818">
                  <c:v>14.278980033439534</c:v>
                </c:pt>
                <c:pt idx="819">
                  <c:v>15.306708716502509</c:v>
                </c:pt>
                <c:pt idx="820">
                  <c:v>15.209529601568663</c:v>
                </c:pt>
                <c:pt idx="821">
                  <c:v>14.852368765962961</c:v>
                </c:pt>
                <c:pt idx="822">
                  <c:v>14.7619072974387</c:v>
                </c:pt>
                <c:pt idx="823">
                  <c:v>13.925006798481638</c:v>
                </c:pt>
                <c:pt idx="824">
                  <c:v>14.95595673603874</c:v>
                </c:pt>
                <c:pt idx="825">
                  <c:v>14.415449053187871</c:v>
                </c:pt>
                <c:pt idx="826">
                  <c:v>13.933505278484994</c:v>
                </c:pt>
                <c:pt idx="827">
                  <c:v>14.11165286682643</c:v>
                </c:pt>
                <c:pt idx="828">
                  <c:v>14.392940314393558</c:v>
                </c:pt>
                <c:pt idx="829">
                  <c:v>14.373408349818057</c:v>
                </c:pt>
                <c:pt idx="830">
                  <c:v>14.01886856098327</c:v>
                </c:pt>
                <c:pt idx="831">
                  <c:v>15.20529440037796</c:v>
                </c:pt>
                <c:pt idx="832">
                  <c:v>14.999262545479134</c:v>
                </c:pt>
                <c:pt idx="833">
                  <c:v>15.198816878000557</c:v>
                </c:pt>
                <c:pt idx="834">
                  <c:v>15.37082486845398</c:v>
                </c:pt>
                <c:pt idx="835">
                  <c:v>15.276147370669918</c:v>
                </c:pt>
                <c:pt idx="836">
                  <c:v>14.408658946869409</c:v>
                </c:pt>
                <c:pt idx="837">
                  <c:v>15.057229481080766</c:v>
                </c:pt>
                <c:pt idx="838">
                  <c:v>15.453846680405606</c:v>
                </c:pt>
                <c:pt idx="839">
                  <c:v>15.27512961113967</c:v>
                </c:pt>
                <c:pt idx="840">
                  <c:v>14.854567803053147</c:v>
                </c:pt>
                <c:pt idx="841">
                  <c:v>13.25239700605265</c:v>
                </c:pt>
                <c:pt idx="842">
                  <c:v>14.169409427203584</c:v>
                </c:pt>
                <c:pt idx="843">
                  <c:v>14.468775513865205</c:v>
                </c:pt>
                <c:pt idx="844">
                  <c:v>14.776962518761682</c:v>
                </c:pt>
                <c:pt idx="845">
                  <c:v>14.163964863486001</c:v>
                </c:pt>
                <c:pt idx="846">
                  <c:v>15.055111064405526</c:v>
                </c:pt>
                <c:pt idx="847">
                  <c:v>14.497293470623058</c:v>
                </c:pt>
                <c:pt idx="848">
                  <c:v>14.996563226780156</c:v>
                </c:pt>
                <c:pt idx="849">
                  <c:v>14.800051018622161</c:v>
                </c:pt>
                <c:pt idx="850">
                  <c:v>13.942829055245729</c:v>
                </c:pt>
                <c:pt idx="851">
                  <c:v>15.36929566858087</c:v>
                </c:pt>
                <c:pt idx="852">
                  <c:v>13.867321636413859</c:v>
                </c:pt>
                <c:pt idx="853">
                  <c:v>14.288783437021031</c:v>
                </c:pt>
                <c:pt idx="854">
                  <c:v>14.288762397722994</c:v>
                </c:pt>
                <c:pt idx="855">
                  <c:v>14.730542234836747</c:v>
                </c:pt>
                <c:pt idx="856">
                  <c:v>15.033909147203715</c:v>
                </c:pt>
                <c:pt idx="857">
                  <c:v>14.980259155881539</c:v>
                </c:pt>
                <c:pt idx="858">
                  <c:v>15.932507684150075</c:v>
                </c:pt>
                <c:pt idx="859">
                  <c:v>15.328385932650537</c:v>
                </c:pt>
                <c:pt idx="860">
                  <c:v>15.427986307757591</c:v>
                </c:pt>
                <c:pt idx="861">
                  <c:v>14.877942108164465</c:v>
                </c:pt>
                <c:pt idx="862">
                  <c:v>14.425013872422269</c:v>
                </c:pt>
                <c:pt idx="863">
                  <c:v>14.872213465900259</c:v>
                </c:pt>
                <c:pt idx="864">
                  <c:v>15.573890262488709</c:v>
                </c:pt>
                <c:pt idx="865">
                  <c:v>14.52436624832761</c:v>
                </c:pt>
                <c:pt idx="866">
                  <c:v>14.261116081483593</c:v>
                </c:pt>
                <c:pt idx="867">
                  <c:v>15.223191178349898</c:v>
                </c:pt>
                <c:pt idx="868">
                  <c:v>16.07668049923128</c:v>
                </c:pt>
                <c:pt idx="869">
                  <c:v>15.103021984305906</c:v>
                </c:pt>
                <c:pt idx="870">
                  <c:v>14.443780807125082</c:v>
                </c:pt>
                <c:pt idx="871">
                  <c:v>14.596556118334529</c:v>
                </c:pt>
                <c:pt idx="872">
                  <c:v>13.709775513345853</c:v>
                </c:pt>
                <c:pt idx="873">
                  <c:v>15.304716498899367</c:v>
                </c:pt>
                <c:pt idx="874">
                  <c:v>16.081556117996072</c:v>
                </c:pt>
                <c:pt idx="875">
                  <c:v>13.657056438027995</c:v>
                </c:pt>
                <c:pt idx="876">
                  <c:v>14.627282217118026</c:v>
                </c:pt>
                <c:pt idx="877">
                  <c:v>14.785230901937229</c:v>
                </c:pt>
                <c:pt idx="878">
                  <c:v>14.650443172238068</c:v>
                </c:pt>
                <c:pt idx="879">
                  <c:v>15.210739819203324</c:v>
                </c:pt>
                <c:pt idx="880">
                  <c:v>13.941189036378612</c:v>
                </c:pt>
                <c:pt idx="881">
                  <c:v>14.403292716125359</c:v>
                </c:pt>
                <c:pt idx="882">
                  <c:v>13.88088845828087</c:v>
                </c:pt>
                <c:pt idx="883">
                  <c:v>15.424564419542758</c:v>
                </c:pt>
                <c:pt idx="884">
                  <c:v>15.382467951993313</c:v>
                </c:pt>
                <c:pt idx="885">
                  <c:v>14.812614679122822</c:v>
                </c:pt>
                <c:pt idx="886">
                  <c:v>14.862549446935105</c:v>
                </c:pt>
                <c:pt idx="887">
                  <c:v>14.234975954001438</c:v>
                </c:pt>
                <c:pt idx="888">
                  <c:v>14.875279337808632</c:v>
                </c:pt>
                <c:pt idx="889">
                  <c:v>14.441698093471668</c:v>
                </c:pt>
                <c:pt idx="890">
                  <c:v>14.792963207345991</c:v>
                </c:pt>
                <c:pt idx="891">
                  <c:v>14.872994875029136</c:v>
                </c:pt>
                <c:pt idx="892">
                  <c:v>14.577155134261208</c:v>
                </c:pt>
                <c:pt idx="893">
                  <c:v>14.867502093673618</c:v>
                </c:pt>
                <c:pt idx="894">
                  <c:v>14.893216112987741</c:v>
                </c:pt>
                <c:pt idx="895">
                  <c:v>15.341969592018602</c:v>
                </c:pt>
                <c:pt idx="896">
                  <c:v>14.464063913741807</c:v>
                </c:pt>
                <c:pt idx="897">
                  <c:v>14.910332219357302</c:v>
                </c:pt>
                <c:pt idx="898">
                  <c:v>13.414371802226423</c:v>
                </c:pt>
                <c:pt idx="899">
                  <c:v>14.642729686475779</c:v>
                </c:pt>
                <c:pt idx="900">
                  <c:v>15.264908531577492</c:v>
                </c:pt>
                <c:pt idx="901">
                  <c:v>14.701638055143086</c:v>
                </c:pt>
                <c:pt idx="902">
                  <c:v>14.082583268334567</c:v>
                </c:pt>
                <c:pt idx="903">
                  <c:v>15.20196770141933</c:v>
                </c:pt>
                <c:pt idx="904">
                  <c:v>14.734513807831746</c:v>
                </c:pt>
                <c:pt idx="905">
                  <c:v>14.924167542734335</c:v>
                </c:pt>
                <c:pt idx="906">
                  <c:v>14.956932029086705</c:v>
                </c:pt>
                <c:pt idx="907">
                  <c:v>14.845846902050633</c:v>
                </c:pt>
                <c:pt idx="908">
                  <c:v>14.220797551257057</c:v>
                </c:pt>
                <c:pt idx="909">
                  <c:v>14.453041211878146</c:v>
                </c:pt>
                <c:pt idx="910">
                  <c:v>14.48943734451789</c:v>
                </c:pt>
                <c:pt idx="911">
                  <c:v>15.210015769759229</c:v>
                </c:pt>
                <c:pt idx="912">
                  <c:v>14.092291799614349</c:v>
                </c:pt>
                <c:pt idx="913">
                  <c:v>15.457725949853003</c:v>
                </c:pt>
                <c:pt idx="914">
                  <c:v>14.906149720344883</c:v>
                </c:pt>
                <c:pt idx="915">
                  <c:v>15.217750835642647</c:v>
                </c:pt>
                <c:pt idx="916">
                  <c:v>14.633448508558025</c:v>
                </c:pt>
                <c:pt idx="917">
                  <c:v>14.625402379580921</c:v>
                </c:pt>
                <c:pt idx="918">
                  <c:v>14.887039174760872</c:v>
                </c:pt>
                <c:pt idx="919">
                  <c:v>14.460366067626325</c:v>
                </c:pt>
                <c:pt idx="920">
                  <c:v>15.868109864001781</c:v>
                </c:pt>
                <c:pt idx="921">
                  <c:v>14.876569367492804</c:v>
                </c:pt>
                <c:pt idx="922">
                  <c:v>13.92340024346422</c:v>
                </c:pt>
                <c:pt idx="923">
                  <c:v>14.522127226761324</c:v>
                </c:pt>
                <c:pt idx="924">
                  <c:v>13.914128657537994</c:v>
                </c:pt>
                <c:pt idx="925">
                  <c:v>14.571757872872793</c:v>
                </c:pt>
                <c:pt idx="926">
                  <c:v>15.597520550592698</c:v>
                </c:pt>
                <c:pt idx="927">
                  <c:v>15.298459906964435</c:v>
                </c:pt>
                <c:pt idx="928">
                  <c:v>15.556185609954166</c:v>
                </c:pt>
                <c:pt idx="929">
                  <c:v>14.718744062577823</c:v>
                </c:pt>
                <c:pt idx="930">
                  <c:v>15.622920439073546</c:v>
                </c:pt>
                <c:pt idx="931">
                  <c:v>15.000060399227033</c:v>
                </c:pt>
                <c:pt idx="932">
                  <c:v>15.024658363338089</c:v>
                </c:pt>
                <c:pt idx="933">
                  <c:v>14.46891122109724</c:v>
                </c:pt>
                <c:pt idx="934">
                  <c:v>13.931768395794263</c:v>
                </c:pt>
                <c:pt idx="935">
                  <c:v>14.570974325497794</c:v>
                </c:pt>
                <c:pt idx="936">
                  <c:v>14.755477427175814</c:v>
                </c:pt>
                <c:pt idx="937">
                  <c:v>15.062242775483821</c:v>
                </c:pt>
                <c:pt idx="938">
                  <c:v>15.034013820591206</c:v>
                </c:pt>
                <c:pt idx="939">
                  <c:v>14.467116148268207</c:v>
                </c:pt>
                <c:pt idx="940">
                  <c:v>14.398116939801547</c:v>
                </c:pt>
                <c:pt idx="941">
                  <c:v>15.683260984160995</c:v>
                </c:pt>
                <c:pt idx="942">
                  <c:v>14.951136791083959</c:v>
                </c:pt>
                <c:pt idx="943">
                  <c:v>15.432560390253997</c:v>
                </c:pt>
                <c:pt idx="944">
                  <c:v>14.252381141485902</c:v>
                </c:pt>
                <c:pt idx="945">
                  <c:v>14.171961357326541</c:v>
                </c:pt>
                <c:pt idx="946">
                  <c:v>14.148774121455114</c:v>
                </c:pt>
                <c:pt idx="947">
                  <c:v>15.353806318961642</c:v>
                </c:pt>
                <c:pt idx="948">
                  <c:v>14.304715126870748</c:v>
                </c:pt>
                <c:pt idx="949">
                  <c:v>14.603580399872236</c:v>
                </c:pt>
                <c:pt idx="950">
                  <c:v>14.744496507508009</c:v>
                </c:pt>
                <c:pt idx="951">
                  <c:v>14.541877480304892</c:v>
                </c:pt>
                <c:pt idx="952">
                  <c:v>15.339279545176808</c:v>
                </c:pt>
                <c:pt idx="953">
                  <c:v>14.470887207079155</c:v>
                </c:pt>
                <c:pt idx="954">
                  <c:v>15.027447702557399</c:v>
                </c:pt>
                <c:pt idx="955">
                  <c:v>14.849003405826354</c:v>
                </c:pt>
                <c:pt idx="956">
                  <c:v>14.921500112174318</c:v>
                </c:pt>
                <c:pt idx="957">
                  <c:v>14.905421966462928</c:v>
                </c:pt>
                <c:pt idx="958">
                  <c:v>13.876377161959054</c:v>
                </c:pt>
                <c:pt idx="959">
                  <c:v>14.661828838202718</c:v>
                </c:pt>
                <c:pt idx="960">
                  <c:v>14.972308671758734</c:v>
                </c:pt>
                <c:pt idx="961">
                  <c:v>14.693366102067147</c:v>
                </c:pt>
                <c:pt idx="962">
                  <c:v>14.587235282592518</c:v>
                </c:pt>
                <c:pt idx="963">
                  <c:v>13.929087937803001</c:v>
                </c:pt>
                <c:pt idx="964">
                  <c:v>14.335937710668118</c:v>
                </c:pt>
                <c:pt idx="965">
                  <c:v>14.691924077576823</c:v>
                </c:pt>
                <c:pt idx="966">
                  <c:v>15.150861293953719</c:v>
                </c:pt>
                <c:pt idx="967">
                  <c:v>14.969776025179241</c:v>
                </c:pt>
                <c:pt idx="968">
                  <c:v>14.724141743420901</c:v>
                </c:pt>
                <c:pt idx="969">
                  <c:v>14.289373340211762</c:v>
                </c:pt>
                <c:pt idx="970">
                  <c:v>15.524236160817273</c:v>
                </c:pt>
                <c:pt idx="971">
                  <c:v>15.572764163336258</c:v>
                </c:pt>
                <c:pt idx="972">
                  <c:v>15.002664475843408</c:v>
                </c:pt>
                <c:pt idx="973">
                  <c:v>14.800476605726613</c:v>
                </c:pt>
                <c:pt idx="974">
                  <c:v>14.199424991299329</c:v>
                </c:pt>
                <c:pt idx="975">
                  <c:v>14.88080778738764</c:v>
                </c:pt>
                <c:pt idx="976">
                  <c:v>14.288710789919319</c:v>
                </c:pt>
                <c:pt idx="977">
                  <c:v>14.4973162667903</c:v>
                </c:pt>
                <c:pt idx="978">
                  <c:v>14.396566040985251</c:v>
                </c:pt>
                <c:pt idx="979">
                  <c:v>14.753936897721232</c:v>
                </c:pt>
                <c:pt idx="980">
                  <c:v>15.410882844547373</c:v>
                </c:pt>
                <c:pt idx="981">
                  <c:v>15.526272721284549</c:v>
                </c:pt>
                <c:pt idx="982">
                  <c:v>14.393452204734205</c:v>
                </c:pt>
                <c:pt idx="983">
                  <c:v>14.207148991897567</c:v>
                </c:pt>
                <c:pt idx="984">
                  <c:v>14.261066891974638</c:v>
                </c:pt>
                <c:pt idx="985">
                  <c:v>14.984357034429525</c:v>
                </c:pt>
                <c:pt idx="986">
                  <c:v>15.552294840929495</c:v>
                </c:pt>
                <c:pt idx="987">
                  <c:v>14.425342729552924</c:v>
                </c:pt>
                <c:pt idx="988">
                  <c:v>15.129843509436888</c:v>
                </c:pt>
                <c:pt idx="989">
                  <c:v>15.5061278693625</c:v>
                </c:pt>
                <c:pt idx="990">
                  <c:v>14.790228915263331</c:v>
                </c:pt>
                <c:pt idx="991">
                  <c:v>14.935087117003645</c:v>
                </c:pt>
                <c:pt idx="992">
                  <c:v>15.616891287335381</c:v>
                </c:pt>
                <c:pt idx="993">
                  <c:v>14.536572393171735</c:v>
                </c:pt>
                <c:pt idx="994">
                  <c:v>14.933380780622077</c:v>
                </c:pt>
                <c:pt idx="995">
                  <c:v>14.590085488214349</c:v>
                </c:pt>
                <c:pt idx="996">
                  <c:v>13.81391784497449</c:v>
                </c:pt>
                <c:pt idx="997">
                  <c:v>14.559696134290808</c:v>
                </c:pt>
                <c:pt idx="998">
                  <c:v>15.458944042561281</c:v>
                </c:pt>
                <c:pt idx="999">
                  <c:v>15.3257573771034</c:v>
                </c:pt>
              </c:numCache>
            </c:numRef>
          </c:xVal>
          <c:yVal>
            <c:numRef>
              <c:f>Simulation!$T$6:$T$1005</c:f>
              <c:numCache>
                <c:formatCode>0.00_ ;\-0.00\ </c:formatCode>
                <c:ptCount val="1000"/>
                <c:pt idx="0">
                  <c:v>602.39398413667493</c:v>
                </c:pt>
                <c:pt idx="1">
                  <c:v>616.38050318288356</c:v>
                </c:pt>
                <c:pt idx="2">
                  <c:v>639.75263892562725</c:v>
                </c:pt>
                <c:pt idx="3">
                  <c:v>618.74828375995105</c:v>
                </c:pt>
                <c:pt idx="4">
                  <c:v>592.01541714372706</c:v>
                </c:pt>
                <c:pt idx="5">
                  <c:v>606.43738887264578</c:v>
                </c:pt>
                <c:pt idx="6">
                  <c:v>596.78859276225262</c:v>
                </c:pt>
                <c:pt idx="7">
                  <c:v>627.04857122494104</c:v>
                </c:pt>
                <c:pt idx="8">
                  <c:v>614.76184243892146</c:v>
                </c:pt>
                <c:pt idx="9">
                  <c:v>627.14159797419165</c:v>
                </c:pt>
                <c:pt idx="10">
                  <c:v>598.38496925663094</c:v>
                </c:pt>
                <c:pt idx="11">
                  <c:v>602.33820583497845</c:v>
                </c:pt>
                <c:pt idx="12">
                  <c:v>600.35661897288685</c:v>
                </c:pt>
                <c:pt idx="13">
                  <c:v>614.82500119813494</c:v>
                </c:pt>
                <c:pt idx="14">
                  <c:v>610.98817933884857</c:v>
                </c:pt>
                <c:pt idx="15">
                  <c:v>604.40585459634985</c:v>
                </c:pt>
                <c:pt idx="16">
                  <c:v>626.5032660869856</c:v>
                </c:pt>
                <c:pt idx="17">
                  <c:v>606.31280166336217</c:v>
                </c:pt>
                <c:pt idx="18">
                  <c:v>614.21052485554492</c:v>
                </c:pt>
                <c:pt idx="19">
                  <c:v>600.30576154972982</c:v>
                </c:pt>
                <c:pt idx="20">
                  <c:v>608.92772426480724</c:v>
                </c:pt>
                <c:pt idx="21">
                  <c:v>617.38279337146923</c:v>
                </c:pt>
                <c:pt idx="22">
                  <c:v>606.07721820532686</c:v>
                </c:pt>
                <c:pt idx="23">
                  <c:v>607.39340462083567</c:v>
                </c:pt>
                <c:pt idx="24">
                  <c:v>619.23499806167797</c:v>
                </c:pt>
                <c:pt idx="25">
                  <c:v>617.20692212111123</c:v>
                </c:pt>
                <c:pt idx="26">
                  <c:v>606.99132588713258</c:v>
                </c:pt>
                <c:pt idx="27">
                  <c:v>661.62126976119487</c:v>
                </c:pt>
                <c:pt idx="28">
                  <c:v>603.17241727287296</c:v>
                </c:pt>
                <c:pt idx="29">
                  <c:v>610.45494026830011</c:v>
                </c:pt>
                <c:pt idx="30">
                  <c:v>595.03364342824216</c:v>
                </c:pt>
                <c:pt idx="31">
                  <c:v>619.78414444238763</c:v>
                </c:pt>
                <c:pt idx="32">
                  <c:v>618.07307837341443</c:v>
                </c:pt>
                <c:pt idx="33">
                  <c:v>610.82118616011257</c:v>
                </c:pt>
                <c:pt idx="34">
                  <c:v>590.76572331643877</c:v>
                </c:pt>
                <c:pt idx="35">
                  <c:v>598.57741354676648</c:v>
                </c:pt>
                <c:pt idx="36">
                  <c:v>605.71839511906626</c:v>
                </c:pt>
                <c:pt idx="37">
                  <c:v>597.87238739873317</c:v>
                </c:pt>
                <c:pt idx="38">
                  <c:v>610.09563534045208</c:v>
                </c:pt>
                <c:pt idx="39">
                  <c:v>594.94185295589659</c:v>
                </c:pt>
                <c:pt idx="40">
                  <c:v>588.03171117274314</c:v>
                </c:pt>
                <c:pt idx="41">
                  <c:v>602.6603515133811</c:v>
                </c:pt>
                <c:pt idx="42">
                  <c:v>624.52085565702816</c:v>
                </c:pt>
                <c:pt idx="43">
                  <c:v>642.44012525189964</c:v>
                </c:pt>
                <c:pt idx="44">
                  <c:v>603.67982925409763</c:v>
                </c:pt>
                <c:pt idx="45">
                  <c:v>632.56563699062156</c:v>
                </c:pt>
                <c:pt idx="46">
                  <c:v>593.69606360811395</c:v>
                </c:pt>
                <c:pt idx="47">
                  <c:v>587.48708355481222</c:v>
                </c:pt>
                <c:pt idx="48">
                  <c:v>616.11933528078089</c:v>
                </c:pt>
                <c:pt idx="49">
                  <c:v>619.63042178257729</c:v>
                </c:pt>
                <c:pt idx="50">
                  <c:v>635.18522268893298</c:v>
                </c:pt>
                <c:pt idx="51">
                  <c:v>640.15296434709467</c:v>
                </c:pt>
                <c:pt idx="52">
                  <c:v>602.7836622148393</c:v>
                </c:pt>
                <c:pt idx="53">
                  <c:v>610.00473188888168</c:v>
                </c:pt>
                <c:pt idx="54">
                  <c:v>636.04226145712948</c:v>
                </c:pt>
                <c:pt idx="55">
                  <c:v>617.3371126233036</c:v>
                </c:pt>
                <c:pt idx="56">
                  <c:v>607.05402547563926</c:v>
                </c:pt>
                <c:pt idx="57">
                  <c:v>605.34183249102659</c:v>
                </c:pt>
                <c:pt idx="58">
                  <c:v>592.25752238584403</c:v>
                </c:pt>
                <c:pt idx="59">
                  <c:v>615.75451001643341</c:v>
                </c:pt>
                <c:pt idx="60">
                  <c:v>614.10000884771716</c:v>
                </c:pt>
                <c:pt idx="61">
                  <c:v>596.44907789018771</c:v>
                </c:pt>
                <c:pt idx="62">
                  <c:v>634.9482168859073</c:v>
                </c:pt>
                <c:pt idx="63">
                  <c:v>599.32106434897992</c:v>
                </c:pt>
                <c:pt idx="64">
                  <c:v>591.38783549697837</c:v>
                </c:pt>
                <c:pt idx="65">
                  <c:v>646.03914338391303</c:v>
                </c:pt>
                <c:pt idx="66">
                  <c:v>610.55080511865049</c:v>
                </c:pt>
                <c:pt idx="67">
                  <c:v>618.89276145597819</c:v>
                </c:pt>
                <c:pt idx="68">
                  <c:v>613.86224584524825</c:v>
                </c:pt>
                <c:pt idx="69">
                  <c:v>605.87865126899908</c:v>
                </c:pt>
                <c:pt idx="70">
                  <c:v>594.06140860853952</c:v>
                </c:pt>
                <c:pt idx="71">
                  <c:v>616.3760713466653</c:v>
                </c:pt>
                <c:pt idx="72">
                  <c:v>604.03772430381707</c:v>
                </c:pt>
                <c:pt idx="73">
                  <c:v>624.64589759450394</c:v>
                </c:pt>
                <c:pt idx="74">
                  <c:v>609.10703494919471</c:v>
                </c:pt>
                <c:pt idx="75">
                  <c:v>684.46045473868151</c:v>
                </c:pt>
                <c:pt idx="76">
                  <c:v>592.52479207656938</c:v>
                </c:pt>
                <c:pt idx="77">
                  <c:v>610.65174395653844</c:v>
                </c:pt>
                <c:pt idx="78">
                  <c:v>610.187836342119</c:v>
                </c:pt>
                <c:pt idx="79">
                  <c:v>596.01730908624972</c:v>
                </c:pt>
                <c:pt idx="80">
                  <c:v>601.58487351724568</c:v>
                </c:pt>
                <c:pt idx="81">
                  <c:v>648.13788361879426</c:v>
                </c:pt>
                <c:pt idx="82">
                  <c:v>612.35466623233378</c:v>
                </c:pt>
                <c:pt idx="83">
                  <c:v>592.4444030505997</c:v>
                </c:pt>
                <c:pt idx="84">
                  <c:v>594.24704576007264</c:v>
                </c:pt>
                <c:pt idx="85">
                  <c:v>599.75417418732627</c:v>
                </c:pt>
                <c:pt idx="86">
                  <c:v>609.25508777216066</c:v>
                </c:pt>
                <c:pt idx="87">
                  <c:v>596.64906358410019</c:v>
                </c:pt>
                <c:pt idx="88">
                  <c:v>607.27943497191563</c:v>
                </c:pt>
                <c:pt idx="89">
                  <c:v>605.82581391897111</c:v>
                </c:pt>
                <c:pt idx="90">
                  <c:v>592.48180693549853</c:v>
                </c:pt>
                <c:pt idx="91">
                  <c:v>649.42685135658235</c:v>
                </c:pt>
                <c:pt idx="92">
                  <c:v>612.7146783974357</c:v>
                </c:pt>
                <c:pt idx="93">
                  <c:v>598.29669688776903</c:v>
                </c:pt>
                <c:pt idx="94">
                  <c:v>619.87571076887184</c:v>
                </c:pt>
                <c:pt idx="95">
                  <c:v>605.57910195867692</c:v>
                </c:pt>
                <c:pt idx="96">
                  <c:v>613.71152887480332</c:v>
                </c:pt>
                <c:pt idx="97">
                  <c:v>599.963473676322</c:v>
                </c:pt>
                <c:pt idx="98">
                  <c:v>611.05736560683943</c:v>
                </c:pt>
                <c:pt idx="99">
                  <c:v>612.00225112106375</c:v>
                </c:pt>
                <c:pt idx="100">
                  <c:v>609.58012095782578</c:v>
                </c:pt>
                <c:pt idx="101">
                  <c:v>609.28584609741165</c:v>
                </c:pt>
                <c:pt idx="102">
                  <c:v>606.54510473470498</c:v>
                </c:pt>
                <c:pt idx="103">
                  <c:v>616.40898586797687</c:v>
                </c:pt>
                <c:pt idx="104">
                  <c:v>647.91630806125761</c:v>
                </c:pt>
                <c:pt idx="105">
                  <c:v>600.29613040931258</c:v>
                </c:pt>
                <c:pt idx="106">
                  <c:v>602.45442992668677</c:v>
                </c:pt>
                <c:pt idx="107">
                  <c:v>604.4141054368348</c:v>
                </c:pt>
                <c:pt idx="108">
                  <c:v>592.83298449016286</c:v>
                </c:pt>
                <c:pt idx="109">
                  <c:v>603.6211576442721</c:v>
                </c:pt>
                <c:pt idx="110">
                  <c:v>607.15645420349654</c:v>
                </c:pt>
                <c:pt idx="111">
                  <c:v>617.06623154608928</c:v>
                </c:pt>
                <c:pt idx="112">
                  <c:v>604.43886875435567</c:v>
                </c:pt>
                <c:pt idx="113">
                  <c:v>599.31656188222007</c:v>
                </c:pt>
                <c:pt idx="114">
                  <c:v>599.40932873416057</c:v>
                </c:pt>
                <c:pt idx="115">
                  <c:v>596.95016314003044</c:v>
                </c:pt>
                <c:pt idx="116">
                  <c:v>615.89488570334709</c:v>
                </c:pt>
                <c:pt idx="117">
                  <c:v>596.58476588825476</c:v>
                </c:pt>
                <c:pt idx="118">
                  <c:v>593.78430771647754</c:v>
                </c:pt>
                <c:pt idx="119">
                  <c:v>605.25778576992707</c:v>
                </c:pt>
                <c:pt idx="120">
                  <c:v>598.77050642140773</c:v>
                </c:pt>
                <c:pt idx="121">
                  <c:v>598.12858602123379</c:v>
                </c:pt>
                <c:pt idx="122">
                  <c:v>623.21658207243297</c:v>
                </c:pt>
                <c:pt idx="123">
                  <c:v>598.65165610243889</c:v>
                </c:pt>
                <c:pt idx="124">
                  <c:v>615.88568127894132</c:v>
                </c:pt>
                <c:pt idx="125">
                  <c:v>598.36434048865283</c:v>
                </c:pt>
                <c:pt idx="126">
                  <c:v>594.94868713883227</c:v>
                </c:pt>
                <c:pt idx="127">
                  <c:v>605.36007014023937</c:v>
                </c:pt>
                <c:pt idx="128">
                  <c:v>605.88425931712152</c:v>
                </c:pt>
                <c:pt idx="129">
                  <c:v>628.52750668902047</c:v>
                </c:pt>
                <c:pt idx="130">
                  <c:v>599.21756840576836</c:v>
                </c:pt>
                <c:pt idx="131">
                  <c:v>589.69508334111299</c:v>
                </c:pt>
                <c:pt idx="132">
                  <c:v>637.68971052903112</c:v>
                </c:pt>
                <c:pt idx="133">
                  <c:v>587.7954638509824</c:v>
                </c:pt>
                <c:pt idx="134">
                  <c:v>598.2465553748541</c:v>
                </c:pt>
                <c:pt idx="135">
                  <c:v>614.02532034682633</c:v>
                </c:pt>
                <c:pt idx="136">
                  <c:v>619.70789761933406</c:v>
                </c:pt>
                <c:pt idx="137">
                  <c:v>625.74030164444093</c:v>
                </c:pt>
                <c:pt idx="138">
                  <c:v>607.80646797086354</c:v>
                </c:pt>
                <c:pt idx="139">
                  <c:v>607.15482076994738</c:v>
                </c:pt>
                <c:pt idx="140">
                  <c:v>598.80810589728469</c:v>
                </c:pt>
                <c:pt idx="141">
                  <c:v>603.39558746550892</c:v>
                </c:pt>
                <c:pt idx="142">
                  <c:v>596.91724364422851</c:v>
                </c:pt>
                <c:pt idx="143">
                  <c:v>612.46835437970253</c:v>
                </c:pt>
                <c:pt idx="144">
                  <c:v>608.69753517338563</c:v>
                </c:pt>
                <c:pt idx="145">
                  <c:v>589.93759642617863</c:v>
                </c:pt>
                <c:pt idx="146">
                  <c:v>644.01073510488777</c:v>
                </c:pt>
                <c:pt idx="147">
                  <c:v>628.88146050188232</c:v>
                </c:pt>
                <c:pt idx="148">
                  <c:v>591.02883942340895</c:v>
                </c:pt>
                <c:pt idx="149">
                  <c:v>603.92533438274882</c:v>
                </c:pt>
                <c:pt idx="150">
                  <c:v>641.9878262143601</c:v>
                </c:pt>
                <c:pt idx="151">
                  <c:v>591.99355921731205</c:v>
                </c:pt>
                <c:pt idx="152">
                  <c:v>597.36289593375773</c:v>
                </c:pt>
                <c:pt idx="153">
                  <c:v>625.97615039101674</c:v>
                </c:pt>
                <c:pt idx="154">
                  <c:v>602.03718016564414</c:v>
                </c:pt>
                <c:pt idx="155">
                  <c:v>606.77126137285802</c:v>
                </c:pt>
                <c:pt idx="156">
                  <c:v>614.71128824855907</c:v>
                </c:pt>
                <c:pt idx="157">
                  <c:v>635.43673385549323</c:v>
                </c:pt>
                <c:pt idx="158">
                  <c:v>603.62998737495991</c:v>
                </c:pt>
                <c:pt idx="159">
                  <c:v>643.53876249406869</c:v>
                </c:pt>
                <c:pt idx="160">
                  <c:v>606.55170904454212</c:v>
                </c:pt>
                <c:pt idx="161">
                  <c:v>615.21177834220941</c:v>
                </c:pt>
                <c:pt idx="162">
                  <c:v>609.77812666906675</c:v>
                </c:pt>
                <c:pt idx="163">
                  <c:v>635.06382331064356</c:v>
                </c:pt>
                <c:pt idx="164">
                  <c:v>595.67133841778855</c:v>
                </c:pt>
                <c:pt idx="165">
                  <c:v>596.61349180930745</c:v>
                </c:pt>
                <c:pt idx="166">
                  <c:v>599.0339944525449</c:v>
                </c:pt>
                <c:pt idx="167">
                  <c:v>615.55991430147924</c:v>
                </c:pt>
                <c:pt idx="168">
                  <c:v>596.32100828795228</c:v>
                </c:pt>
                <c:pt idx="169">
                  <c:v>588.91105258416678</c:v>
                </c:pt>
                <c:pt idx="170">
                  <c:v>597.56515929236411</c:v>
                </c:pt>
                <c:pt idx="171">
                  <c:v>604.29297406415151</c:v>
                </c:pt>
                <c:pt idx="172">
                  <c:v>610.2574412538097</c:v>
                </c:pt>
                <c:pt idx="173">
                  <c:v>620.54517230136253</c:v>
                </c:pt>
                <c:pt idx="174">
                  <c:v>594.47030922499152</c:v>
                </c:pt>
                <c:pt idx="175">
                  <c:v>607.96285024608324</c:v>
                </c:pt>
                <c:pt idx="176">
                  <c:v>602.87682204656437</c:v>
                </c:pt>
                <c:pt idx="177">
                  <c:v>626.79697435618357</c:v>
                </c:pt>
                <c:pt idx="178">
                  <c:v>625.80427843777557</c:v>
                </c:pt>
                <c:pt idx="179">
                  <c:v>638.1692583199067</c:v>
                </c:pt>
                <c:pt idx="180">
                  <c:v>603.94682725199607</c:v>
                </c:pt>
                <c:pt idx="181">
                  <c:v>674.80140017554947</c:v>
                </c:pt>
                <c:pt idx="182">
                  <c:v>605.5005429480002</c:v>
                </c:pt>
                <c:pt idx="183">
                  <c:v>611.40035595089898</c:v>
                </c:pt>
                <c:pt idx="184">
                  <c:v>621.31547619666549</c:v>
                </c:pt>
                <c:pt idx="185">
                  <c:v>624.48228180003218</c:v>
                </c:pt>
                <c:pt idx="186">
                  <c:v>635.28739577665738</c:v>
                </c:pt>
                <c:pt idx="187">
                  <c:v>621.56363199776274</c:v>
                </c:pt>
                <c:pt idx="188">
                  <c:v>604.33480635700391</c:v>
                </c:pt>
                <c:pt idx="189">
                  <c:v>597.95731403533102</c:v>
                </c:pt>
                <c:pt idx="190">
                  <c:v>599.09094179959311</c:v>
                </c:pt>
                <c:pt idx="191">
                  <c:v>596.06005021491194</c:v>
                </c:pt>
                <c:pt idx="192">
                  <c:v>620.29020836489838</c:v>
                </c:pt>
                <c:pt idx="193">
                  <c:v>613.51860345177238</c:v>
                </c:pt>
                <c:pt idx="194">
                  <c:v>661.57144169442961</c:v>
                </c:pt>
                <c:pt idx="195">
                  <c:v>606.35063294702354</c:v>
                </c:pt>
                <c:pt idx="196">
                  <c:v>631.45355724293597</c:v>
                </c:pt>
                <c:pt idx="197">
                  <c:v>600.25699443070778</c:v>
                </c:pt>
                <c:pt idx="198">
                  <c:v>593.60235623914843</c:v>
                </c:pt>
                <c:pt idx="199">
                  <c:v>602.38571417243077</c:v>
                </c:pt>
                <c:pt idx="200">
                  <c:v>599.33555294614212</c:v>
                </c:pt>
                <c:pt idx="201">
                  <c:v>639.10898143414522</c:v>
                </c:pt>
                <c:pt idx="202">
                  <c:v>632.81995331153223</c:v>
                </c:pt>
                <c:pt idx="203">
                  <c:v>592.4659372747152</c:v>
                </c:pt>
                <c:pt idx="204">
                  <c:v>614.22085673196796</c:v>
                </c:pt>
                <c:pt idx="205">
                  <c:v>637.05881746737839</c:v>
                </c:pt>
                <c:pt idx="206">
                  <c:v>645.55063280265665</c:v>
                </c:pt>
                <c:pt idx="207">
                  <c:v>606.69544058615929</c:v>
                </c:pt>
                <c:pt idx="208">
                  <c:v>610.52642646183017</c:v>
                </c:pt>
                <c:pt idx="209">
                  <c:v>630.29171625331776</c:v>
                </c:pt>
                <c:pt idx="210">
                  <c:v>599.18281994842903</c:v>
                </c:pt>
                <c:pt idx="211">
                  <c:v>608.9418576790888</c:v>
                </c:pt>
                <c:pt idx="212">
                  <c:v>611.14676552285118</c:v>
                </c:pt>
                <c:pt idx="213">
                  <c:v>612.70620017776412</c:v>
                </c:pt>
                <c:pt idx="214">
                  <c:v>619.72905377010261</c:v>
                </c:pt>
                <c:pt idx="215">
                  <c:v>628.4993492321513</c:v>
                </c:pt>
                <c:pt idx="216">
                  <c:v>602.39801827052008</c:v>
                </c:pt>
                <c:pt idx="217">
                  <c:v>612.2464127890463</c:v>
                </c:pt>
                <c:pt idx="218">
                  <c:v>653.15846975251338</c:v>
                </c:pt>
                <c:pt idx="219">
                  <c:v>605.28648505221906</c:v>
                </c:pt>
                <c:pt idx="220">
                  <c:v>604.37326024379934</c:v>
                </c:pt>
                <c:pt idx="221">
                  <c:v>590.52072424420601</c:v>
                </c:pt>
                <c:pt idx="222">
                  <c:v>626.04536682666924</c:v>
                </c:pt>
                <c:pt idx="223">
                  <c:v>596.31092465224106</c:v>
                </c:pt>
                <c:pt idx="224">
                  <c:v>594.0089810497841</c:v>
                </c:pt>
                <c:pt idx="225">
                  <c:v>597.53489768370184</c:v>
                </c:pt>
                <c:pt idx="226">
                  <c:v>603.58013926945637</c:v>
                </c:pt>
                <c:pt idx="227">
                  <c:v>632.44532010001558</c:v>
                </c:pt>
                <c:pt idx="228">
                  <c:v>600.96548119867668</c:v>
                </c:pt>
                <c:pt idx="229">
                  <c:v>592.79382740928486</c:v>
                </c:pt>
                <c:pt idx="230">
                  <c:v>605.83558766791919</c:v>
                </c:pt>
                <c:pt idx="231">
                  <c:v>604.61320684642942</c:v>
                </c:pt>
                <c:pt idx="232">
                  <c:v>596.66649875153155</c:v>
                </c:pt>
                <c:pt idx="233">
                  <c:v>645.42790118519645</c:v>
                </c:pt>
                <c:pt idx="234">
                  <c:v>603.59801510701072</c:v>
                </c:pt>
                <c:pt idx="235">
                  <c:v>618.04197359263856</c:v>
                </c:pt>
                <c:pt idx="236">
                  <c:v>623.25207228220211</c:v>
                </c:pt>
                <c:pt idx="237">
                  <c:v>617.75901790952344</c:v>
                </c:pt>
                <c:pt idx="238">
                  <c:v>605.82445144788619</c:v>
                </c:pt>
                <c:pt idx="239">
                  <c:v>587.57327419707349</c:v>
                </c:pt>
                <c:pt idx="240">
                  <c:v>600.42002215514844</c:v>
                </c:pt>
                <c:pt idx="241">
                  <c:v>621.42450894862156</c:v>
                </c:pt>
                <c:pt idx="242">
                  <c:v>618.67792216094404</c:v>
                </c:pt>
                <c:pt idx="243">
                  <c:v>605.46048802862231</c:v>
                </c:pt>
                <c:pt idx="244">
                  <c:v>610.21890088048804</c:v>
                </c:pt>
                <c:pt idx="245">
                  <c:v>611.13965639718924</c:v>
                </c:pt>
                <c:pt idx="246">
                  <c:v>616.92032003597365</c:v>
                </c:pt>
                <c:pt idx="247">
                  <c:v>633.64478315374652</c:v>
                </c:pt>
                <c:pt idx="248">
                  <c:v>594.91185865602711</c:v>
                </c:pt>
                <c:pt idx="249">
                  <c:v>607.50568623323261</c:v>
                </c:pt>
                <c:pt idx="250">
                  <c:v>616.96917386498194</c:v>
                </c:pt>
                <c:pt idx="251">
                  <c:v>654.03673960747642</c:v>
                </c:pt>
                <c:pt idx="252">
                  <c:v>618.4375491245338</c:v>
                </c:pt>
                <c:pt idx="253">
                  <c:v>607.89316653364483</c:v>
                </c:pt>
                <c:pt idx="254">
                  <c:v>589.72884676075387</c:v>
                </c:pt>
                <c:pt idx="255">
                  <c:v>605.7515099875958</c:v>
                </c:pt>
                <c:pt idx="256">
                  <c:v>607.75410138905056</c:v>
                </c:pt>
                <c:pt idx="257">
                  <c:v>615.10604176220977</c:v>
                </c:pt>
                <c:pt idx="258">
                  <c:v>606.44333625342563</c:v>
                </c:pt>
                <c:pt idx="259">
                  <c:v>596.79464178643229</c:v>
                </c:pt>
                <c:pt idx="260">
                  <c:v>618.03572138221898</c:v>
                </c:pt>
                <c:pt idx="261">
                  <c:v>611.50787147436893</c:v>
                </c:pt>
                <c:pt idx="262">
                  <c:v>604.77503136929363</c:v>
                </c:pt>
                <c:pt idx="263">
                  <c:v>601.05038558958222</c:v>
                </c:pt>
                <c:pt idx="264">
                  <c:v>595.91172118448151</c:v>
                </c:pt>
                <c:pt idx="265">
                  <c:v>626.51964850463037</c:v>
                </c:pt>
                <c:pt idx="266">
                  <c:v>626.82294163504389</c:v>
                </c:pt>
                <c:pt idx="267">
                  <c:v>612.63190237482877</c:v>
                </c:pt>
                <c:pt idx="268">
                  <c:v>621.28962718926118</c:v>
                </c:pt>
                <c:pt idx="269">
                  <c:v>592.37523964510285</c:v>
                </c:pt>
                <c:pt idx="270">
                  <c:v>593.88178731235701</c:v>
                </c:pt>
                <c:pt idx="271">
                  <c:v>619.80601617444916</c:v>
                </c:pt>
                <c:pt idx="272">
                  <c:v>607.67921073162995</c:v>
                </c:pt>
                <c:pt idx="273">
                  <c:v>616.08845454743596</c:v>
                </c:pt>
                <c:pt idx="274">
                  <c:v>587.24015930641065</c:v>
                </c:pt>
                <c:pt idx="275">
                  <c:v>603.84662941101487</c:v>
                </c:pt>
                <c:pt idx="276">
                  <c:v>589.70236217287163</c:v>
                </c:pt>
                <c:pt idx="277">
                  <c:v>610.66561538262238</c:v>
                </c:pt>
                <c:pt idx="278">
                  <c:v>618.510839340796</c:v>
                </c:pt>
                <c:pt idx="279">
                  <c:v>593.15378276972103</c:v>
                </c:pt>
                <c:pt idx="280">
                  <c:v>618.13926548494044</c:v>
                </c:pt>
                <c:pt idx="281">
                  <c:v>593.79535496727215</c:v>
                </c:pt>
                <c:pt idx="282">
                  <c:v>624.21619894961793</c:v>
                </c:pt>
                <c:pt idx="283">
                  <c:v>615.15891643747148</c:v>
                </c:pt>
                <c:pt idx="284">
                  <c:v>596.81756603673762</c:v>
                </c:pt>
                <c:pt idx="285">
                  <c:v>612.85450150931092</c:v>
                </c:pt>
                <c:pt idx="286">
                  <c:v>594.25249700444397</c:v>
                </c:pt>
                <c:pt idx="287">
                  <c:v>612.87430880826457</c:v>
                </c:pt>
                <c:pt idx="288">
                  <c:v>590.89276784312153</c:v>
                </c:pt>
                <c:pt idx="289">
                  <c:v>616.09236945147495</c:v>
                </c:pt>
                <c:pt idx="290">
                  <c:v>609.89947972262655</c:v>
                </c:pt>
                <c:pt idx="291">
                  <c:v>610.96400566452292</c:v>
                </c:pt>
                <c:pt idx="292">
                  <c:v>613.58958710112699</c:v>
                </c:pt>
                <c:pt idx="293">
                  <c:v>603.35096486772738</c:v>
                </c:pt>
                <c:pt idx="294">
                  <c:v>606.69776219603239</c:v>
                </c:pt>
                <c:pt idx="295">
                  <c:v>594.47538398207871</c:v>
                </c:pt>
                <c:pt idx="296">
                  <c:v>591.48003584662126</c:v>
                </c:pt>
                <c:pt idx="297">
                  <c:v>636.76930441585046</c:v>
                </c:pt>
                <c:pt idx="298">
                  <c:v>605.35233934912344</c:v>
                </c:pt>
                <c:pt idx="299">
                  <c:v>631.53245031793165</c:v>
                </c:pt>
                <c:pt idx="300">
                  <c:v>598.21080527563458</c:v>
                </c:pt>
                <c:pt idx="301">
                  <c:v>613.15219729757314</c:v>
                </c:pt>
                <c:pt idx="302">
                  <c:v>604.41235973890355</c:v>
                </c:pt>
                <c:pt idx="303">
                  <c:v>602.7878698466352</c:v>
                </c:pt>
                <c:pt idx="304">
                  <c:v>595.11153278361689</c:v>
                </c:pt>
                <c:pt idx="305">
                  <c:v>625.96586922311712</c:v>
                </c:pt>
                <c:pt idx="306">
                  <c:v>606.2571511427883</c:v>
                </c:pt>
                <c:pt idx="307">
                  <c:v>611.63756334807965</c:v>
                </c:pt>
                <c:pt idx="308">
                  <c:v>614.78017429687964</c:v>
                </c:pt>
                <c:pt idx="309">
                  <c:v>594.4840831688731</c:v>
                </c:pt>
                <c:pt idx="310">
                  <c:v>612.63424447781097</c:v>
                </c:pt>
                <c:pt idx="311">
                  <c:v>591.07267103036008</c:v>
                </c:pt>
                <c:pt idx="312">
                  <c:v>607.32402273766183</c:v>
                </c:pt>
                <c:pt idx="313">
                  <c:v>655.5633715993547</c:v>
                </c:pt>
                <c:pt idx="314">
                  <c:v>595.5755141009987</c:v>
                </c:pt>
                <c:pt idx="315">
                  <c:v>605.88351064900974</c:v>
                </c:pt>
                <c:pt idx="316">
                  <c:v>606.38216311152757</c:v>
                </c:pt>
                <c:pt idx="317">
                  <c:v>612.9874198277804</c:v>
                </c:pt>
                <c:pt idx="318">
                  <c:v>632.03523141111611</c:v>
                </c:pt>
                <c:pt idx="319">
                  <c:v>597.92761572335269</c:v>
                </c:pt>
                <c:pt idx="320">
                  <c:v>660.1061838705383</c:v>
                </c:pt>
                <c:pt idx="321">
                  <c:v>608.05015573284356</c:v>
                </c:pt>
                <c:pt idx="322">
                  <c:v>617.47869302699189</c:v>
                </c:pt>
                <c:pt idx="323">
                  <c:v>612.68330391004747</c:v>
                </c:pt>
                <c:pt idx="324">
                  <c:v>621.27766763328214</c:v>
                </c:pt>
                <c:pt idx="325">
                  <c:v>599.51142326858019</c:v>
                </c:pt>
                <c:pt idx="326">
                  <c:v>594.53755156313616</c:v>
                </c:pt>
                <c:pt idx="327">
                  <c:v>616.7254549339757</c:v>
                </c:pt>
                <c:pt idx="328">
                  <c:v>592.00591553891127</c:v>
                </c:pt>
                <c:pt idx="329">
                  <c:v>603.16691466314558</c:v>
                </c:pt>
                <c:pt idx="330">
                  <c:v>636.13945072820377</c:v>
                </c:pt>
                <c:pt idx="331">
                  <c:v>611.3682021514752</c:v>
                </c:pt>
                <c:pt idx="332">
                  <c:v>594.88929968449145</c:v>
                </c:pt>
                <c:pt idx="333">
                  <c:v>600.76025203900599</c:v>
                </c:pt>
                <c:pt idx="334">
                  <c:v>601.76187620559426</c:v>
                </c:pt>
                <c:pt idx="335">
                  <c:v>608.49541224099664</c:v>
                </c:pt>
                <c:pt idx="336">
                  <c:v>648.0030225525195</c:v>
                </c:pt>
                <c:pt idx="337">
                  <c:v>603.1650871706853</c:v>
                </c:pt>
                <c:pt idx="338">
                  <c:v>622.89634297890086</c:v>
                </c:pt>
                <c:pt idx="339">
                  <c:v>586.21871656314192</c:v>
                </c:pt>
                <c:pt idx="340">
                  <c:v>617.68284712952561</c:v>
                </c:pt>
                <c:pt idx="341">
                  <c:v>616.55221273756581</c:v>
                </c:pt>
                <c:pt idx="342">
                  <c:v>609.83269223598199</c:v>
                </c:pt>
                <c:pt idx="343">
                  <c:v>587.77158593283775</c:v>
                </c:pt>
                <c:pt idx="344">
                  <c:v>646.39799660215658</c:v>
                </c:pt>
                <c:pt idx="345">
                  <c:v>634.77994441960664</c:v>
                </c:pt>
                <c:pt idx="346">
                  <c:v>597.96359844283324</c:v>
                </c:pt>
                <c:pt idx="347">
                  <c:v>631.51369139458188</c:v>
                </c:pt>
                <c:pt idx="348">
                  <c:v>593.689646470615</c:v>
                </c:pt>
                <c:pt idx="349">
                  <c:v>648.92951909087844</c:v>
                </c:pt>
                <c:pt idx="350">
                  <c:v>605.48660152294235</c:v>
                </c:pt>
                <c:pt idx="351">
                  <c:v>619.45962177419563</c:v>
                </c:pt>
                <c:pt idx="352">
                  <c:v>616.98093191572661</c:v>
                </c:pt>
                <c:pt idx="353">
                  <c:v>620.06415840653324</c:v>
                </c:pt>
                <c:pt idx="354">
                  <c:v>623.91983489893141</c:v>
                </c:pt>
                <c:pt idx="355">
                  <c:v>605.45880211916335</c:v>
                </c:pt>
                <c:pt idx="356">
                  <c:v>604.73521422871704</c:v>
                </c:pt>
                <c:pt idx="357">
                  <c:v>610.15850622459959</c:v>
                </c:pt>
                <c:pt idx="358">
                  <c:v>648.35105628559882</c:v>
                </c:pt>
                <c:pt idx="359">
                  <c:v>615.69926922357195</c:v>
                </c:pt>
                <c:pt idx="360">
                  <c:v>595.13245122644548</c:v>
                </c:pt>
                <c:pt idx="361">
                  <c:v>603.70305915649533</c:v>
                </c:pt>
                <c:pt idx="362">
                  <c:v>626.79817441333535</c:v>
                </c:pt>
                <c:pt idx="363">
                  <c:v>658.27285685389199</c:v>
                </c:pt>
                <c:pt idx="364">
                  <c:v>628.43561015404828</c:v>
                </c:pt>
                <c:pt idx="365">
                  <c:v>595.27488344747314</c:v>
                </c:pt>
                <c:pt idx="366">
                  <c:v>592.87089528370711</c:v>
                </c:pt>
                <c:pt idx="367">
                  <c:v>643.22308009720416</c:v>
                </c:pt>
                <c:pt idx="368">
                  <c:v>626.84736727458039</c:v>
                </c:pt>
                <c:pt idx="369">
                  <c:v>608.98079704304359</c:v>
                </c:pt>
                <c:pt idx="370">
                  <c:v>598.50175232892741</c:v>
                </c:pt>
                <c:pt idx="371">
                  <c:v>595.39315867099526</c:v>
                </c:pt>
                <c:pt idx="372">
                  <c:v>606.34786368984237</c:v>
                </c:pt>
                <c:pt idx="373">
                  <c:v>617.27944749972437</c:v>
                </c:pt>
                <c:pt idx="374">
                  <c:v>607.8923961250191</c:v>
                </c:pt>
                <c:pt idx="375">
                  <c:v>658.1935642850874</c:v>
                </c:pt>
                <c:pt idx="376">
                  <c:v>601.94005356148705</c:v>
                </c:pt>
                <c:pt idx="377">
                  <c:v>607.84660675141185</c:v>
                </c:pt>
                <c:pt idx="378">
                  <c:v>599.75124388963934</c:v>
                </c:pt>
                <c:pt idx="379">
                  <c:v>616.88573203717681</c:v>
                </c:pt>
                <c:pt idx="380">
                  <c:v>621.94093329226394</c:v>
                </c:pt>
                <c:pt idx="381">
                  <c:v>608.62721738449511</c:v>
                </c:pt>
                <c:pt idx="382">
                  <c:v>605.23456836895434</c:v>
                </c:pt>
                <c:pt idx="383">
                  <c:v>593.86277902306597</c:v>
                </c:pt>
                <c:pt idx="384">
                  <c:v>610.89723666858436</c:v>
                </c:pt>
                <c:pt idx="385">
                  <c:v>608.44312252137797</c:v>
                </c:pt>
                <c:pt idx="386">
                  <c:v>598.8624493841362</c:v>
                </c:pt>
                <c:pt idx="387">
                  <c:v>609.0363538514755</c:v>
                </c:pt>
                <c:pt idx="388">
                  <c:v>605.62246198977323</c:v>
                </c:pt>
                <c:pt idx="389">
                  <c:v>637.59938998521875</c:v>
                </c:pt>
                <c:pt idx="390">
                  <c:v>589.68536995892828</c:v>
                </c:pt>
                <c:pt idx="391">
                  <c:v>589.28674873659224</c:v>
                </c:pt>
                <c:pt idx="392">
                  <c:v>638.93802254600996</c:v>
                </c:pt>
                <c:pt idx="393">
                  <c:v>620.82813160077581</c:v>
                </c:pt>
                <c:pt idx="394">
                  <c:v>588.06260272077679</c:v>
                </c:pt>
                <c:pt idx="395">
                  <c:v>593.17129807055642</c:v>
                </c:pt>
                <c:pt idx="396">
                  <c:v>593.17587442941272</c:v>
                </c:pt>
                <c:pt idx="397">
                  <c:v>605.43849954654377</c:v>
                </c:pt>
                <c:pt idx="398">
                  <c:v>625.58324730410789</c:v>
                </c:pt>
                <c:pt idx="399">
                  <c:v>597.31723011455244</c:v>
                </c:pt>
                <c:pt idx="400">
                  <c:v>623.12762438521725</c:v>
                </c:pt>
                <c:pt idx="401">
                  <c:v>742.76559747346073</c:v>
                </c:pt>
                <c:pt idx="402">
                  <c:v>649.85258310774282</c:v>
                </c:pt>
                <c:pt idx="403">
                  <c:v>609.47203629181513</c:v>
                </c:pt>
                <c:pt idx="404">
                  <c:v>658.68061210077644</c:v>
                </c:pt>
                <c:pt idx="405">
                  <c:v>633.22218086963449</c:v>
                </c:pt>
                <c:pt idx="406">
                  <c:v>599.93123648433436</c:v>
                </c:pt>
                <c:pt idx="407">
                  <c:v>636.90908337675774</c:v>
                </c:pt>
                <c:pt idx="408">
                  <c:v>606.61805042077799</c:v>
                </c:pt>
                <c:pt idx="409">
                  <c:v>608.48488066421044</c:v>
                </c:pt>
                <c:pt idx="410">
                  <c:v>629.7239701456939</c:v>
                </c:pt>
                <c:pt idx="411">
                  <c:v>598.09814964038117</c:v>
                </c:pt>
                <c:pt idx="412">
                  <c:v>593.50861997658922</c:v>
                </c:pt>
                <c:pt idx="413">
                  <c:v>602.09143999909611</c:v>
                </c:pt>
                <c:pt idx="414">
                  <c:v>628.0889304385953</c:v>
                </c:pt>
                <c:pt idx="415">
                  <c:v>616.14890415285322</c:v>
                </c:pt>
                <c:pt idx="416">
                  <c:v>637.34129471938172</c:v>
                </c:pt>
                <c:pt idx="417">
                  <c:v>599.41394999683223</c:v>
                </c:pt>
                <c:pt idx="418">
                  <c:v>594.64991397972631</c:v>
                </c:pt>
                <c:pt idx="419">
                  <c:v>627.08243282946898</c:v>
                </c:pt>
                <c:pt idx="420">
                  <c:v>612.99000183547014</c:v>
                </c:pt>
                <c:pt idx="421">
                  <c:v>602.14805483539794</c:v>
                </c:pt>
                <c:pt idx="422">
                  <c:v>632.33152285395704</c:v>
                </c:pt>
                <c:pt idx="423">
                  <c:v>607.70402377326968</c:v>
                </c:pt>
                <c:pt idx="424">
                  <c:v>621.80470757232706</c:v>
                </c:pt>
                <c:pt idx="425">
                  <c:v>633.07188258439737</c:v>
                </c:pt>
                <c:pt idx="426">
                  <c:v>610.16917154232715</c:v>
                </c:pt>
                <c:pt idx="427">
                  <c:v>611.86173608339709</c:v>
                </c:pt>
                <c:pt idx="428">
                  <c:v>612.08537479529332</c:v>
                </c:pt>
                <c:pt idx="429">
                  <c:v>607.20314784787524</c:v>
                </c:pt>
                <c:pt idx="430">
                  <c:v>590.20998865727267</c:v>
                </c:pt>
                <c:pt idx="431">
                  <c:v>607.38933412134122</c:v>
                </c:pt>
                <c:pt idx="432">
                  <c:v>622.33171625968305</c:v>
                </c:pt>
                <c:pt idx="433">
                  <c:v>597.58543326342658</c:v>
                </c:pt>
                <c:pt idx="434">
                  <c:v>632.11564425732081</c:v>
                </c:pt>
                <c:pt idx="435">
                  <c:v>599.08712908985399</c:v>
                </c:pt>
                <c:pt idx="436">
                  <c:v>599.04443715533193</c:v>
                </c:pt>
                <c:pt idx="437">
                  <c:v>631.781120194967</c:v>
                </c:pt>
                <c:pt idx="438">
                  <c:v>606.4752941897649</c:v>
                </c:pt>
                <c:pt idx="439">
                  <c:v>591.51366492459078</c:v>
                </c:pt>
                <c:pt idx="440">
                  <c:v>594.167272749468</c:v>
                </c:pt>
                <c:pt idx="441">
                  <c:v>683.61359305965857</c:v>
                </c:pt>
                <c:pt idx="442">
                  <c:v>613.06591879207156</c:v>
                </c:pt>
                <c:pt idx="443">
                  <c:v>618.51880959211292</c:v>
                </c:pt>
                <c:pt idx="444">
                  <c:v>621.28777091738232</c:v>
                </c:pt>
                <c:pt idx="445">
                  <c:v>605.24430430061443</c:v>
                </c:pt>
                <c:pt idx="446">
                  <c:v>636.76634897635586</c:v>
                </c:pt>
                <c:pt idx="447">
                  <c:v>595.97459207418456</c:v>
                </c:pt>
                <c:pt idx="448">
                  <c:v>631.24648474561525</c:v>
                </c:pt>
                <c:pt idx="449">
                  <c:v>603.65798504696988</c:v>
                </c:pt>
                <c:pt idx="450">
                  <c:v>600.19964515236029</c:v>
                </c:pt>
                <c:pt idx="451">
                  <c:v>601.0245303822694</c:v>
                </c:pt>
                <c:pt idx="452">
                  <c:v>606.00012121073337</c:v>
                </c:pt>
                <c:pt idx="453">
                  <c:v>622.65827077222343</c:v>
                </c:pt>
                <c:pt idx="454">
                  <c:v>617.52437959340352</c:v>
                </c:pt>
                <c:pt idx="455">
                  <c:v>634.74538459585358</c:v>
                </c:pt>
                <c:pt idx="456">
                  <c:v>605.6535083479464</c:v>
                </c:pt>
                <c:pt idx="457">
                  <c:v>608.96521034334796</c:v>
                </c:pt>
                <c:pt idx="458">
                  <c:v>606.68036675391386</c:v>
                </c:pt>
                <c:pt idx="459">
                  <c:v>636.12729074093215</c:v>
                </c:pt>
                <c:pt idx="460">
                  <c:v>590.31163834154927</c:v>
                </c:pt>
                <c:pt idx="461">
                  <c:v>620.04099550764556</c:v>
                </c:pt>
                <c:pt idx="462">
                  <c:v>596.42439205958067</c:v>
                </c:pt>
                <c:pt idx="463">
                  <c:v>632.23576542644787</c:v>
                </c:pt>
                <c:pt idx="464">
                  <c:v>603.35238177754684</c:v>
                </c:pt>
                <c:pt idx="465">
                  <c:v>609.47021484187496</c:v>
                </c:pt>
                <c:pt idx="466">
                  <c:v>610.91027426200708</c:v>
                </c:pt>
                <c:pt idx="467">
                  <c:v>640.30331822501739</c:v>
                </c:pt>
                <c:pt idx="468">
                  <c:v>608.57715948938016</c:v>
                </c:pt>
                <c:pt idx="469">
                  <c:v>615.01973167806261</c:v>
                </c:pt>
                <c:pt idx="470">
                  <c:v>598.28181432080657</c:v>
                </c:pt>
                <c:pt idx="471">
                  <c:v>599.90033397797265</c:v>
                </c:pt>
                <c:pt idx="472">
                  <c:v>602.25194300993121</c:v>
                </c:pt>
                <c:pt idx="473">
                  <c:v>606.39392313874237</c:v>
                </c:pt>
                <c:pt idx="474">
                  <c:v>597.0402291820094</c:v>
                </c:pt>
                <c:pt idx="475">
                  <c:v>622.78895754079917</c:v>
                </c:pt>
                <c:pt idx="476">
                  <c:v>600.42767322347629</c:v>
                </c:pt>
                <c:pt idx="477">
                  <c:v>596.5254273703041</c:v>
                </c:pt>
                <c:pt idx="478">
                  <c:v>601.47880943729081</c:v>
                </c:pt>
                <c:pt idx="479">
                  <c:v>596.01896947639148</c:v>
                </c:pt>
                <c:pt idx="480">
                  <c:v>596.94473373118888</c:v>
                </c:pt>
                <c:pt idx="481">
                  <c:v>605.35958855630565</c:v>
                </c:pt>
                <c:pt idx="482">
                  <c:v>619.34782780072214</c:v>
                </c:pt>
                <c:pt idx="483">
                  <c:v>616.91307079683861</c:v>
                </c:pt>
                <c:pt idx="484">
                  <c:v>599.12566030687208</c:v>
                </c:pt>
                <c:pt idx="485">
                  <c:v>615.41737362906326</c:v>
                </c:pt>
                <c:pt idx="486">
                  <c:v>645.01054327822635</c:v>
                </c:pt>
                <c:pt idx="487">
                  <c:v>622.47129017901341</c:v>
                </c:pt>
                <c:pt idx="488">
                  <c:v>611.03263407939892</c:v>
                </c:pt>
                <c:pt idx="489">
                  <c:v>596.11250239500168</c:v>
                </c:pt>
                <c:pt idx="490">
                  <c:v>593.38410215160957</c:v>
                </c:pt>
                <c:pt idx="491">
                  <c:v>639.67780688256539</c:v>
                </c:pt>
                <c:pt idx="492">
                  <c:v>591.62544238915234</c:v>
                </c:pt>
                <c:pt idx="493">
                  <c:v>597.21050912032092</c:v>
                </c:pt>
                <c:pt idx="494">
                  <c:v>614.12442670969642</c:v>
                </c:pt>
                <c:pt idx="495">
                  <c:v>619.53165006793722</c:v>
                </c:pt>
                <c:pt idx="496">
                  <c:v>621.8405862843008</c:v>
                </c:pt>
                <c:pt idx="497">
                  <c:v>595.3829257148069</c:v>
                </c:pt>
                <c:pt idx="498">
                  <c:v>639.23420982406174</c:v>
                </c:pt>
                <c:pt idx="499">
                  <c:v>614.41896899007952</c:v>
                </c:pt>
                <c:pt idx="500">
                  <c:v>607.0476097700838</c:v>
                </c:pt>
                <c:pt idx="501">
                  <c:v>606.69619427118118</c:v>
                </c:pt>
                <c:pt idx="502">
                  <c:v>654.92642518650314</c:v>
                </c:pt>
                <c:pt idx="503">
                  <c:v>605.43715392060142</c:v>
                </c:pt>
                <c:pt idx="504">
                  <c:v>609.28168362765655</c:v>
                </c:pt>
                <c:pt idx="505">
                  <c:v>607.41511236436418</c:v>
                </c:pt>
                <c:pt idx="506">
                  <c:v>610.48986844088017</c:v>
                </c:pt>
                <c:pt idx="507">
                  <c:v>605.78269749970821</c:v>
                </c:pt>
                <c:pt idx="508">
                  <c:v>600.25988607157217</c:v>
                </c:pt>
                <c:pt idx="509">
                  <c:v>637.80054172176949</c:v>
                </c:pt>
                <c:pt idx="510">
                  <c:v>634.18035381429399</c:v>
                </c:pt>
                <c:pt idx="511">
                  <c:v>598.92119984298199</c:v>
                </c:pt>
                <c:pt idx="512">
                  <c:v>607.0699700119153</c:v>
                </c:pt>
                <c:pt idx="513">
                  <c:v>627.28607047422611</c:v>
                </c:pt>
                <c:pt idx="514">
                  <c:v>645.90216057884072</c:v>
                </c:pt>
                <c:pt idx="515">
                  <c:v>613.34191789771398</c:v>
                </c:pt>
                <c:pt idx="516">
                  <c:v>609.86110741429047</c:v>
                </c:pt>
                <c:pt idx="517">
                  <c:v>640.4673724041038</c:v>
                </c:pt>
                <c:pt idx="518">
                  <c:v>630.21420023952055</c:v>
                </c:pt>
                <c:pt idx="519">
                  <c:v>615.7333818136558</c:v>
                </c:pt>
                <c:pt idx="520">
                  <c:v>610.7697179370025</c:v>
                </c:pt>
                <c:pt idx="521">
                  <c:v>624.60434281086259</c:v>
                </c:pt>
                <c:pt idx="522">
                  <c:v>604.97414157808123</c:v>
                </c:pt>
                <c:pt idx="523">
                  <c:v>608.36304117235386</c:v>
                </c:pt>
                <c:pt idx="524">
                  <c:v>607.99735128824943</c:v>
                </c:pt>
                <c:pt idx="525">
                  <c:v>630.0865858411529</c:v>
                </c:pt>
                <c:pt idx="526">
                  <c:v>606.55981731749421</c:v>
                </c:pt>
                <c:pt idx="527">
                  <c:v>667.2658861557245</c:v>
                </c:pt>
                <c:pt idx="528">
                  <c:v>585.90391217180047</c:v>
                </c:pt>
                <c:pt idx="529">
                  <c:v>602.08968592584142</c:v>
                </c:pt>
                <c:pt idx="530">
                  <c:v>589.13106219593249</c:v>
                </c:pt>
                <c:pt idx="531">
                  <c:v>617.70732225012239</c:v>
                </c:pt>
                <c:pt idx="532">
                  <c:v>625.63707658504393</c:v>
                </c:pt>
                <c:pt idx="533">
                  <c:v>619.67458687271312</c:v>
                </c:pt>
                <c:pt idx="534">
                  <c:v>596.0477256673571</c:v>
                </c:pt>
                <c:pt idx="535">
                  <c:v>587.26426172315132</c:v>
                </c:pt>
                <c:pt idx="536">
                  <c:v>610.74841641066644</c:v>
                </c:pt>
                <c:pt idx="537">
                  <c:v>624.62139268710769</c:v>
                </c:pt>
                <c:pt idx="538">
                  <c:v>610.71187906727482</c:v>
                </c:pt>
                <c:pt idx="539">
                  <c:v>595.16555422883539</c:v>
                </c:pt>
                <c:pt idx="540">
                  <c:v>595.33109906617665</c:v>
                </c:pt>
                <c:pt idx="541">
                  <c:v>614.96178714799828</c:v>
                </c:pt>
                <c:pt idx="542">
                  <c:v>625.75695928568825</c:v>
                </c:pt>
                <c:pt idx="543">
                  <c:v>606.23422500132324</c:v>
                </c:pt>
                <c:pt idx="544">
                  <c:v>595.684499774458</c:v>
                </c:pt>
                <c:pt idx="545">
                  <c:v>609.76394149571297</c:v>
                </c:pt>
                <c:pt idx="546">
                  <c:v>586.79645126873424</c:v>
                </c:pt>
                <c:pt idx="547">
                  <c:v>596.68806866034708</c:v>
                </c:pt>
                <c:pt idx="548">
                  <c:v>636.1095860666278</c:v>
                </c:pt>
                <c:pt idx="549">
                  <c:v>590.64427773556122</c:v>
                </c:pt>
                <c:pt idx="550">
                  <c:v>624.88076056117836</c:v>
                </c:pt>
                <c:pt idx="551">
                  <c:v>593.93224808281207</c:v>
                </c:pt>
                <c:pt idx="552">
                  <c:v>603.37694472833675</c:v>
                </c:pt>
                <c:pt idx="553">
                  <c:v>599.19016315774365</c:v>
                </c:pt>
                <c:pt idx="554">
                  <c:v>614.8920189425379</c:v>
                </c:pt>
                <c:pt idx="555">
                  <c:v>596.53452423899694</c:v>
                </c:pt>
                <c:pt idx="556">
                  <c:v>607.73544825387967</c:v>
                </c:pt>
                <c:pt idx="557">
                  <c:v>608.83443693147228</c:v>
                </c:pt>
                <c:pt idx="558">
                  <c:v>623.76998004239886</c:v>
                </c:pt>
                <c:pt idx="559">
                  <c:v>602.66532228488848</c:v>
                </c:pt>
                <c:pt idx="560">
                  <c:v>603.49304277505894</c:v>
                </c:pt>
                <c:pt idx="561">
                  <c:v>617.05820119963357</c:v>
                </c:pt>
                <c:pt idx="562">
                  <c:v>600.26161203769266</c:v>
                </c:pt>
                <c:pt idx="563">
                  <c:v>622.37350190165876</c:v>
                </c:pt>
                <c:pt idx="564">
                  <c:v>639.72469029658168</c:v>
                </c:pt>
                <c:pt idx="565">
                  <c:v>598.80286411910379</c:v>
                </c:pt>
                <c:pt idx="566">
                  <c:v>593.04931847226567</c:v>
                </c:pt>
                <c:pt idx="567">
                  <c:v>606.08319169114577</c:v>
                </c:pt>
                <c:pt idx="568">
                  <c:v>623.27590374913586</c:v>
                </c:pt>
                <c:pt idx="569">
                  <c:v>647.67392046059115</c:v>
                </c:pt>
                <c:pt idx="570">
                  <c:v>615.77762719919588</c:v>
                </c:pt>
                <c:pt idx="571">
                  <c:v>605.89952681051716</c:v>
                </c:pt>
                <c:pt idx="572">
                  <c:v>606.69125942421567</c:v>
                </c:pt>
                <c:pt idx="573">
                  <c:v>590.55264418950196</c:v>
                </c:pt>
                <c:pt idx="574">
                  <c:v>597.93522614087863</c:v>
                </c:pt>
                <c:pt idx="575">
                  <c:v>600.97652765332259</c:v>
                </c:pt>
                <c:pt idx="576">
                  <c:v>599.25560091459511</c:v>
                </c:pt>
                <c:pt idx="577">
                  <c:v>610.1796765177595</c:v>
                </c:pt>
                <c:pt idx="578">
                  <c:v>641.55098334269974</c:v>
                </c:pt>
                <c:pt idx="579">
                  <c:v>599.79059100274128</c:v>
                </c:pt>
                <c:pt idx="580">
                  <c:v>621.27213745781194</c:v>
                </c:pt>
                <c:pt idx="581">
                  <c:v>614.92889517004676</c:v>
                </c:pt>
                <c:pt idx="582">
                  <c:v>627.56677125258739</c:v>
                </c:pt>
                <c:pt idx="583">
                  <c:v>599.63780358837687</c:v>
                </c:pt>
                <c:pt idx="584">
                  <c:v>587.89620500824992</c:v>
                </c:pt>
                <c:pt idx="585">
                  <c:v>594.57825241856926</c:v>
                </c:pt>
                <c:pt idx="586">
                  <c:v>597.74003374023346</c:v>
                </c:pt>
                <c:pt idx="587">
                  <c:v>621.0847852825483</c:v>
                </c:pt>
                <c:pt idx="588">
                  <c:v>596.38865205848367</c:v>
                </c:pt>
                <c:pt idx="589">
                  <c:v>601.07028800220962</c:v>
                </c:pt>
                <c:pt idx="590">
                  <c:v>609.22701127203584</c:v>
                </c:pt>
                <c:pt idx="591">
                  <c:v>661.19489131759508</c:v>
                </c:pt>
                <c:pt idx="592">
                  <c:v>626.56550219744713</c:v>
                </c:pt>
                <c:pt idx="593">
                  <c:v>594.55063604499981</c:v>
                </c:pt>
                <c:pt idx="594">
                  <c:v>605.59853697656752</c:v>
                </c:pt>
                <c:pt idx="595">
                  <c:v>610.27449197829458</c:v>
                </c:pt>
                <c:pt idx="596">
                  <c:v>674.31702667461229</c:v>
                </c:pt>
                <c:pt idx="597">
                  <c:v>592.73272240926985</c:v>
                </c:pt>
                <c:pt idx="598">
                  <c:v>612.92310452747097</c:v>
                </c:pt>
                <c:pt idx="599">
                  <c:v>595.84205053551671</c:v>
                </c:pt>
                <c:pt idx="600">
                  <c:v>600.64109758200902</c:v>
                </c:pt>
                <c:pt idx="601">
                  <c:v>590.93714468505561</c:v>
                </c:pt>
                <c:pt idx="602">
                  <c:v>592.83933618525134</c:v>
                </c:pt>
                <c:pt idx="603">
                  <c:v>603.30799752874668</c:v>
                </c:pt>
                <c:pt idx="604">
                  <c:v>601.20980844990072</c:v>
                </c:pt>
                <c:pt idx="605">
                  <c:v>603.89663087577605</c:v>
                </c:pt>
                <c:pt idx="606">
                  <c:v>602.53736643335651</c:v>
                </c:pt>
                <c:pt idx="607">
                  <c:v>605.90457244493257</c:v>
                </c:pt>
                <c:pt idx="608">
                  <c:v>626.84276886384441</c:v>
                </c:pt>
                <c:pt idx="609">
                  <c:v>651.0653891209721</c:v>
                </c:pt>
                <c:pt idx="610">
                  <c:v>611.97329187867888</c:v>
                </c:pt>
                <c:pt idx="611">
                  <c:v>622.11091980347544</c:v>
                </c:pt>
                <c:pt idx="612">
                  <c:v>599.54551255182264</c:v>
                </c:pt>
                <c:pt idx="613">
                  <c:v>620.770333900183</c:v>
                </c:pt>
                <c:pt idx="614">
                  <c:v>597.5036224550928</c:v>
                </c:pt>
                <c:pt idx="615">
                  <c:v>595.71889782365463</c:v>
                </c:pt>
                <c:pt idx="616">
                  <c:v>600.52906941013703</c:v>
                </c:pt>
                <c:pt idx="617">
                  <c:v>603.58596834919331</c:v>
                </c:pt>
                <c:pt idx="618">
                  <c:v>617.81437437931049</c:v>
                </c:pt>
                <c:pt idx="619">
                  <c:v>631.63424025668473</c:v>
                </c:pt>
                <c:pt idx="620">
                  <c:v>611.49674247755399</c:v>
                </c:pt>
                <c:pt idx="621">
                  <c:v>616.85822113251254</c:v>
                </c:pt>
                <c:pt idx="622">
                  <c:v>605.56771496744182</c:v>
                </c:pt>
                <c:pt idx="623">
                  <c:v>612.30352607197301</c:v>
                </c:pt>
                <c:pt idx="624">
                  <c:v>588.25534937952443</c:v>
                </c:pt>
                <c:pt idx="625">
                  <c:v>601.99951240534665</c:v>
                </c:pt>
                <c:pt idx="626">
                  <c:v>590.4582336426613</c:v>
                </c:pt>
                <c:pt idx="627">
                  <c:v>607.64500771545875</c:v>
                </c:pt>
                <c:pt idx="628">
                  <c:v>663.60817151923231</c:v>
                </c:pt>
                <c:pt idx="629">
                  <c:v>605.39253533674434</c:v>
                </c:pt>
                <c:pt idx="630">
                  <c:v>600.02397285466168</c:v>
                </c:pt>
                <c:pt idx="631">
                  <c:v>628.25407683088224</c:v>
                </c:pt>
                <c:pt idx="632">
                  <c:v>591.21488914395798</c:v>
                </c:pt>
                <c:pt idx="633">
                  <c:v>605.69525840535857</c:v>
                </c:pt>
                <c:pt idx="634">
                  <c:v>627.96686284627651</c:v>
                </c:pt>
                <c:pt idx="635">
                  <c:v>615.1381406550106</c:v>
                </c:pt>
                <c:pt idx="636">
                  <c:v>620.90622679736543</c:v>
                </c:pt>
                <c:pt idx="637">
                  <c:v>590.13853359250561</c:v>
                </c:pt>
                <c:pt idx="638">
                  <c:v>607.60273441600611</c:v>
                </c:pt>
                <c:pt idx="639">
                  <c:v>589.07419833795257</c:v>
                </c:pt>
                <c:pt idx="640">
                  <c:v>602.15936017795332</c:v>
                </c:pt>
                <c:pt idx="641">
                  <c:v>662.75972708776715</c:v>
                </c:pt>
                <c:pt idx="642">
                  <c:v>624.35475006226932</c:v>
                </c:pt>
                <c:pt idx="643">
                  <c:v>600.28711405802312</c:v>
                </c:pt>
                <c:pt idx="644">
                  <c:v>617.20740905983484</c:v>
                </c:pt>
                <c:pt idx="645">
                  <c:v>589.55433274659276</c:v>
                </c:pt>
                <c:pt idx="646">
                  <c:v>597.96292816486243</c:v>
                </c:pt>
                <c:pt idx="647">
                  <c:v>603.0752088363131</c:v>
                </c:pt>
                <c:pt idx="648">
                  <c:v>608.59828996365809</c:v>
                </c:pt>
                <c:pt idx="649">
                  <c:v>619.30484984940199</c:v>
                </c:pt>
                <c:pt idx="650">
                  <c:v>609.77410726270739</c:v>
                </c:pt>
                <c:pt idx="651">
                  <c:v>623.82353848698392</c:v>
                </c:pt>
                <c:pt idx="652">
                  <c:v>622.46913149735292</c:v>
                </c:pt>
                <c:pt idx="653">
                  <c:v>601.59679349993019</c:v>
                </c:pt>
                <c:pt idx="654">
                  <c:v>615.4301754869681</c:v>
                </c:pt>
                <c:pt idx="655">
                  <c:v>598.95456771286058</c:v>
                </c:pt>
                <c:pt idx="656">
                  <c:v>604.86672695274649</c:v>
                </c:pt>
                <c:pt idx="657">
                  <c:v>600.8490164414942</c:v>
                </c:pt>
                <c:pt idx="658">
                  <c:v>634.3674179603629</c:v>
                </c:pt>
                <c:pt idx="659">
                  <c:v>591.51230961325894</c:v>
                </c:pt>
                <c:pt idx="660">
                  <c:v>703.87604102294074</c:v>
                </c:pt>
                <c:pt idx="661">
                  <c:v>621.1713767606027</c:v>
                </c:pt>
                <c:pt idx="662">
                  <c:v>611.61333466215262</c:v>
                </c:pt>
                <c:pt idx="663">
                  <c:v>612.91867303441256</c:v>
                </c:pt>
                <c:pt idx="664">
                  <c:v>589.93501056325124</c:v>
                </c:pt>
                <c:pt idx="665">
                  <c:v>606.85330505056959</c:v>
                </c:pt>
                <c:pt idx="666">
                  <c:v>604.70616705455029</c:v>
                </c:pt>
                <c:pt idx="667">
                  <c:v>617.34742420587452</c:v>
                </c:pt>
                <c:pt idx="668">
                  <c:v>635.37479382818719</c:v>
                </c:pt>
                <c:pt idx="669">
                  <c:v>587.64093117262166</c:v>
                </c:pt>
                <c:pt idx="670">
                  <c:v>611.08346102186408</c:v>
                </c:pt>
                <c:pt idx="671">
                  <c:v>607.18709141343174</c:v>
                </c:pt>
                <c:pt idx="672">
                  <c:v>593.54950950211992</c:v>
                </c:pt>
                <c:pt idx="673">
                  <c:v>603.86450598029012</c:v>
                </c:pt>
                <c:pt idx="674">
                  <c:v>589.36044088354959</c:v>
                </c:pt>
                <c:pt idx="675">
                  <c:v>593.64713829463483</c:v>
                </c:pt>
                <c:pt idx="676">
                  <c:v>630.13800884275236</c:v>
                </c:pt>
                <c:pt idx="677">
                  <c:v>654.14162661441037</c:v>
                </c:pt>
                <c:pt idx="678">
                  <c:v>592.03431797424912</c:v>
                </c:pt>
                <c:pt idx="679">
                  <c:v>613.4438492633883</c:v>
                </c:pt>
                <c:pt idx="680">
                  <c:v>682.86687561259407</c:v>
                </c:pt>
                <c:pt idx="681">
                  <c:v>662.11508310255545</c:v>
                </c:pt>
                <c:pt idx="682">
                  <c:v>617.70880552251572</c:v>
                </c:pt>
                <c:pt idx="683">
                  <c:v>611.03869151650031</c:v>
                </c:pt>
                <c:pt idx="684">
                  <c:v>622.01708433975216</c:v>
                </c:pt>
                <c:pt idx="685">
                  <c:v>591.84441329031722</c:v>
                </c:pt>
                <c:pt idx="686">
                  <c:v>619.51071874728189</c:v>
                </c:pt>
                <c:pt idx="687">
                  <c:v>619.8115528524263</c:v>
                </c:pt>
                <c:pt idx="688">
                  <c:v>624.22828719905158</c:v>
                </c:pt>
                <c:pt idx="689">
                  <c:v>679.85304666011336</c:v>
                </c:pt>
                <c:pt idx="690">
                  <c:v>600.18582260791834</c:v>
                </c:pt>
                <c:pt idx="691">
                  <c:v>628.40351845917735</c:v>
                </c:pt>
                <c:pt idx="692">
                  <c:v>613.07591708581174</c:v>
                </c:pt>
                <c:pt idx="693">
                  <c:v>608.60629241288734</c:v>
                </c:pt>
                <c:pt idx="694">
                  <c:v>591.29440906092179</c:v>
                </c:pt>
                <c:pt idx="695">
                  <c:v>642.84836319968588</c:v>
                </c:pt>
                <c:pt idx="696">
                  <c:v>624.11403657675521</c:v>
                </c:pt>
                <c:pt idx="697">
                  <c:v>621.19422957793529</c:v>
                </c:pt>
                <c:pt idx="698">
                  <c:v>647.96162390069605</c:v>
                </c:pt>
                <c:pt idx="699">
                  <c:v>592.27364030337765</c:v>
                </c:pt>
                <c:pt idx="700">
                  <c:v>621.16961755944965</c:v>
                </c:pt>
                <c:pt idx="701">
                  <c:v>613.92256222989636</c:v>
                </c:pt>
                <c:pt idx="702">
                  <c:v>612.91661077250808</c:v>
                </c:pt>
                <c:pt idx="703">
                  <c:v>612.08266117069184</c:v>
                </c:pt>
                <c:pt idx="704">
                  <c:v>650.15389580830629</c:v>
                </c:pt>
                <c:pt idx="705">
                  <c:v>604.57016278048002</c:v>
                </c:pt>
                <c:pt idx="706">
                  <c:v>599.7918692049783</c:v>
                </c:pt>
                <c:pt idx="707">
                  <c:v>598.34917158689018</c:v>
                </c:pt>
                <c:pt idx="708">
                  <c:v>598.88615259627397</c:v>
                </c:pt>
                <c:pt idx="709">
                  <c:v>619.65778441023372</c:v>
                </c:pt>
                <c:pt idx="710">
                  <c:v>611.09397635687549</c:v>
                </c:pt>
                <c:pt idx="711">
                  <c:v>618.51392512318898</c:v>
                </c:pt>
                <c:pt idx="712">
                  <c:v>598.97835185931854</c:v>
                </c:pt>
                <c:pt idx="713">
                  <c:v>617.69384738938879</c:v>
                </c:pt>
                <c:pt idx="714">
                  <c:v>598.45958564940281</c:v>
                </c:pt>
                <c:pt idx="715">
                  <c:v>609.1301989610464</c:v>
                </c:pt>
                <c:pt idx="716">
                  <c:v>594.74641587437463</c:v>
                </c:pt>
                <c:pt idx="717">
                  <c:v>617.95988928167719</c:v>
                </c:pt>
                <c:pt idx="718">
                  <c:v>648.05720091740716</c:v>
                </c:pt>
                <c:pt idx="719">
                  <c:v>608.78535292005427</c:v>
                </c:pt>
                <c:pt idx="720">
                  <c:v>590.12927833617982</c:v>
                </c:pt>
                <c:pt idx="721">
                  <c:v>598.09681769444285</c:v>
                </c:pt>
                <c:pt idx="722">
                  <c:v>584.4055461439865</c:v>
                </c:pt>
                <c:pt idx="723">
                  <c:v>637.4093702526975</c:v>
                </c:pt>
                <c:pt idx="724">
                  <c:v>609.5342704509103</c:v>
                </c:pt>
                <c:pt idx="725">
                  <c:v>595.94801288103668</c:v>
                </c:pt>
                <c:pt idx="726">
                  <c:v>602.24784194545134</c:v>
                </c:pt>
                <c:pt idx="727">
                  <c:v>611.05884602720596</c:v>
                </c:pt>
                <c:pt idx="728">
                  <c:v>627.67028122478234</c:v>
                </c:pt>
                <c:pt idx="729">
                  <c:v>607.50764230937898</c:v>
                </c:pt>
                <c:pt idx="730">
                  <c:v>634.55273108394692</c:v>
                </c:pt>
                <c:pt idx="731">
                  <c:v>608.08057047453144</c:v>
                </c:pt>
                <c:pt idx="732">
                  <c:v>599.5751628452889</c:v>
                </c:pt>
                <c:pt idx="733">
                  <c:v>626.6801778413286</c:v>
                </c:pt>
                <c:pt idx="734">
                  <c:v>622.79971990706485</c:v>
                </c:pt>
                <c:pt idx="735">
                  <c:v>617.16957021435769</c:v>
                </c:pt>
                <c:pt idx="736">
                  <c:v>604.7261350803368</c:v>
                </c:pt>
                <c:pt idx="737">
                  <c:v>611.85375034177548</c:v>
                </c:pt>
                <c:pt idx="738">
                  <c:v>620.60076722975998</c:v>
                </c:pt>
                <c:pt idx="739">
                  <c:v>626.90061315312926</c:v>
                </c:pt>
                <c:pt idx="740">
                  <c:v>594.0133311184718</c:v>
                </c:pt>
                <c:pt idx="741">
                  <c:v>602.85586809996369</c:v>
                </c:pt>
                <c:pt idx="742">
                  <c:v>596.40587650073701</c:v>
                </c:pt>
                <c:pt idx="743">
                  <c:v>633.38470838290277</c:v>
                </c:pt>
                <c:pt idx="744">
                  <c:v>604.74744157992734</c:v>
                </c:pt>
                <c:pt idx="745">
                  <c:v>615.23466958003212</c:v>
                </c:pt>
                <c:pt idx="746">
                  <c:v>602.20947613212991</c:v>
                </c:pt>
                <c:pt idx="747">
                  <c:v>611.80975697135921</c:v>
                </c:pt>
                <c:pt idx="748">
                  <c:v>603.22847039198757</c:v>
                </c:pt>
                <c:pt idx="749">
                  <c:v>629.59409543971958</c:v>
                </c:pt>
                <c:pt idx="750">
                  <c:v>665.85132062487583</c:v>
                </c:pt>
                <c:pt idx="751">
                  <c:v>625.34086880769246</c:v>
                </c:pt>
                <c:pt idx="752">
                  <c:v>596.70626201316054</c:v>
                </c:pt>
                <c:pt idx="753">
                  <c:v>618.20481082193521</c:v>
                </c:pt>
                <c:pt idx="754">
                  <c:v>607.54697901124132</c:v>
                </c:pt>
                <c:pt idx="755">
                  <c:v>612.85757594491133</c:v>
                </c:pt>
                <c:pt idx="756">
                  <c:v>609.31694661363133</c:v>
                </c:pt>
                <c:pt idx="757">
                  <c:v>641.36430245419615</c:v>
                </c:pt>
                <c:pt idx="758">
                  <c:v>599.68916822254278</c:v>
                </c:pt>
                <c:pt idx="759">
                  <c:v>633.93717788373101</c:v>
                </c:pt>
                <c:pt idx="760">
                  <c:v>622.13730750310947</c:v>
                </c:pt>
                <c:pt idx="761">
                  <c:v>602.16555174006442</c:v>
                </c:pt>
                <c:pt idx="762">
                  <c:v>611.74004376802816</c:v>
                </c:pt>
                <c:pt idx="763">
                  <c:v>620.77048170324258</c:v>
                </c:pt>
                <c:pt idx="764">
                  <c:v>596.82312475483866</c:v>
                </c:pt>
                <c:pt idx="765">
                  <c:v>645.56128599984152</c:v>
                </c:pt>
                <c:pt idx="766">
                  <c:v>601.90704691372173</c:v>
                </c:pt>
                <c:pt idx="767">
                  <c:v>623.15999532778574</c:v>
                </c:pt>
                <c:pt idx="768">
                  <c:v>602.50264828384377</c:v>
                </c:pt>
                <c:pt idx="769">
                  <c:v>599.27590759316695</c:v>
                </c:pt>
                <c:pt idx="770">
                  <c:v>610.69611866676678</c:v>
                </c:pt>
                <c:pt idx="771">
                  <c:v>603.13317054264007</c:v>
                </c:pt>
                <c:pt idx="772">
                  <c:v>587.86818752685235</c:v>
                </c:pt>
                <c:pt idx="773">
                  <c:v>633.06689480116552</c:v>
                </c:pt>
                <c:pt idx="774">
                  <c:v>597.33223958561678</c:v>
                </c:pt>
                <c:pt idx="775">
                  <c:v>613.21102331702446</c:v>
                </c:pt>
                <c:pt idx="776">
                  <c:v>601.00253109674975</c:v>
                </c:pt>
                <c:pt idx="777">
                  <c:v>615.56850257593237</c:v>
                </c:pt>
                <c:pt idx="778">
                  <c:v>614.8590691182917</c:v>
                </c:pt>
                <c:pt idx="779">
                  <c:v>624.37801365620908</c:v>
                </c:pt>
                <c:pt idx="780">
                  <c:v>601.24990067192698</c:v>
                </c:pt>
                <c:pt idx="781">
                  <c:v>601.56174662628041</c:v>
                </c:pt>
                <c:pt idx="782">
                  <c:v>588.82246993022636</c:v>
                </c:pt>
                <c:pt idx="783">
                  <c:v>611.06951708063002</c:v>
                </c:pt>
                <c:pt idx="784">
                  <c:v>623.82636662913058</c:v>
                </c:pt>
                <c:pt idx="785">
                  <c:v>613.89430476443692</c:v>
                </c:pt>
                <c:pt idx="786">
                  <c:v>617.13400489944308</c:v>
                </c:pt>
                <c:pt idx="787">
                  <c:v>618.26494773760373</c:v>
                </c:pt>
                <c:pt idx="788">
                  <c:v>663.96867749293415</c:v>
                </c:pt>
                <c:pt idx="789">
                  <c:v>603.48135831977459</c:v>
                </c:pt>
                <c:pt idx="790">
                  <c:v>594.4875434627304</c:v>
                </c:pt>
                <c:pt idx="791">
                  <c:v>607.90947499821607</c:v>
                </c:pt>
                <c:pt idx="792">
                  <c:v>615.89555153863239</c:v>
                </c:pt>
                <c:pt idx="793">
                  <c:v>612.25921150770841</c:v>
                </c:pt>
                <c:pt idx="794">
                  <c:v>598.13756642339069</c:v>
                </c:pt>
                <c:pt idx="795">
                  <c:v>624.54627120842463</c:v>
                </c:pt>
                <c:pt idx="796">
                  <c:v>667.55583354357054</c:v>
                </c:pt>
                <c:pt idx="797">
                  <c:v>615.01356204678473</c:v>
                </c:pt>
                <c:pt idx="798">
                  <c:v>685.27390599251203</c:v>
                </c:pt>
                <c:pt idx="799">
                  <c:v>601.53451640270225</c:v>
                </c:pt>
                <c:pt idx="800">
                  <c:v>608.75091324584525</c:v>
                </c:pt>
                <c:pt idx="801">
                  <c:v>619.80347885245362</c:v>
                </c:pt>
                <c:pt idx="802">
                  <c:v>604.94452240509099</c:v>
                </c:pt>
                <c:pt idx="803">
                  <c:v>659.81757258778509</c:v>
                </c:pt>
                <c:pt idx="804">
                  <c:v>595.69252853281137</c:v>
                </c:pt>
                <c:pt idx="805">
                  <c:v>602.61552306022747</c:v>
                </c:pt>
                <c:pt idx="806">
                  <c:v>590.64585585809448</c:v>
                </c:pt>
                <c:pt idx="807">
                  <c:v>603.91772536346764</c:v>
                </c:pt>
                <c:pt idx="808">
                  <c:v>594.41648407026958</c:v>
                </c:pt>
                <c:pt idx="809">
                  <c:v>615.1197266783314</c:v>
                </c:pt>
                <c:pt idx="810">
                  <c:v>599.67063654438175</c:v>
                </c:pt>
                <c:pt idx="811">
                  <c:v>604.2082576160675</c:v>
                </c:pt>
                <c:pt idx="812">
                  <c:v>593.88331370261301</c:v>
                </c:pt>
                <c:pt idx="813">
                  <c:v>598.27244810630577</c:v>
                </c:pt>
                <c:pt idx="814">
                  <c:v>603.90875208983869</c:v>
                </c:pt>
                <c:pt idx="815">
                  <c:v>594.79382455705797</c:v>
                </c:pt>
                <c:pt idx="816">
                  <c:v>609.11298563555158</c:v>
                </c:pt>
                <c:pt idx="817">
                  <c:v>628.0499363420513</c:v>
                </c:pt>
                <c:pt idx="818">
                  <c:v>627.10198670543787</c:v>
                </c:pt>
                <c:pt idx="819">
                  <c:v>616.23772297820051</c:v>
                </c:pt>
                <c:pt idx="820">
                  <c:v>642.31433142340677</c:v>
                </c:pt>
                <c:pt idx="821">
                  <c:v>647.82171823100794</c:v>
                </c:pt>
                <c:pt idx="822">
                  <c:v>599.43071047642911</c:v>
                </c:pt>
                <c:pt idx="823">
                  <c:v>642.59118842621103</c:v>
                </c:pt>
                <c:pt idx="824">
                  <c:v>620.21900176851523</c:v>
                </c:pt>
                <c:pt idx="825">
                  <c:v>600.09514152062764</c:v>
                </c:pt>
                <c:pt idx="826">
                  <c:v>590.27693528420741</c:v>
                </c:pt>
                <c:pt idx="827">
                  <c:v>609.07875108997314</c:v>
                </c:pt>
                <c:pt idx="828">
                  <c:v>618.12597146176381</c:v>
                </c:pt>
                <c:pt idx="829">
                  <c:v>597.62460267480947</c:v>
                </c:pt>
                <c:pt idx="830">
                  <c:v>646.70434621986647</c:v>
                </c:pt>
                <c:pt idx="831">
                  <c:v>594.68353866931534</c:v>
                </c:pt>
                <c:pt idx="832">
                  <c:v>635.03723156056469</c:v>
                </c:pt>
                <c:pt idx="833">
                  <c:v>605.47092764537172</c:v>
                </c:pt>
                <c:pt idx="834">
                  <c:v>607.49787732116363</c:v>
                </c:pt>
                <c:pt idx="835">
                  <c:v>622.50403220823932</c:v>
                </c:pt>
                <c:pt idx="836">
                  <c:v>598.66871110945351</c:v>
                </c:pt>
                <c:pt idx="837">
                  <c:v>640.58562981200055</c:v>
                </c:pt>
                <c:pt idx="838">
                  <c:v>602.79599260329701</c:v>
                </c:pt>
                <c:pt idx="839">
                  <c:v>608.90277543694742</c:v>
                </c:pt>
                <c:pt idx="840">
                  <c:v>597.89162916527846</c:v>
                </c:pt>
                <c:pt idx="841">
                  <c:v>621.54944450532491</c:v>
                </c:pt>
                <c:pt idx="842">
                  <c:v>610.35421360666976</c:v>
                </c:pt>
                <c:pt idx="843">
                  <c:v>587.87016348314069</c:v>
                </c:pt>
                <c:pt idx="844">
                  <c:v>592.92341407841991</c:v>
                </c:pt>
                <c:pt idx="845">
                  <c:v>601.09239022218105</c:v>
                </c:pt>
                <c:pt idx="846">
                  <c:v>595.87552605927294</c:v>
                </c:pt>
                <c:pt idx="847">
                  <c:v>603.21032760709249</c:v>
                </c:pt>
                <c:pt idx="848">
                  <c:v>619.1335015786841</c:v>
                </c:pt>
                <c:pt idx="849">
                  <c:v>615.19622811949603</c:v>
                </c:pt>
                <c:pt idx="850">
                  <c:v>658.8997948640523</c:v>
                </c:pt>
                <c:pt idx="851">
                  <c:v>655.02465472712151</c:v>
                </c:pt>
                <c:pt idx="852">
                  <c:v>618.31833266538206</c:v>
                </c:pt>
                <c:pt idx="853">
                  <c:v>608.61484438089201</c:v>
                </c:pt>
                <c:pt idx="854">
                  <c:v>622.20018877474433</c:v>
                </c:pt>
                <c:pt idx="855">
                  <c:v>630.13644104422008</c:v>
                </c:pt>
                <c:pt idx="856">
                  <c:v>632.5860016202397</c:v>
                </c:pt>
                <c:pt idx="857">
                  <c:v>608.9126002374976</c:v>
                </c:pt>
                <c:pt idx="858">
                  <c:v>594.12417347122278</c:v>
                </c:pt>
                <c:pt idx="859">
                  <c:v>596.41412181426881</c:v>
                </c:pt>
                <c:pt idx="860">
                  <c:v>620.7287548139484</c:v>
                </c:pt>
                <c:pt idx="861">
                  <c:v>614.44295473133559</c:v>
                </c:pt>
                <c:pt idx="862">
                  <c:v>594.90112099545502</c:v>
                </c:pt>
                <c:pt idx="863">
                  <c:v>595.86546906101023</c:v>
                </c:pt>
                <c:pt idx="864">
                  <c:v>614.09929441308316</c:v>
                </c:pt>
                <c:pt idx="865">
                  <c:v>623.57736738543849</c:v>
                </c:pt>
                <c:pt idx="866">
                  <c:v>604.06964987662684</c:v>
                </c:pt>
                <c:pt idx="867">
                  <c:v>616.50970805424777</c:v>
                </c:pt>
                <c:pt idx="868">
                  <c:v>616.20651388972874</c:v>
                </c:pt>
                <c:pt idx="869">
                  <c:v>610.51117530692829</c:v>
                </c:pt>
                <c:pt idx="870">
                  <c:v>589.72856934752656</c:v>
                </c:pt>
                <c:pt idx="871">
                  <c:v>610.58461791123932</c:v>
                </c:pt>
                <c:pt idx="872">
                  <c:v>600.97966704669705</c:v>
                </c:pt>
                <c:pt idx="873">
                  <c:v>598.78277607395614</c:v>
                </c:pt>
                <c:pt idx="874">
                  <c:v>589.13443390903478</c:v>
                </c:pt>
                <c:pt idx="875">
                  <c:v>626.52570533053802</c:v>
                </c:pt>
                <c:pt idx="876">
                  <c:v>608.39279202566127</c:v>
                </c:pt>
                <c:pt idx="877">
                  <c:v>605.91782664049981</c:v>
                </c:pt>
                <c:pt idx="878">
                  <c:v>652.67931503848502</c:v>
                </c:pt>
                <c:pt idx="879">
                  <c:v>606.2403549205809</c:v>
                </c:pt>
                <c:pt idx="880">
                  <c:v>620.23122564474158</c:v>
                </c:pt>
                <c:pt idx="881">
                  <c:v>616.96306899348997</c:v>
                </c:pt>
                <c:pt idx="882">
                  <c:v>636.70426529232031</c:v>
                </c:pt>
                <c:pt idx="883">
                  <c:v>618.41099332647241</c:v>
                </c:pt>
                <c:pt idx="884">
                  <c:v>598.30144830579752</c:v>
                </c:pt>
                <c:pt idx="885">
                  <c:v>619.43167089444682</c:v>
                </c:pt>
                <c:pt idx="886">
                  <c:v>608.22401282899398</c:v>
                </c:pt>
                <c:pt idx="887">
                  <c:v>599.64964092545711</c:v>
                </c:pt>
                <c:pt idx="888">
                  <c:v>610.2938416534522</c:v>
                </c:pt>
                <c:pt idx="889">
                  <c:v>634.09818132052396</c:v>
                </c:pt>
                <c:pt idx="890">
                  <c:v>605.5757197830643</c:v>
                </c:pt>
                <c:pt idx="891">
                  <c:v>603.10599547733398</c:v>
                </c:pt>
                <c:pt idx="892">
                  <c:v>677.66200863072163</c:v>
                </c:pt>
                <c:pt idx="893">
                  <c:v>586.22445131535653</c:v>
                </c:pt>
                <c:pt idx="894">
                  <c:v>626.76434206475597</c:v>
                </c:pt>
                <c:pt idx="895">
                  <c:v>600.96396650136387</c:v>
                </c:pt>
                <c:pt idx="896">
                  <c:v>614.92139749944045</c:v>
                </c:pt>
                <c:pt idx="897">
                  <c:v>606.27406628926121</c:v>
                </c:pt>
                <c:pt idx="898">
                  <c:v>605.57729192995077</c:v>
                </c:pt>
                <c:pt idx="899">
                  <c:v>608.19134692393993</c:v>
                </c:pt>
                <c:pt idx="900">
                  <c:v>603.78267816768334</c:v>
                </c:pt>
                <c:pt idx="901">
                  <c:v>644.56275868359046</c:v>
                </c:pt>
                <c:pt idx="902">
                  <c:v>630.7815063578887</c:v>
                </c:pt>
                <c:pt idx="903">
                  <c:v>603.55015659399032</c:v>
                </c:pt>
                <c:pt idx="904">
                  <c:v>670.35348460059572</c:v>
                </c:pt>
                <c:pt idx="905">
                  <c:v>632.93248736337591</c:v>
                </c:pt>
                <c:pt idx="906">
                  <c:v>607.05877042511429</c:v>
                </c:pt>
                <c:pt idx="907">
                  <c:v>649.27283921376431</c:v>
                </c:pt>
                <c:pt idx="908">
                  <c:v>613.18454025778146</c:v>
                </c:pt>
                <c:pt idx="909">
                  <c:v>597.63691592949033</c:v>
                </c:pt>
                <c:pt idx="910">
                  <c:v>616.46993990284989</c:v>
                </c:pt>
                <c:pt idx="911">
                  <c:v>599.24863709817464</c:v>
                </c:pt>
                <c:pt idx="912">
                  <c:v>598.64631285915925</c:v>
                </c:pt>
                <c:pt idx="913">
                  <c:v>596.19349971650797</c:v>
                </c:pt>
                <c:pt idx="914">
                  <c:v>590.96338793526832</c:v>
                </c:pt>
                <c:pt idx="915">
                  <c:v>604.52428375639886</c:v>
                </c:pt>
                <c:pt idx="916">
                  <c:v>595.23760828890863</c:v>
                </c:pt>
                <c:pt idx="917">
                  <c:v>591.94532037959993</c:v>
                </c:pt>
                <c:pt idx="918">
                  <c:v>591.61699019730293</c:v>
                </c:pt>
                <c:pt idx="919">
                  <c:v>590.90744570739957</c:v>
                </c:pt>
                <c:pt idx="920">
                  <c:v>618.18643488480257</c:v>
                </c:pt>
                <c:pt idx="921">
                  <c:v>647.54067226009613</c:v>
                </c:pt>
                <c:pt idx="922">
                  <c:v>607.17533657550246</c:v>
                </c:pt>
                <c:pt idx="923">
                  <c:v>620.72788364214466</c:v>
                </c:pt>
                <c:pt idx="924">
                  <c:v>612.93012143920089</c:v>
                </c:pt>
                <c:pt idx="925">
                  <c:v>600.42006498744593</c:v>
                </c:pt>
                <c:pt idx="926">
                  <c:v>624.02321870205878</c:v>
                </c:pt>
                <c:pt idx="927">
                  <c:v>620.0967180923144</c:v>
                </c:pt>
                <c:pt idx="928">
                  <c:v>616.23492067654229</c:v>
                </c:pt>
                <c:pt idx="929">
                  <c:v>627.94723589845842</c:v>
                </c:pt>
                <c:pt idx="930">
                  <c:v>605.51424817194993</c:v>
                </c:pt>
                <c:pt idx="931">
                  <c:v>609.78262771555774</c:v>
                </c:pt>
                <c:pt idx="932">
                  <c:v>629.87206605900224</c:v>
                </c:pt>
                <c:pt idx="933">
                  <c:v>647.10323621810471</c:v>
                </c:pt>
                <c:pt idx="934">
                  <c:v>598.53272063617339</c:v>
                </c:pt>
                <c:pt idx="935">
                  <c:v>615.42625626144832</c:v>
                </c:pt>
                <c:pt idx="936">
                  <c:v>596.67785177898929</c:v>
                </c:pt>
                <c:pt idx="937">
                  <c:v>610.41117127763891</c:v>
                </c:pt>
                <c:pt idx="938">
                  <c:v>604.31551813179271</c:v>
                </c:pt>
                <c:pt idx="939">
                  <c:v>602.29175441436928</c:v>
                </c:pt>
                <c:pt idx="940">
                  <c:v>604.46619800390317</c:v>
                </c:pt>
                <c:pt idx="941">
                  <c:v>627.28467873843476</c:v>
                </c:pt>
                <c:pt idx="942">
                  <c:v>591.01720418656305</c:v>
                </c:pt>
                <c:pt idx="943">
                  <c:v>626.86904623774944</c:v>
                </c:pt>
                <c:pt idx="944">
                  <c:v>611.96269355657739</c:v>
                </c:pt>
                <c:pt idx="945">
                  <c:v>612.02480527133207</c:v>
                </c:pt>
                <c:pt idx="946">
                  <c:v>603.58714254866402</c:v>
                </c:pt>
                <c:pt idx="947">
                  <c:v>611.87314500607954</c:v>
                </c:pt>
                <c:pt idx="948">
                  <c:v>626.62480067708759</c:v>
                </c:pt>
                <c:pt idx="949">
                  <c:v>624.58514977626248</c:v>
                </c:pt>
                <c:pt idx="950">
                  <c:v>601.29983973307287</c:v>
                </c:pt>
                <c:pt idx="951">
                  <c:v>609.00273225183764</c:v>
                </c:pt>
                <c:pt idx="952">
                  <c:v>634.8748153937164</c:v>
                </c:pt>
                <c:pt idx="953">
                  <c:v>608.38962893314294</c:v>
                </c:pt>
                <c:pt idx="954">
                  <c:v>593.98527241786849</c:v>
                </c:pt>
                <c:pt idx="955">
                  <c:v>605.92909608088985</c:v>
                </c:pt>
                <c:pt idx="956">
                  <c:v>606.19233466141861</c:v>
                </c:pt>
                <c:pt idx="957">
                  <c:v>596.06348821292693</c:v>
                </c:pt>
                <c:pt idx="958">
                  <c:v>596.04275131838574</c:v>
                </c:pt>
                <c:pt idx="959">
                  <c:v>604.17656294574351</c:v>
                </c:pt>
                <c:pt idx="960">
                  <c:v>640.28825131499775</c:v>
                </c:pt>
                <c:pt idx="961">
                  <c:v>599.65478606731244</c:v>
                </c:pt>
                <c:pt idx="962">
                  <c:v>597.00207052922735</c:v>
                </c:pt>
                <c:pt idx="963">
                  <c:v>668.64074991505106</c:v>
                </c:pt>
                <c:pt idx="964">
                  <c:v>623.18158675831035</c:v>
                </c:pt>
                <c:pt idx="965">
                  <c:v>604.18166316665963</c:v>
                </c:pt>
                <c:pt idx="966">
                  <c:v>592.17556588063576</c:v>
                </c:pt>
                <c:pt idx="967">
                  <c:v>627.33983618241018</c:v>
                </c:pt>
                <c:pt idx="968">
                  <c:v>590.88281254364063</c:v>
                </c:pt>
                <c:pt idx="969">
                  <c:v>593.66760804538478</c:v>
                </c:pt>
                <c:pt idx="970">
                  <c:v>614.80075015201089</c:v>
                </c:pt>
                <c:pt idx="971">
                  <c:v>622.75742251355996</c:v>
                </c:pt>
                <c:pt idx="972">
                  <c:v>608.91900706005981</c:v>
                </c:pt>
                <c:pt idx="973">
                  <c:v>599.44154465502083</c:v>
                </c:pt>
                <c:pt idx="974">
                  <c:v>663.97563201456467</c:v>
                </c:pt>
                <c:pt idx="975">
                  <c:v>593.86569047898377</c:v>
                </c:pt>
                <c:pt idx="976">
                  <c:v>585.39622388255736</c:v>
                </c:pt>
                <c:pt idx="977">
                  <c:v>595.07903625508277</c:v>
                </c:pt>
                <c:pt idx="978">
                  <c:v>630.83266899390333</c:v>
                </c:pt>
                <c:pt idx="979">
                  <c:v>600.62196335197962</c:v>
                </c:pt>
                <c:pt idx="980">
                  <c:v>598.68317216523712</c:v>
                </c:pt>
                <c:pt idx="981">
                  <c:v>642.25885339670185</c:v>
                </c:pt>
                <c:pt idx="982">
                  <c:v>608.16628353404565</c:v>
                </c:pt>
                <c:pt idx="983">
                  <c:v>613.89018391272782</c:v>
                </c:pt>
                <c:pt idx="984">
                  <c:v>608.97900221508598</c:v>
                </c:pt>
                <c:pt idx="985">
                  <c:v>609.56201807205787</c:v>
                </c:pt>
                <c:pt idx="986">
                  <c:v>616.33163366075667</c:v>
                </c:pt>
                <c:pt idx="987">
                  <c:v>622.02816840389062</c:v>
                </c:pt>
                <c:pt idx="988">
                  <c:v>598.78556653739963</c:v>
                </c:pt>
                <c:pt idx="989">
                  <c:v>623.82400339736137</c:v>
                </c:pt>
                <c:pt idx="990">
                  <c:v>636.52417305854897</c:v>
                </c:pt>
                <c:pt idx="991">
                  <c:v>620.3932797002102</c:v>
                </c:pt>
                <c:pt idx="992">
                  <c:v>601.79386646017838</c:v>
                </c:pt>
                <c:pt idx="993">
                  <c:v>606.16944971098371</c:v>
                </c:pt>
                <c:pt idx="994">
                  <c:v>591.67766176688997</c:v>
                </c:pt>
                <c:pt idx="995">
                  <c:v>594.26683789022957</c:v>
                </c:pt>
                <c:pt idx="996">
                  <c:v>619.41701457810473</c:v>
                </c:pt>
                <c:pt idx="997">
                  <c:v>598.94440421777858</c:v>
                </c:pt>
                <c:pt idx="998">
                  <c:v>592.9672069852096</c:v>
                </c:pt>
                <c:pt idx="999">
                  <c:v>613.78518818438238</c:v>
                </c:pt>
              </c:numCache>
            </c:numRef>
          </c:yVal>
          <c:smooth val="0"/>
          <c:extLst>
            <c:ext xmlns:c16="http://schemas.microsoft.com/office/drawing/2014/chart" uri="{C3380CC4-5D6E-409C-BE32-E72D297353CC}">
              <c16:uniqueId val="{00000001-83FB-488B-8643-FA5B3123DAA0}"/>
            </c:ext>
          </c:extLst>
        </c:ser>
        <c:ser>
          <c:idx val="2"/>
          <c:order val="2"/>
          <c:tx>
            <c:v>NP2</c:v>
          </c:tx>
          <c:spPr>
            <a:ln w="19050">
              <a:noFill/>
            </a:ln>
          </c:spPr>
          <c:marker>
            <c:symbol val="circle"/>
            <c:size val="5"/>
            <c:spPr>
              <a:solidFill>
                <a:srgbClr val="FFFFFF"/>
              </a:solidFill>
              <a:ln>
                <a:solidFill>
                  <a:srgbClr val="FF0000"/>
                </a:solidFill>
                <a:prstDash val="solid"/>
              </a:ln>
            </c:spPr>
          </c:marker>
          <c:xVal>
            <c:numRef>
              <c:f>Simulation!$U$6:$U$1005</c:f>
              <c:numCache>
                <c:formatCode>_(* #,##0.00_);_(* \(#,##0.00\);_(* "-"??_);_(@_)</c:formatCode>
                <c:ptCount val="1000"/>
                <c:pt idx="0">
                  <c:v>15.991795254949441</c:v>
                </c:pt>
                <c:pt idx="1">
                  <c:v>13.898488729082143</c:v>
                </c:pt>
                <c:pt idx="2">
                  <c:v>14.538923869494134</c:v>
                </c:pt>
                <c:pt idx="3">
                  <c:v>15.078633679381884</c:v>
                </c:pt>
                <c:pt idx="4">
                  <c:v>13.964237566026656</c:v>
                </c:pt>
                <c:pt idx="5">
                  <c:v>13.962989887331315</c:v>
                </c:pt>
                <c:pt idx="6">
                  <c:v>14.56217251992001</c:v>
                </c:pt>
                <c:pt idx="7">
                  <c:v>14.290206487543516</c:v>
                </c:pt>
                <c:pt idx="8">
                  <c:v>14.147121561429797</c:v>
                </c:pt>
                <c:pt idx="9">
                  <c:v>15.1437290797475</c:v>
                </c:pt>
                <c:pt idx="10">
                  <c:v>14.513697906136887</c:v>
                </c:pt>
                <c:pt idx="11">
                  <c:v>14.214869480132959</c:v>
                </c:pt>
                <c:pt idx="12">
                  <c:v>14.482683015132945</c:v>
                </c:pt>
                <c:pt idx="13">
                  <c:v>14.237225069325778</c:v>
                </c:pt>
                <c:pt idx="14">
                  <c:v>15.818303861057769</c:v>
                </c:pt>
                <c:pt idx="15">
                  <c:v>14.614060724794127</c:v>
                </c:pt>
                <c:pt idx="16">
                  <c:v>14.997887826765073</c:v>
                </c:pt>
                <c:pt idx="17">
                  <c:v>14.565087421724964</c:v>
                </c:pt>
                <c:pt idx="18">
                  <c:v>15.274939305752856</c:v>
                </c:pt>
                <c:pt idx="19">
                  <c:v>14.715636868270108</c:v>
                </c:pt>
                <c:pt idx="20">
                  <c:v>14.176109934063705</c:v>
                </c:pt>
                <c:pt idx="21">
                  <c:v>14.468495248341627</c:v>
                </c:pt>
                <c:pt idx="22">
                  <c:v>13.942797034538517</c:v>
                </c:pt>
                <c:pt idx="23">
                  <c:v>15.211545109168032</c:v>
                </c:pt>
                <c:pt idx="24">
                  <c:v>14.148263823002688</c:v>
                </c:pt>
                <c:pt idx="25">
                  <c:v>14.617843283714825</c:v>
                </c:pt>
                <c:pt idx="26">
                  <c:v>14.496286556175818</c:v>
                </c:pt>
                <c:pt idx="27">
                  <c:v>15.467051547111081</c:v>
                </c:pt>
                <c:pt idx="28">
                  <c:v>14.129595111511925</c:v>
                </c:pt>
                <c:pt idx="29">
                  <c:v>14.034242648463453</c:v>
                </c:pt>
                <c:pt idx="30">
                  <c:v>15.312645091089561</c:v>
                </c:pt>
                <c:pt idx="31">
                  <c:v>15.150277065434873</c:v>
                </c:pt>
                <c:pt idx="32">
                  <c:v>14.271942487845392</c:v>
                </c:pt>
                <c:pt idx="33">
                  <c:v>14.655491389711816</c:v>
                </c:pt>
                <c:pt idx="34">
                  <c:v>14.422319401215709</c:v>
                </c:pt>
                <c:pt idx="35">
                  <c:v>14.247571293169301</c:v>
                </c:pt>
                <c:pt idx="36">
                  <c:v>14.502032386043</c:v>
                </c:pt>
                <c:pt idx="37">
                  <c:v>14.730138356900286</c:v>
                </c:pt>
                <c:pt idx="38">
                  <c:v>15.157929098358174</c:v>
                </c:pt>
                <c:pt idx="39">
                  <c:v>15.180852525339191</c:v>
                </c:pt>
                <c:pt idx="40">
                  <c:v>14.820675414746908</c:v>
                </c:pt>
                <c:pt idx="41">
                  <c:v>13.012147823778815</c:v>
                </c:pt>
                <c:pt idx="42">
                  <c:v>14.720039720736064</c:v>
                </c:pt>
                <c:pt idx="43">
                  <c:v>15.185398234796022</c:v>
                </c:pt>
                <c:pt idx="44">
                  <c:v>14.190241697156335</c:v>
                </c:pt>
                <c:pt idx="45">
                  <c:v>14.422655521113771</c:v>
                </c:pt>
                <c:pt idx="46">
                  <c:v>15.743794948656834</c:v>
                </c:pt>
                <c:pt idx="47">
                  <c:v>15.126419881972923</c:v>
                </c:pt>
                <c:pt idx="48">
                  <c:v>14.914599030534816</c:v>
                </c:pt>
                <c:pt idx="49">
                  <c:v>14.519490243157289</c:v>
                </c:pt>
                <c:pt idx="50">
                  <c:v>15.085793015850681</c:v>
                </c:pt>
                <c:pt idx="51">
                  <c:v>14.973490082974982</c:v>
                </c:pt>
                <c:pt idx="52">
                  <c:v>14.616452195212876</c:v>
                </c:pt>
                <c:pt idx="53">
                  <c:v>14.208711070575838</c:v>
                </c:pt>
                <c:pt idx="54">
                  <c:v>15.38169006579515</c:v>
                </c:pt>
                <c:pt idx="55">
                  <c:v>14.453428915895621</c:v>
                </c:pt>
                <c:pt idx="56">
                  <c:v>15.013416244834978</c:v>
                </c:pt>
                <c:pt idx="57">
                  <c:v>13.346253942915622</c:v>
                </c:pt>
                <c:pt idx="58">
                  <c:v>14.84632667912245</c:v>
                </c:pt>
                <c:pt idx="59">
                  <c:v>13.93773656394078</c:v>
                </c:pt>
                <c:pt idx="60">
                  <c:v>14.220433265319794</c:v>
                </c:pt>
                <c:pt idx="61">
                  <c:v>14.21370666082645</c:v>
                </c:pt>
                <c:pt idx="62">
                  <c:v>14.369086483611675</c:v>
                </c:pt>
                <c:pt idx="63">
                  <c:v>14.347865115952171</c:v>
                </c:pt>
                <c:pt idx="64">
                  <c:v>13.301710852169984</c:v>
                </c:pt>
                <c:pt idx="65">
                  <c:v>14.49698943317615</c:v>
                </c:pt>
                <c:pt idx="66">
                  <c:v>13.861544988457668</c:v>
                </c:pt>
                <c:pt idx="67">
                  <c:v>15.151380368443833</c:v>
                </c:pt>
                <c:pt idx="68">
                  <c:v>14.09801124517889</c:v>
                </c:pt>
                <c:pt idx="69">
                  <c:v>14.704905781706383</c:v>
                </c:pt>
                <c:pt idx="70">
                  <c:v>14.521181524703282</c:v>
                </c:pt>
                <c:pt idx="71">
                  <c:v>14.788773469454245</c:v>
                </c:pt>
                <c:pt idx="72">
                  <c:v>15.186741560205448</c:v>
                </c:pt>
                <c:pt idx="73">
                  <c:v>14.659684904139883</c:v>
                </c:pt>
                <c:pt idx="74">
                  <c:v>14.558804077409746</c:v>
                </c:pt>
                <c:pt idx="75">
                  <c:v>14.114360231876981</c:v>
                </c:pt>
                <c:pt idx="76">
                  <c:v>14.706631032930726</c:v>
                </c:pt>
                <c:pt idx="77">
                  <c:v>13.923154866486716</c:v>
                </c:pt>
                <c:pt idx="78">
                  <c:v>15.048338268208074</c:v>
                </c:pt>
                <c:pt idx="79">
                  <c:v>14.394207970707553</c:v>
                </c:pt>
                <c:pt idx="80">
                  <c:v>14.442749901960454</c:v>
                </c:pt>
                <c:pt idx="81">
                  <c:v>15.207320609260712</c:v>
                </c:pt>
                <c:pt idx="82">
                  <c:v>14.210687482098296</c:v>
                </c:pt>
                <c:pt idx="83">
                  <c:v>15.371480566433023</c:v>
                </c:pt>
                <c:pt idx="84">
                  <c:v>15.231080059557021</c:v>
                </c:pt>
                <c:pt idx="85">
                  <c:v>14.883975970383375</c:v>
                </c:pt>
                <c:pt idx="86">
                  <c:v>14.693900813635391</c:v>
                </c:pt>
                <c:pt idx="87">
                  <c:v>15.15139361644011</c:v>
                </c:pt>
                <c:pt idx="88">
                  <c:v>14.621307000653214</c:v>
                </c:pt>
                <c:pt idx="89">
                  <c:v>14.438619113146807</c:v>
                </c:pt>
                <c:pt idx="90">
                  <c:v>14.534603187981157</c:v>
                </c:pt>
                <c:pt idx="91">
                  <c:v>14.737167017706685</c:v>
                </c:pt>
                <c:pt idx="92">
                  <c:v>14.85978635544568</c:v>
                </c:pt>
                <c:pt idx="93">
                  <c:v>14.846926036641715</c:v>
                </c:pt>
                <c:pt idx="94">
                  <c:v>14.898098796313702</c:v>
                </c:pt>
                <c:pt idx="95">
                  <c:v>14.058772488643873</c:v>
                </c:pt>
                <c:pt idx="96">
                  <c:v>14.021340598303761</c:v>
                </c:pt>
                <c:pt idx="97">
                  <c:v>14.234679927448051</c:v>
                </c:pt>
                <c:pt idx="98">
                  <c:v>14.843902330090623</c:v>
                </c:pt>
                <c:pt idx="99">
                  <c:v>14.156330236682628</c:v>
                </c:pt>
                <c:pt idx="100">
                  <c:v>14.811511951882119</c:v>
                </c:pt>
                <c:pt idx="101">
                  <c:v>13.892279697628762</c:v>
                </c:pt>
                <c:pt idx="102">
                  <c:v>15.06158298967889</c:v>
                </c:pt>
                <c:pt idx="103">
                  <c:v>15.448459396832712</c:v>
                </c:pt>
                <c:pt idx="104">
                  <c:v>14.543893139216815</c:v>
                </c:pt>
                <c:pt idx="105">
                  <c:v>14.343635113833164</c:v>
                </c:pt>
                <c:pt idx="106">
                  <c:v>13.603359283992113</c:v>
                </c:pt>
                <c:pt idx="107">
                  <c:v>14.015041867518145</c:v>
                </c:pt>
                <c:pt idx="108">
                  <c:v>13.546330312732529</c:v>
                </c:pt>
                <c:pt idx="109">
                  <c:v>14.74939921030767</c:v>
                </c:pt>
                <c:pt idx="110">
                  <c:v>14.37418370229325</c:v>
                </c:pt>
                <c:pt idx="111">
                  <c:v>15.088311980202199</c:v>
                </c:pt>
                <c:pt idx="112">
                  <c:v>14.732138865984695</c:v>
                </c:pt>
                <c:pt idx="113">
                  <c:v>15.432101345858824</c:v>
                </c:pt>
                <c:pt idx="114">
                  <c:v>15.210114265854484</c:v>
                </c:pt>
                <c:pt idx="115">
                  <c:v>15.591532440334401</c:v>
                </c:pt>
                <c:pt idx="116">
                  <c:v>15.486844531170265</c:v>
                </c:pt>
                <c:pt idx="117">
                  <c:v>14.980942540671071</c:v>
                </c:pt>
                <c:pt idx="118">
                  <c:v>15.090344809206032</c:v>
                </c:pt>
                <c:pt idx="119">
                  <c:v>14.048354876527119</c:v>
                </c:pt>
                <c:pt idx="120">
                  <c:v>14.344090537659644</c:v>
                </c:pt>
                <c:pt idx="121">
                  <c:v>15.468659950431965</c:v>
                </c:pt>
                <c:pt idx="122">
                  <c:v>14.067449350028056</c:v>
                </c:pt>
                <c:pt idx="123">
                  <c:v>15.018239333948872</c:v>
                </c:pt>
                <c:pt idx="124">
                  <c:v>14.959237052842171</c:v>
                </c:pt>
                <c:pt idx="125">
                  <c:v>15.684063110012794</c:v>
                </c:pt>
                <c:pt idx="126">
                  <c:v>14.077133848419832</c:v>
                </c:pt>
                <c:pt idx="127">
                  <c:v>14.520493115496645</c:v>
                </c:pt>
                <c:pt idx="128">
                  <c:v>14.849898086280227</c:v>
                </c:pt>
                <c:pt idx="129">
                  <c:v>13.924142866284091</c:v>
                </c:pt>
                <c:pt idx="130">
                  <c:v>15.016800868660315</c:v>
                </c:pt>
                <c:pt idx="131">
                  <c:v>14.492982838355481</c:v>
                </c:pt>
                <c:pt idx="132">
                  <c:v>15.21745038230266</c:v>
                </c:pt>
                <c:pt idx="133">
                  <c:v>15.032977484151493</c:v>
                </c:pt>
                <c:pt idx="134">
                  <c:v>14.016174748275528</c:v>
                </c:pt>
                <c:pt idx="135">
                  <c:v>15.231891446696023</c:v>
                </c:pt>
                <c:pt idx="136">
                  <c:v>14.651945893312789</c:v>
                </c:pt>
                <c:pt idx="137">
                  <c:v>14.855925613577885</c:v>
                </c:pt>
                <c:pt idx="138">
                  <c:v>14.369003270247614</c:v>
                </c:pt>
                <c:pt idx="139">
                  <c:v>14.240793714080006</c:v>
                </c:pt>
                <c:pt idx="140">
                  <c:v>14.62067164062254</c:v>
                </c:pt>
                <c:pt idx="141">
                  <c:v>14.401067014460908</c:v>
                </c:pt>
                <c:pt idx="142">
                  <c:v>14.489687437781182</c:v>
                </c:pt>
                <c:pt idx="143">
                  <c:v>13.49253104640716</c:v>
                </c:pt>
                <c:pt idx="144">
                  <c:v>14.996010786420229</c:v>
                </c:pt>
                <c:pt idx="145">
                  <c:v>14.966812503775937</c:v>
                </c:pt>
                <c:pt idx="146">
                  <c:v>13.358966995135466</c:v>
                </c:pt>
                <c:pt idx="147">
                  <c:v>15.359333136436961</c:v>
                </c:pt>
                <c:pt idx="148">
                  <c:v>13.941206647619376</c:v>
                </c:pt>
                <c:pt idx="149">
                  <c:v>13.964261949856287</c:v>
                </c:pt>
                <c:pt idx="150">
                  <c:v>14.657688159242605</c:v>
                </c:pt>
                <c:pt idx="151">
                  <c:v>14.924047264734885</c:v>
                </c:pt>
                <c:pt idx="152">
                  <c:v>15.031530476933394</c:v>
                </c:pt>
                <c:pt idx="153">
                  <c:v>14.31755025873708</c:v>
                </c:pt>
                <c:pt idx="154">
                  <c:v>14.629932996678924</c:v>
                </c:pt>
                <c:pt idx="155">
                  <c:v>13.912209392246206</c:v>
                </c:pt>
                <c:pt idx="156">
                  <c:v>14.176149660161874</c:v>
                </c:pt>
                <c:pt idx="157">
                  <c:v>13.576726640103606</c:v>
                </c:pt>
                <c:pt idx="158">
                  <c:v>14.452745726563554</c:v>
                </c:pt>
                <c:pt idx="159">
                  <c:v>14.852220906348153</c:v>
                </c:pt>
                <c:pt idx="160">
                  <c:v>14.921086439490011</c:v>
                </c:pt>
                <c:pt idx="161">
                  <c:v>14.467598438862398</c:v>
                </c:pt>
                <c:pt idx="162">
                  <c:v>13.857890706607416</c:v>
                </c:pt>
                <c:pt idx="163">
                  <c:v>13.801687988157553</c:v>
                </c:pt>
                <c:pt idx="164">
                  <c:v>14.283740400750297</c:v>
                </c:pt>
                <c:pt idx="165">
                  <c:v>15.205394855919618</c:v>
                </c:pt>
                <c:pt idx="166">
                  <c:v>13.070802152856515</c:v>
                </c:pt>
                <c:pt idx="167">
                  <c:v>15.063733280654462</c:v>
                </c:pt>
                <c:pt idx="168">
                  <c:v>14.157544225704203</c:v>
                </c:pt>
                <c:pt idx="169">
                  <c:v>14.716691397306263</c:v>
                </c:pt>
                <c:pt idx="170">
                  <c:v>14.349560209469033</c:v>
                </c:pt>
                <c:pt idx="171">
                  <c:v>15.317713126582838</c:v>
                </c:pt>
                <c:pt idx="172">
                  <c:v>13.797786544869467</c:v>
                </c:pt>
                <c:pt idx="173">
                  <c:v>15.339307539420385</c:v>
                </c:pt>
                <c:pt idx="174">
                  <c:v>13.694014401139464</c:v>
                </c:pt>
                <c:pt idx="175">
                  <c:v>13.506352280678996</c:v>
                </c:pt>
                <c:pt idx="176">
                  <c:v>14.021248538341991</c:v>
                </c:pt>
                <c:pt idx="177">
                  <c:v>13.60494960087097</c:v>
                </c:pt>
                <c:pt idx="178">
                  <c:v>14.742490224010307</c:v>
                </c:pt>
                <c:pt idx="179">
                  <c:v>15.63565038005942</c:v>
                </c:pt>
                <c:pt idx="180">
                  <c:v>14.984486963826603</c:v>
                </c:pt>
                <c:pt idx="181">
                  <c:v>14.59379764723481</c:v>
                </c:pt>
                <c:pt idx="182">
                  <c:v>14.88045795009065</c:v>
                </c:pt>
                <c:pt idx="183">
                  <c:v>14.58208284770758</c:v>
                </c:pt>
                <c:pt idx="184">
                  <c:v>15.625585448878095</c:v>
                </c:pt>
                <c:pt idx="185">
                  <c:v>14.619689849631433</c:v>
                </c:pt>
                <c:pt idx="186">
                  <c:v>14.915801253839533</c:v>
                </c:pt>
                <c:pt idx="187">
                  <c:v>14.87656740309766</c:v>
                </c:pt>
                <c:pt idx="188">
                  <c:v>14.203643608506408</c:v>
                </c:pt>
                <c:pt idx="189">
                  <c:v>14.620615160342066</c:v>
                </c:pt>
                <c:pt idx="190">
                  <c:v>13.875787206576513</c:v>
                </c:pt>
                <c:pt idx="191">
                  <c:v>14.55073713516909</c:v>
                </c:pt>
                <c:pt idx="192">
                  <c:v>14.389762306324847</c:v>
                </c:pt>
                <c:pt idx="193">
                  <c:v>14.954749641770899</c:v>
                </c:pt>
                <c:pt idx="194">
                  <c:v>13.945712381050649</c:v>
                </c:pt>
                <c:pt idx="195">
                  <c:v>15.086295625841135</c:v>
                </c:pt>
                <c:pt idx="196">
                  <c:v>14.739021738126837</c:v>
                </c:pt>
                <c:pt idx="197">
                  <c:v>14.165815307351641</c:v>
                </c:pt>
                <c:pt idx="198">
                  <c:v>13.9350633047353</c:v>
                </c:pt>
                <c:pt idx="199">
                  <c:v>15.547775223502901</c:v>
                </c:pt>
                <c:pt idx="200">
                  <c:v>15.099863919372746</c:v>
                </c:pt>
                <c:pt idx="201">
                  <c:v>13.878356488940865</c:v>
                </c:pt>
                <c:pt idx="202">
                  <c:v>14.530293713917677</c:v>
                </c:pt>
                <c:pt idx="203">
                  <c:v>15.110812094049592</c:v>
                </c:pt>
                <c:pt idx="204">
                  <c:v>14.865373117417544</c:v>
                </c:pt>
                <c:pt idx="205">
                  <c:v>15.54615210040911</c:v>
                </c:pt>
                <c:pt idx="206">
                  <c:v>15.446028676026232</c:v>
                </c:pt>
                <c:pt idx="207">
                  <c:v>14.227665570984179</c:v>
                </c:pt>
                <c:pt idx="208">
                  <c:v>14.95605659417596</c:v>
                </c:pt>
                <c:pt idx="209">
                  <c:v>15.143258113307887</c:v>
                </c:pt>
                <c:pt idx="210">
                  <c:v>15.025446282771391</c:v>
                </c:pt>
                <c:pt idx="211">
                  <c:v>14.778479163034193</c:v>
                </c:pt>
                <c:pt idx="212">
                  <c:v>14.631312595235132</c:v>
                </c:pt>
                <c:pt idx="213">
                  <c:v>14.83381757796889</c:v>
                </c:pt>
                <c:pt idx="214">
                  <c:v>14.48467938470688</c:v>
                </c:pt>
                <c:pt idx="215">
                  <c:v>15.486166146566744</c:v>
                </c:pt>
                <c:pt idx="216">
                  <c:v>15.70539595986579</c:v>
                </c:pt>
                <c:pt idx="217">
                  <c:v>14.271516683514244</c:v>
                </c:pt>
                <c:pt idx="218">
                  <c:v>15.261581849092824</c:v>
                </c:pt>
                <c:pt idx="219">
                  <c:v>15.019237706013785</c:v>
                </c:pt>
                <c:pt idx="220">
                  <c:v>14.998581097180416</c:v>
                </c:pt>
                <c:pt idx="221">
                  <c:v>14.02344289365133</c:v>
                </c:pt>
                <c:pt idx="222">
                  <c:v>14.923257334555263</c:v>
                </c:pt>
                <c:pt idx="223">
                  <c:v>15.056411603665158</c:v>
                </c:pt>
                <c:pt idx="224">
                  <c:v>14.256271819063945</c:v>
                </c:pt>
                <c:pt idx="225">
                  <c:v>13.716115595555992</c:v>
                </c:pt>
                <c:pt idx="226">
                  <c:v>14.627974723368055</c:v>
                </c:pt>
                <c:pt idx="227">
                  <c:v>15.82955942627879</c:v>
                </c:pt>
                <c:pt idx="228">
                  <c:v>14.535276732753283</c:v>
                </c:pt>
                <c:pt idx="229">
                  <c:v>13.700422177263526</c:v>
                </c:pt>
                <c:pt idx="230">
                  <c:v>15.423486291675321</c:v>
                </c:pt>
                <c:pt idx="231">
                  <c:v>14.613967868567149</c:v>
                </c:pt>
                <c:pt idx="232">
                  <c:v>15.195317096736222</c:v>
                </c:pt>
                <c:pt idx="233">
                  <c:v>14.630102195529465</c:v>
                </c:pt>
                <c:pt idx="234">
                  <c:v>14.626815445156616</c:v>
                </c:pt>
                <c:pt idx="235">
                  <c:v>13.638109605314224</c:v>
                </c:pt>
                <c:pt idx="236">
                  <c:v>13.526790431701125</c:v>
                </c:pt>
                <c:pt idx="237">
                  <c:v>15.239441215894182</c:v>
                </c:pt>
                <c:pt idx="238">
                  <c:v>13.823673039477923</c:v>
                </c:pt>
                <c:pt idx="239">
                  <c:v>14.011510239145236</c:v>
                </c:pt>
                <c:pt idx="240">
                  <c:v>14.552800835182758</c:v>
                </c:pt>
                <c:pt idx="241">
                  <c:v>15.241641932500981</c:v>
                </c:pt>
                <c:pt idx="242">
                  <c:v>13.618680651050971</c:v>
                </c:pt>
                <c:pt idx="243">
                  <c:v>14.166081210072855</c:v>
                </c:pt>
                <c:pt idx="244">
                  <c:v>14.422824978035774</c:v>
                </c:pt>
                <c:pt idx="245">
                  <c:v>14.193232431328427</c:v>
                </c:pt>
                <c:pt idx="246">
                  <c:v>14.113269441070781</c:v>
                </c:pt>
                <c:pt idx="247">
                  <c:v>14.15274386134698</c:v>
                </c:pt>
                <c:pt idx="248">
                  <c:v>15.266145621998458</c:v>
                </c:pt>
                <c:pt idx="249">
                  <c:v>13.972550549447854</c:v>
                </c:pt>
                <c:pt idx="250">
                  <c:v>15.996728156760383</c:v>
                </c:pt>
                <c:pt idx="251">
                  <c:v>15.69053799438821</c:v>
                </c:pt>
                <c:pt idx="252">
                  <c:v>15.107209571818583</c:v>
                </c:pt>
                <c:pt idx="253">
                  <c:v>14.381147220031995</c:v>
                </c:pt>
                <c:pt idx="254">
                  <c:v>14.743921464331217</c:v>
                </c:pt>
                <c:pt idx="255">
                  <c:v>14.854861359184317</c:v>
                </c:pt>
                <c:pt idx="256">
                  <c:v>14.161914766975173</c:v>
                </c:pt>
                <c:pt idx="257">
                  <c:v>14.762848429367709</c:v>
                </c:pt>
                <c:pt idx="258">
                  <c:v>14.88417971230232</c:v>
                </c:pt>
                <c:pt idx="259">
                  <c:v>13.983317122625261</c:v>
                </c:pt>
                <c:pt idx="260">
                  <c:v>14.505570284330201</c:v>
                </c:pt>
                <c:pt idx="261">
                  <c:v>15.672188338927359</c:v>
                </c:pt>
                <c:pt idx="262">
                  <c:v>15.013394809280632</c:v>
                </c:pt>
                <c:pt idx="263">
                  <c:v>14.929512709858457</c:v>
                </c:pt>
                <c:pt idx="264">
                  <c:v>14.84399649686859</c:v>
                </c:pt>
                <c:pt idx="265">
                  <c:v>15.19786633141694</c:v>
                </c:pt>
                <c:pt idx="266">
                  <c:v>15.445798217931227</c:v>
                </c:pt>
                <c:pt idx="267">
                  <c:v>13.897331804709752</c:v>
                </c:pt>
                <c:pt idx="268">
                  <c:v>15.187888146755132</c:v>
                </c:pt>
                <c:pt idx="269">
                  <c:v>14.977055284057379</c:v>
                </c:pt>
                <c:pt idx="270">
                  <c:v>15.596579621441396</c:v>
                </c:pt>
                <c:pt idx="271">
                  <c:v>14.392777156672748</c:v>
                </c:pt>
                <c:pt idx="272">
                  <c:v>14.343222501971685</c:v>
                </c:pt>
                <c:pt idx="273">
                  <c:v>14.541911888144842</c:v>
                </c:pt>
                <c:pt idx="274">
                  <c:v>14.631827659120134</c:v>
                </c:pt>
                <c:pt idx="275">
                  <c:v>15.033336944688141</c:v>
                </c:pt>
                <c:pt idx="276">
                  <c:v>14.827644979947317</c:v>
                </c:pt>
                <c:pt idx="277">
                  <c:v>14.519456069703372</c:v>
                </c:pt>
                <c:pt idx="278">
                  <c:v>14.438999616948557</c:v>
                </c:pt>
                <c:pt idx="279">
                  <c:v>15.61834987582748</c:v>
                </c:pt>
                <c:pt idx="280">
                  <c:v>15.024588835666369</c:v>
                </c:pt>
                <c:pt idx="281">
                  <c:v>15.13328340798115</c:v>
                </c:pt>
                <c:pt idx="282">
                  <c:v>15.326261531878286</c:v>
                </c:pt>
                <c:pt idx="283">
                  <c:v>14.310957376165499</c:v>
                </c:pt>
                <c:pt idx="284">
                  <c:v>15.400397967535948</c:v>
                </c:pt>
                <c:pt idx="285">
                  <c:v>15.432052754269844</c:v>
                </c:pt>
                <c:pt idx="286">
                  <c:v>15.977131773191397</c:v>
                </c:pt>
                <c:pt idx="287">
                  <c:v>15.490132068186162</c:v>
                </c:pt>
                <c:pt idx="288">
                  <c:v>15.173728310688444</c:v>
                </c:pt>
                <c:pt idx="289">
                  <c:v>14.815096067237683</c:v>
                </c:pt>
                <c:pt idx="290">
                  <c:v>14.691705929556736</c:v>
                </c:pt>
                <c:pt idx="291">
                  <c:v>14.876759883338925</c:v>
                </c:pt>
                <c:pt idx="292">
                  <c:v>14.503446004546609</c:v>
                </c:pt>
                <c:pt idx="293">
                  <c:v>14.258457939010004</c:v>
                </c:pt>
                <c:pt idx="294">
                  <c:v>14.422372964874565</c:v>
                </c:pt>
                <c:pt idx="295">
                  <c:v>14.067538300314387</c:v>
                </c:pt>
                <c:pt idx="296">
                  <c:v>13.391383337490517</c:v>
                </c:pt>
                <c:pt idx="297">
                  <c:v>14.454935101861153</c:v>
                </c:pt>
                <c:pt idx="298">
                  <c:v>14.396625235176305</c:v>
                </c:pt>
                <c:pt idx="299">
                  <c:v>13.92888261484056</c:v>
                </c:pt>
                <c:pt idx="300">
                  <c:v>14.624738012884867</c:v>
                </c:pt>
                <c:pt idx="301">
                  <c:v>14.737095453217949</c:v>
                </c:pt>
                <c:pt idx="302">
                  <c:v>14.986648866536136</c:v>
                </c:pt>
                <c:pt idx="303">
                  <c:v>14.279513565044375</c:v>
                </c:pt>
                <c:pt idx="304">
                  <c:v>14.857191886033142</c:v>
                </c:pt>
                <c:pt idx="305">
                  <c:v>15.057783737212164</c:v>
                </c:pt>
                <c:pt idx="306">
                  <c:v>14.558294498717549</c:v>
                </c:pt>
                <c:pt idx="307">
                  <c:v>13.419963886438012</c:v>
                </c:pt>
                <c:pt idx="308">
                  <c:v>15.235060115355195</c:v>
                </c:pt>
                <c:pt idx="309">
                  <c:v>15.283470702666172</c:v>
                </c:pt>
                <c:pt idx="310">
                  <c:v>15.58640477570875</c:v>
                </c:pt>
                <c:pt idx="311">
                  <c:v>15.384071712503793</c:v>
                </c:pt>
                <c:pt idx="312">
                  <c:v>15.265201916261546</c:v>
                </c:pt>
                <c:pt idx="313">
                  <c:v>15.101863585960398</c:v>
                </c:pt>
                <c:pt idx="314">
                  <c:v>14.733596672493457</c:v>
                </c:pt>
                <c:pt idx="315">
                  <c:v>15.06854021236329</c:v>
                </c:pt>
                <c:pt idx="316">
                  <c:v>14.123597634675056</c:v>
                </c:pt>
                <c:pt idx="317">
                  <c:v>14.92794828118711</c:v>
                </c:pt>
                <c:pt idx="318">
                  <c:v>14.557650509707141</c:v>
                </c:pt>
                <c:pt idx="319">
                  <c:v>15.275882795670558</c:v>
                </c:pt>
                <c:pt idx="320">
                  <c:v>14.098105009813775</c:v>
                </c:pt>
                <c:pt idx="321">
                  <c:v>13.844276371396729</c:v>
                </c:pt>
                <c:pt idx="322">
                  <c:v>15.015501147310941</c:v>
                </c:pt>
                <c:pt idx="323">
                  <c:v>15.754300509740924</c:v>
                </c:pt>
                <c:pt idx="324">
                  <c:v>14.149932469816754</c:v>
                </c:pt>
                <c:pt idx="325">
                  <c:v>14.812712811967952</c:v>
                </c:pt>
                <c:pt idx="326">
                  <c:v>14.590375429549598</c:v>
                </c:pt>
                <c:pt idx="327">
                  <c:v>14.964078049911736</c:v>
                </c:pt>
                <c:pt idx="328">
                  <c:v>14.299575878589801</c:v>
                </c:pt>
                <c:pt idx="329">
                  <c:v>14.403247654105284</c:v>
                </c:pt>
                <c:pt idx="330">
                  <c:v>14.569894911459418</c:v>
                </c:pt>
                <c:pt idx="331">
                  <c:v>14.496140623090218</c:v>
                </c:pt>
                <c:pt idx="332">
                  <c:v>14.201091536878367</c:v>
                </c:pt>
                <c:pt idx="333">
                  <c:v>14.984922147695041</c:v>
                </c:pt>
                <c:pt idx="334">
                  <c:v>14.784615690964147</c:v>
                </c:pt>
                <c:pt idx="335">
                  <c:v>14.352078912545332</c:v>
                </c:pt>
                <c:pt idx="336">
                  <c:v>15.437905304227819</c:v>
                </c:pt>
                <c:pt idx="337">
                  <c:v>14.537578329310007</c:v>
                </c:pt>
                <c:pt idx="338">
                  <c:v>14.931744501590368</c:v>
                </c:pt>
                <c:pt idx="339">
                  <c:v>14.861184757752067</c:v>
                </c:pt>
                <c:pt idx="340">
                  <c:v>14.831924671891676</c:v>
                </c:pt>
                <c:pt idx="341">
                  <c:v>13.983157910808046</c:v>
                </c:pt>
                <c:pt idx="342">
                  <c:v>14.609000121736807</c:v>
                </c:pt>
                <c:pt idx="343">
                  <c:v>15.199450324026612</c:v>
                </c:pt>
                <c:pt idx="344">
                  <c:v>13.694179518597508</c:v>
                </c:pt>
                <c:pt idx="345">
                  <c:v>15.407837388410355</c:v>
                </c:pt>
                <c:pt idx="346">
                  <c:v>14.99632367992537</c:v>
                </c:pt>
                <c:pt idx="347">
                  <c:v>14.518316450390108</c:v>
                </c:pt>
                <c:pt idx="348">
                  <c:v>14.080682280018188</c:v>
                </c:pt>
                <c:pt idx="349">
                  <c:v>15.152401472610421</c:v>
                </c:pt>
                <c:pt idx="350">
                  <c:v>14.15819873102151</c:v>
                </c:pt>
                <c:pt idx="351">
                  <c:v>15.777679628784153</c:v>
                </c:pt>
                <c:pt idx="352">
                  <c:v>13.799607065738957</c:v>
                </c:pt>
                <c:pt idx="353">
                  <c:v>14.573485408010059</c:v>
                </c:pt>
                <c:pt idx="354">
                  <c:v>14.140736715502516</c:v>
                </c:pt>
                <c:pt idx="355">
                  <c:v>14.823260661115045</c:v>
                </c:pt>
                <c:pt idx="356">
                  <c:v>14.852207886741015</c:v>
                </c:pt>
                <c:pt idx="357">
                  <c:v>14.910566310567916</c:v>
                </c:pt>
                <c:pt idx="358">
                  <c:v>14.991551400162445</c:v>
                </c:pt>
                <c:pt idx="359">
                  <c:v>13.927557356379737</c:v>
                </c:pt>
                <c:pt idx="360">
                  <c:v>14.789937809896307</c:v>
                </c:pt>
                <c:pt idx="361">
                  <c:v>14.489395263147061</c:v>
                </c:pt>
                <c:pt idx="362">
                  <c:v>14.449086370691964</c:v>
                </c:pt>
                <c:pt idx="363">
                  <c:v>15.042601391417024</c:v>
                </c:pt>
                <c:pt idx="364">
                  <c:v>13.887836739349561</c:v>
                </c:pt>
                <c:pt idx="365">
                  <c:v>13.940641544495668</c:v>
                </c:pt>
                <c:pt idx="366">
                  <c:v>14.547238567958416</c:v>
                </c:pt>
                <c:pt idx="367">
                  <c:v>13.330053680858416</c:v>
                </c:pt>
                <c:pt idx="368">
                  <c:v>14.731965322217519</c:v>
                </c:pt>
                <c:pt idx="369">
                  <c:v>15.392959755758914</c:v>
                </c:pt>
                <c:pt idx="370">
                  <c:v>15.87281006215372</c:v>
                </c:pt>
                <c:pt idx="371">
                  <c:v>14.169487714467822</c:v>
                </c:pt>
                <c:pt idx="372">
                  <c:v>14.329827538874298</c:v>
                </c:pt>
                <c:pt idx="373">
                  <c:v>15.056351368849446</c:v>
                </c:pt>
                <c:pt idx="374">
                  <c:v>15.485676976261015</c:v>
                </c:pt>
                <c:pt idx="375">
                  <c:v>13.85194173435087</c:v>
                </c:pt>
                <c:pt idx="376">
                  <c:v>14.094106055345222</c:v>
                </c:pt>
                <c:pt idx="377">
                  <c:v>14.959663506386336</c:v>
                </c:pt>
                <c:pt idx="378">
                  <c:v>14.856344033934041</c:v>
                </c:pt>
                <c:pt idx="379">
                  <c:v>14.542165479559586</c:v>
                </c:pt>
                <c:pt idx="380">
                  <c:v>13.587365163355415</c:v>
                </c:pt>
                <c:pt idx="381">
                  <c:v>15.033566854541661</c:v>
                </c:pt>
                <c:pt idx="382">
                  <c:v>14.624004201861002</c:v>
                </c:pt>
                <c:pt idx="383">
                  <c:v>15.027196398626945</c:v>
                </c:pt>
                <c:pt idx="384">
                  <c:v>14.223212883767124</c:v>
                </c:pt>
                <c:pt idx="385">
                  <c:v>14.265165010638468</c:v>
                </c:pt>
                <c:pt idx="386">
                  <c:v>14.433967675013347</c:v>
                </c:pt>
                <c:pt idx="387">
                  <c:v>14.96637301061584</c:v>
                </c:pt>
                <c:pt idx="388">
                  <c:v>15.261274466779282</c:v>
                </c:pt>
                <c:pt idx="389">
                  <c:v>15.270464748087512</c:v>
                </c:pt>
                <c:pt idx="390">
                  <c:v>15.311878516854364</c:v>
                </c:pt>
                <c:pt idx="391">
                  <c:v>14.578511540722181</c:v>
                </c:pt>
                <c:pt idx="392">
                  <c:v>15.902627547459716</c:v>
                </c:pt>
                <c:pt idx="393">
                  <c:v>15.103888570696219</c:v>
                </c:pt>
                <c:pt idx="394">
                  <c:v>15.38025301958651</c:v>
                </c:pt>
                <c:pt idx="395">
                  <c:v>15.088211614205084</c:v>
                </c:pt>
                <c:pt idx="396">
                  <c:v>15.046430268220407</c:v>
                </c:pt>
                <c:pt idx="397">
                  <c:v>13.832659425994976</c:v>
                </c:pt>
                <c:pt idx="398">
                  <c:v>15.184621353199894</c:v>
                </c:pt>
                <c:pt idx="399">
                  <c:v>13.738264118572776</c:v>
                </c:pt>
                <c:pt idx="400">
                  <c:v>14.118150320876941</c:v>
                </c:pt>
                <c:pt idx="401">
                  <c:v>15.430081206361811</c:v>
                </c:pt>
                <c:pt idx="402">
                  <c:v>14.384321040903641</c:v>
                </c:pt>
                <c:pt idx="403">
                  <c:v>15.39184387571019</c:v>
                </c:pt>
                <c:pt idx="404">
                  <c:v>14.864649620316534</c:v>
                </c:pt>
                <c:pt idx="405">
                  <c:v>14.348569142719734</c:v>
                </c:pt>
                <c:pt idx="406">
                  <c:v>15.486435595871752</c:v>
                </c:pt>
                <c:pt idx="407">
                  <c:v>14.136570635859096</c:v>
                </c:pt>
                <c:pt idx="408">
                  <c:v>14.059947156954266</c:v>
                </c:pt>
                <c:pt idx="409">
                  <c:v>14.520567611052174</c:v>
                </c:pt>
                <c:pt idx="410">
                  <c:v>14.239650327830816</c:v>
                </c:pt>
                <c:pt idx="411">
                  <c:v>14.925483130768312</c:v>
                </c:pt>
                <c:pt idx="412">
                  <c:v>14.498932887549476</c:v>
                </c:pt>
                <c:pt idx="413">
                  <c:v>14.633771186749854</c:v>
                </c:pt>
                <c:pt idx="414">
                  <c:v>14.865184818432047</c:v>
                </c:pt>
                <c:pt idx="415">
                  <c:v>15.820291727984804</c:v>
                </c:pt>
                <c:pt idx="416">
                  <c:v>14.488565983698024</c:v>
                </c:pt>
                <c:pt idx="417">
                  <c:v>14.674899819335561</c:v>
                </c:pt>
                <c:pt idx="418">
                  <c:v>14.042133525714323</c:v>
                </c:pt>
                <c:pt idx="419">
                  <c:v>14.07393027633788</c:v>
                </c:pt>
                <c:pt idx="420">
                  <c:v>13.152521178332272</c:v>
                </c:pt>
                <c:pt idx="421">
                  <c:v>14.319256226832344</c:v>
                </c:pt>
                <c:pt idx="422">
                  <c:v>15.356925934862094</c:v>
                </c:pt>
                <c:pt idx="423">
                  <c:v>15.302914498598264</c:v>
                </c:pt>
                <c:pt idx="424">
                  <c:v>14.980888334422399</c:v>
                </c:pt>
                <c:pt idx="425">
                  <c:v>15.536153424478226</c:v>
                </c:pt>
                <c:pt idx="426">
                  <c:v>15.495331163993409</c:v>
                </c:pt>
                <c:pt idx="427">
                  <c:v>15.550307945363908</c:v>
                </c:pt>
                <c:pt idx="428">
                  <c:v>14.5892231477581</c:v>
                </c:pt>
                <c:pt idx="429">
                  <c:v>15.143843252845093</c:v>
                </c:pt>
                <c:pt idx="430">
                  <c:v>14.610459331493811</c:v>
                </c:pt>
                <c:pt idx="431">
                  <c:v>14.805149813694797</c:v>
                </c:pt>
                <c:pt idx="432">
                  <c:v>14.653949128403715</c:v>
                </c:pt>
                <c:pt idx="433">
                  <c:v>13.812278865209562</c:v>
                </c:pt>
                <c:pt idx="434">
                  <c:v>15.66413009992117</c:v>
                </c:pt>
                <c:pt idx="435">
                  <c:v>14.923975136634896</c:v>
                </c:pt>
                <c:pt idx="436">
                  <c:v>14.675838589878303</c:v>
                </c:pt>
                <c:pt idx="437">
                  <c:v>15.118246123412622</c:v>
                </c:pt>
                <c:pt idx="438">
                  <c:v>14.879818790907661</c:v>
                </c:pt>
                <c:pt idx="439">
                  <c:v>15.893756630306198</c:v>
                </c:pt>
                <c:pt idx="440">
                  <c:v>14.558782019592559</c:v>
                </c:pt>
                <c:pt idx="441">
                  <c:v>15.07937644218384</c:v>
                </c:pt>
                <c:pt idx="442">
                  <c:v>14.776276454115365</c:v>
                </c:pt>
                <c:pt idx="443">
                  <c:v>14.641067886557071</c:v>
                </c:pt>
                <c:pt idx="444">
                  <c:v>14.866824168717923</c:v>
                </c:pt>
                <c:pt idx="445">
                  <c:v>15.090491968715881</c:v>
                </c:pt>
                <c:pt idx="446">
                  <c:v>14.664411949548377</c:v>
                </c:pt>
                <c:pt idx="447">
                  <c:v>14.191723032750016</c:v>
                </c:pt>
                <c:pt idx="448">
                  <c:v>14.449871741900919</c:v>
                </c:pt>
                <c:pt idx="449">
                  <c:v>14.554628497173887</c:v>
                </c:pt>
                <c:pt idx="450">
                  <c:v>13.777363055989339</c:v>
                </c:pt>
                <c:pt idx="451">
                  <c:v>15.06884163077676</c:v>
                </c:pt>
                <c:pt idx="452">
                  <c:v>14.400593479438083</c:v>
                </c:pt>
                <c:pt idx="453">
                  <c:v>15.29258540633205</c:v>
                </c:pt>
                <c:pt idx="454">
                  <c:v>13.872255009601821</c:v>
                </c:pt>
                <c:pt idx="455">
                  <c:v>14.944169854761993</c:v>
                </c:pt>
                <c:pt idx="456">
                  <c:v>14.596142325377294</c:v>
                </c:pt>
                <c:pt idx="457">
                  <c:v>15.085050713110359</c:v>
                </c:pt>
                <c:pt idx="458">
                  <c:v>14.854105344164125</c:v>
                </c:pt>
                <c:pt idx="459">
                  <c:v>14.682865554067988</c:v>
                </c:pt>
                <c:pt idx="460">
                  <c:v>14.369470385993386</c:v>
                </c:pt>
                <c:pt idx="461">
                  <c:v>15.184209841255315</c:v>
                </c:pt>
                <c:pt idx="462">
                  <c:v>14.732017350960421</c:v>
                </c:pt>
                <c:pt idx="463">
                  <c:v>15.133110939757687</c:v>
                </c:pt>
                <c:pt idx="464">
                  <c:v>15.137886373311193</c:v>
                </c:pt>
                <c:pt idx="465">
                  <c:v>15.11588868809995</c:v>
                </c:pt>
                <c:pt idx="466">
                  <c:v>14.072204127679701</c:v>
                </c:pt>
                <c:pt idx="467">
                  <c:v>15.385527655834778</c:v>
                </c:pt>
                <c:pt idx="468">
                  <c:v>14.260059423751768</c:v>
                </c:pt>
                <c:pt idx="469">
                  <c:v>14.939085961248169</c:v>
                </c:pt>
                <c:pt idx="470">
                  <c:v>14.660012229376784</c:v>
                </c:pt>
                <c:pt idx="471">
                  <c:v>14.971350891805642</c:v>
                </c:pt>
                <c:pt idx="472">
                  <c:v>13.053256912142848</c:v>
                </c:pt>
                <c:pt idx="473">
                  <c:v>14.969847098395197</c:v>
                </c:pt>
                <c:pt idx="474">
                  <c:v>15.190031954860757</c:v>
                </c:pt>
                <c:pt idx="475">
                  <c:v>14.734581957028672</c:v>
                </c:pt>
                <c:pt idx="476">
                  <c:v>14.171723304674371</c:v>
                </c:pt>
                <c:pt idx="477">
                  <c:v>15.077783848486577</c:v>
                </c:pt>
                <c:pt idx="478">
                  <c:v>14.575919967396286</c:v>
                </c:pt>
                <c:pt idx="479">
                  <c:v>14.879913940061689</c:v>
                </c:pt>
                <c:pt idx="480">
                  <c:v>14.955623079689698</c:v>
                </c:pt>
                <c:pt idx="481">
                  <c:v>13.791957689623244</c:v>
                </c:pt>
                <c:pt idx="482">
                  <c:v>14.386014113972397</c:v>
                </c:pt>
                <c:pt idx="483">
                  <c:v>14.977419955491431</c:v>
                </c:pt>
                <c:pt idx="484">
                  <c:v>13.901024528237999</c:v>
                </c:pt>
                <c:pt idx="485">
                  <c:v>14.920945746544252</c:v>
                </c:pt>
                <c:pt idx="486">
                  <c:v>15.164389044734239</c:v>
                </c:pt>
                <c:pt idx="487">
                  <c:v>14.868389367903807</c:v>
                </c:pt>
                <c:pt idx="488">
                  <c:v>13.988027272288228</c:v>
                </c:pt>
                <c:pt idx="489">
                  <c:v>14.4906508025893</c:v>
                </c:pt>
                <c:pt idx="490">
                  <c:v>15.765171692366723</c:v>
                </c:pt>
                <c:pt idx="491">
                  <c:v>14.985946938990125</c:v>
                </c:pt>
                <c:pt idx="492">
                  <c:v>15.080843930932712</c:v>
                </c:pt>
                <c:pt idx="493">
                  <c:v>15.523738931371279</c:v>
                </c:pt>
                <c:pt idx="494">
                  <c:v>14.563118923495853</c:v>
                </c:pt>
                <c:pt idx="495">
                  <c:v>14.766356909690046</c:v>
                </c:pt>
                <c:pt idx="496">
                  <c:v>15.355617923342498</c:v>
                </c:pt>
                <c:pt idx="497">
                  <c:v>14.147855035803918</c:v>
                </c:pt>
                <c:pt idx="498">
                  <c:v>15.071213971318736</c:v>
                </c:pt>
                <c:pt idx="499">
                  <c:v>14.749475424548065</c:v>
                </c:pt>
                <c:pt idx="500">
                  <c:v>15.140141931080407</c:v>
                </c:pt>
                <c:pt idx="501">
                  <c:v>14.266335018867784</c:v>
                </c:pt>
                <c:pt idx="502">
                  <c:v>14.12887607794303</c:v>
                </c:pt>
                <c:pt idx="503">
                  <c:v>13.944368430842605</c:v>
                </c:pt>
                <c:pt idx="504">
                  <c:v>13.601247901154931</c:v>
                </c:pt>
                <c:pt idx="505">
                  <c:v>14.907066715955896</c:v>
                </c:pt>
                <c:pt idx="506">
                  <c:v>14.821822172796093</c:v>
                </c:pt>
                <c:pt idx="507">
                  <c:v>15.617969770569266</c:v>
                </c:pt>
                <c:pt idx="508">
                  <c:v>13.744611658693923</c:v>
                </c:pt>
                <c:pt idx="509">
                  <c:v>14.869192544610515</c:v>
                </c:pt>
                <c:pt idx="510">
                  <c:v>15.374292658696998</c:v>
                </c:pt>
                <c:pt idx="511">
                  <c:v>14.317139551945045</c:v>
                </c:pt>
                <c:pt idx="512">
                  <c:v>14.494366754785826</c:v>
                </c:pt>
                <c:pt idx="513">
                  <c:v>14.256705454999974</c:v>
                </c:pt>
                <c:pt idx="514">
                  <c:v>15.015076809913971</c:v>
                </c:pt>
                <c:pt idx="515">
                  <c:v>14.970684853629596</c:v>
                </c:pt>
                <c:pt idx="516">
                  <c:v>15.070243951648688</c:v>
                </c:pt>
                <c:pt idx="517">
                  <c:v>14.548211315314095</c:v>
                </c:pt>
                <c:pt idx="518">
                  <c:v>15.190397704174559</c:v>
                </c:pt>
                <c:pt idx="519">
                  <c:v>15.017266976631237</c:v>
                </c:pt>
                <c:pt idx="520">
                  <c:v>14.119830553637362</c:v>
                </c:pt>
                <c:pt idx="521">
                  <c:v>15.379344335457652</c:v>
                </c:pt>
                <c:pt idx="522">
                  <c:v>15.042152421792471</c:v>
                </c:pt>
                <c:pt idx="523">
                  <c:v>14.655870756124871</c:v>
                </c:pt>
                <c:pt idx="524">
                  <c:v>14.108765102694468</c:v>
                </c:pt>
                <c:pt idx="525">
                  <c:v>14.454669059949646</c:v>
                </c:pt>
                <c:pt idx="526">
                  <c:v>14.605156602817406</c:v>
                </c:pt>
                <c:pt idx="527">
                  <c:v>14.811503123635557</c:v>
                </c:pt>
                <c:pt idx="528">
                  <c:v>14.425260979783721</c:v>
                </c:pt>
                <c:pt idx="529">
                  <c:v>15.463711352071629</c:v>
                </c:pt>
                <c:pt idx="530">
                  <c:v>15.522345947008576</c:v>
                </c:pt>
                <c:pt idx="531">
                  <c:v>15.347374465084005</c:v>
                </c:pt>
                <c:pt idx="532">
                  <c:v>14.898546416565056</c:v>
                </c:pt>
                <c:pt idx="533">
                  <c:v>14.485851477146788</c:v>
                </c:pt>
                <c:pt idx="534">
                  <c:v>14.5238783915461</c:v>
                </c:pt>
                <c:pt idx="535">
                  <c:v>13.802192361955827</c:v>
                </c:pt>
                <c:pt idx="536">
                  <c:v>14.381073505126299</c:v>
                </c:pt>
                <c:pt idx="537">
                  <c:v>14.519685499146327</c:v>
                </c:pt>
                <c:pt idx="538">
                  <c:v>13.977351398978687</c:v>
                </c:pt>
                <c:pt idx="539">
                  <c:v>15.371668632799155</c:v>
                </c:pt>
                <c:pt idx="540">
                  <c:v>14.595846667150839</c:v>
                </c:pt>
                <c:pt idx="541">
                  <c:v>14.315775414888106</c:v>
                </c:pt>
                <c:pt idx="542">
                  <c:v>14.753082983140002</c:v>
                </c:pt>
                <c:pt idx="543">
                  <c:v>13.864488707263931</c:v>
                </c:pt>
                <c:pt idx="544">
                  <c:v>14.268088278973194</c:v>
                </c:pt>
                <c:pt idx="545">
                  <c:v>14.590085965316572</c:v>
                </c:pt>
                <c:pt idx="546">
                  <c:v>14.801892025555365</c:v>
                </c:pt>
                <c:pt idx="547">
                  <c:v>14.489135404395</c:v>
                </c:pt>
                <c:pt idx="548">
                  <c:v>15.008728690906086</c:v>
                </c:pt>
                <c:pt idx="549">
                  <c:v>15.345301047825407</c:v>
                </c:pt>
                <c:pt idx="550">
                  <c:v>14.434725367092561</c:v>
                </c:pt>
                <c:pt idx="551">
                  <c:v>14.77604581337752</c:v>
                </c:pt>
                <c:pt idx="552">
                  <c:v>14.840664370178853</c:v>
                </c:pt>
                <c:pt idx="553">
                  <c:v>13.846890496695648</c:v>
                </c:pt>
                <c:pt idx="554">
                  <c:v>14.351302552949694</c:v>
                </c:pt>
                <c:pt idx="555">
                  <c:v>14.483239423420434</c:v>
                </c:pt>
                <c:pt idx="556">
                  <c:v>13.344184941928511</c:v>
                </c:pt>
                <c:pt idx="557">
                  <c:v>15.055156037623433</c:v>
                </c:pt>
                <c:pt idx="558">
                  <c:v>15.478363589988644</c:v>
                </c:pt>
                <c:pt idx="559">
                  <c:v>14.64571183634772</c:v>
                </c:pt>
                <c:pt idx="560">
                  <c:v>15.52794780164793</c:v>
                </c:pt>
                <c:pt idx="561">
                  <c:v>15.195352029834877</c:v>
                </c:pt>
                <c:pt idx="562">
                  <c:v>14.332501748048577</c:v>
                </c:pt>
                <c:pt idx="563">
                  <c:v>13.60761833090303</c:v>
                </c:pt>
                <c:pt idx="564">
                  <c:v>14.059885688550223</c:v>
                </c:pt>
                <c:pt idx="565">
                  <c:v>14.666256072857449</c:v>
                </c:pt>
                <c:pt idx="566">
                  <c:v>13.405266931312083</c:v>
                </c:pt>
                <c:pt idx="567">
                  <c:v>13.838406912879561</c:v>
                </c:pt>
                <c:pt idx="568">
                  <c:v>14.294501910429442</c:v>
                </c:pt>
                <c:pt idx="569">
                  <c:v>14.534827600829937</c:v>
                </c:pt>
                <c:pt idx="570">
                  <c:v>15.549683390140943</c:v>
                </c:pt>
                <c:pt idx="571">
                  <c:v>15.730155923905935</c:v>
                </c:pt>
                <c:pt idx="572">
                  <c:v>14.236646166250404</c:v>
                </c:pt>
                <c:pt idx="573">
                  <c:v>14.6120141913506</c:v>
                </c:pt>
                <c:pt idx="574">
                  <c:v>14.369776686323075</c:v>
                </c:pt>
                <c:pt idx="575">
                  <c:v>15.04021016108058</c:v>
                </c:pt>
                <c:pt idx="576">
                  <c:v>14.282593685815591</c:v>
                </c:pt>
                <c:pt idx="577">
                  <c:v>14.74624124106594</c:v>
                </c:pt>
                <c:pt idx="578">
                  <c:v>15.308129442215716</c:v>
                </c:pt>
                <c:pt idx="579">
                  <c:v>15.282186582270739</c:v>
                </c:pt>
                <c:pt idx="580">
                  <c:v>14.204130263786521</c:v>
                </c:pt>
                <c:pt idx="581">
                  <c:v>15.235390918091706</c:v>
                </c:pt>
                <c:pt idx="582">
                  <c:v>14.200731586643814</c:v>
                </c:pt>
                <c:pt idx="583">
                  <c:v>15.122548598601941</c:v>
                </c:pt>
                <c:pt idx="584">
                  <c:v>15.32563266994913</c:v>
                </c:pt>
                <c:pt idx="585">
                  <c:v>14.337188708359518</c:v>
                </c:pt>
                <c:pt idx="586">
                  <c:v>15.061269402886461</c:v>
                </c:pt>
                <c:pt idx="587">
                  <c:v>14.875678655686393</c:v>
                </c:pt>
                <c:pt idx="588">
                  <c:v>14.943607013192896</c:v>
                </c:pt>
                <c:pt idx="589">
                  <c:v>14.199902969606951</c:v>
                </c:pt>
                <c:pt idx="590">
                  <c:v>15.107942667188883</c:v>
                </c:pt>
                <c:pt idx="591">
                  <c:v>14.750693493064809</c:v>
                </c:pt>
                <c:pt idx="592">
                  <c:v>15.026026463681141</c:v>
                </c:pt>
                <c:pt idx="593">
                  <c:v>13.901689895510767</c:v>
                </c:pt>
                <c:pt idx="594">
                  <c:v>14.843689348387601</c:v>
                </c:pt>
                <c:pt idx="595">
                  <c:v>14.827265621866987</c:v>
                </c:pt>
                <c:pt idx="596">
                  <c:v>15.427364599502667</c:v>
                </c:pt>
                <c:pt idx="597">
                  <c:v>15.360364865292988</c:v>
                </c:pt>
                <c:pt idx="598">
                  <c:v>14.667425693162896</c:v>
                </c:pt>
                <c:pt idx="599">
                  <c:v>14.993210071585841</c:v>
                </c:pt>
                <c:pt idx="600">
                  <c:v>14.107916315696034</c:v>
                </c:pt>
                <c:pt idx="601">
                  <c:v>14.306096686804292</c:v>
                </c:pt>
                <c:pt idx="602">
                  <c:v>14.721329886983428</c:v>
                </c:pt>
                <c:pt idx="603">
                  <c:v>15.058330290889424</c:v>
                </c:pt>
                <c:pt idx="604">
                  <c:v>15.04527004755569</c:v>
                </c:pt>
                <c:pt idx="605">
                  <c:v>13.517944981743478</c:v>
                </c:pt>
                <c:pt idx="606">
                  <c:v>14.529060291156341</c:v>
                </c:pt>
                <c:pt idx="607">
                  <c:v>13.968309848696656</c:v>
                </c:pt>
                <c:pt idx="608">
                  <c:v>15.554296383961381</c:v>
                </c:pt>
                <c:pt idx="609">
                  <c:v>15.310449299060107</c:v>
                </c:pt>
                <c:pt idx="610">
                  <c:v>14.674494410400134</c:v>
                </c:pt>
                <c:pt idx="611">
                  <c:v>14.838931658500346</c:v>
                </c:pt>
                <c:pt idx="612">
                  <c:v>15.146620628172538</c:v>
                </c:pt>
                <c:pt idx="613">
                  <c:v>14.379652900022958</c:v>
                </c:pt>
                <c:pt idx="614">
                  <c:v>15.213321403504931</c:v>
                </c:pt>
                <c:pt idx="615">
                  <c:v>13.558576169377394</c:v>
                </c:pt>
                <c:pt idx="616">
                  <c:v>14.207714562202501</c:v>
                </c:pt>
                <c:pt idx="617">
                  <c:v>14.236289430687419</c:v>
                </c:pt>
                <c:pt idx="618">
                  <c:v>14.474686648490673</c:v>
                </c:pt>
                <c:pt idx="619">
                  <c:v>14.806472009878568</c:v>
                </c:pt>
                <c:pt idx="620">
                  <c:v>15.589685140913257</c:v>
                </c:pt>
                <c:pt idx="621">
                  <c:v>14.796631075069163</c:v>
                </c:pt>
                <c:pt idx="622">
                  <c:v>13.123229100565156</c:v>
                </c:pt>
                <c:pt idx="623">
                  <c:v>14.252841466437268</c:v>
                </c:pt>
                <c:pt idx="624">
                  <c:v>14.509730275033075</c:v>
                </c:pt>
                <c:pt idx="625">
                  <c:v>14.73899924793057</c:v>
                </c:pt>
                <c:pt idx="626">
                  <c:v>15.506178772135023</c:v>
                </c:pt>
                <c:pt idx="627">
                  <c:v>15.121001715099192</c:v>
                </c:pt>
                <c:pt idx="628">
                  <c:v>14.713717999171083</c:v>
                </c:pt>
                <c:pt idx="629">
                  <c:v>15.40281574509595</c:v>
                </c:pt>
                <c:pt idx="630">
                  <c:v>15.014752245816053</c:v>
                </c:pt>
                <c:pt idx="631">
                  <c:v>15.031625402954321</c:v>
                </c:pt>
                <c:pt idx="632">
                  <c:v>14.690626745868395</c:v>
                </c:pt>
                <c:pt idx="633">
                  <c:v>15.532251387660676</c:v>
                </c:pt>
                <c:pt idx="634">
                  <c:v>15.496899117407791</c:v>
                </c:pt>
                <c:pt idx="635">
                  <c:v>14.478940269194439</c:v>
                </c:pt>
                <c:pt idx="636">
                  <c:v>15.313715300308875</c:v>
                </c:pt>
                <c:pt idx="637">
                  <c:v>13.85320833161799</c:v>
                </c:pt>
                <c:pt idx="638">
                  <c:v>14.867449144975932</c:v>
                </c:pt>
                <c:pt idx="639">
                  <c:v>14.776137699992423</c:v>
                </c:pt>
                <c:pt idx="640">
                  <c:v>14.197718878713514</c:v>
                </c:pt>
                <c:pt idx="641">
                  <c:v>15.034718410073797</c:v>
                </c:pt>
                <c:pt idx="642">
                  <c:v>15.062632812353618</c:v>
                </c:pt>
                <c:pt idx="643">
                  <c:v>14.969416473959122</c:v>
                </c:pt>
                <c:pt idx="644">
                  <c:v>14.354730837337577</c:v>
                </c:pt>
                <c:pt idx="645">
                  <c:v>14.444798274333273</c:v>
                </c:pt>
                <c:pt idx="646">
                  <c:v>14.042836499302972</c:v>
                </c:pt>
                <c:pt idx="647">
                  <c:v>14.773086863674255</c:v>
                </c:pt>
                <c:pt idx="648">
                  <c:v>14.408915290104272</c:v>
                </c:pt>
                <c:pt idx="649">
                  <c:v>14.789669263871771</c:v>
                </c:pt>
                <c:pt idx="650">
                  <c:v>15.347518945122095</c:v>
                </c:pt>
                <c:pt idx="651">
                  <c:v>14.311401262623793</c:v>
                </c:pt>
                <c:pt idx="652">
                  <c:v>15.033099531153704</c:v>
                </c:pt>
                <c:pt idx="653">
                  <c:v>14.733641851678293</c:v>
                </c:pt>
                <c:pt idx="654">
                  <c:v>14.979004276308636</c:v>
                </c:pt>
                <c:pt idx="655">
                  <c:v>15.142627717482201</c:v>
                </c:pt>
                <c:pt idx="656">
                  <c:v>14.227822532037241</c:v>
                </c:pt>
                <c:pt idx="657">
                  <c:v>14.645276979816005</c:v>
                </c:pt>
                <c:pt idx="658">
                  <c:v>15.249052429369705</c:v>
                </c:pt>
                <c:pt idx="659">
                  <c:v>13.728572735052962</c:v>
                </c:pt>
                <c:pt idx="660">
                  <c:v>14.402883411236534</c:v>
                </c:pt>
                <c:pt idx="661">
                  <c:v>14.509133675876049</c:v>
                </c:pt>
                <c:pt idx="662">
                  <c:v>15.85733331386173</c:v>
                </c:pt>
                <c:pt idx="663">
                  <c:v>15.610054731933753</c:v>
                </c:pt>
                <c:pt idx="664">
                  <c:v>14.510014800042875</c:v>
                </c:pt>
                <c:pt idx="665">
                  <c:v>14.925641798410913</c:v>
                </c:pt>
                <c:pt idx="666">
                  <c:v>15.118819621563102</c:v>
                </c:pt>
                <c:pt idx="667">
                  <c:v>14.426927777996699</c:v>
                </c:pt>
                <c:pt idx="668">
                  <c:v>14.583285311292718</c:v>
                </c:pt>
                <c:pt idx="669">
                  <c:v>14.079748108455558</c:v>
                </c:pt>
                <c:pt idx="670">
                  <c:v>14.341135631861594</c:v>
                </c:pt>
                <c:pt idx="671">
                  <c:v>15.449871452609262</c:v>
                </c:pt>
                <c:pt idx="672">
                  <c:v>15.334011261854917</c:v>
                </c:pt>
                <c:pt idx="673">
                  <c:v>15.487116470582546</c:v>
                </c:pt>
                <c:pt idx="674">
                  <c:v>14.632743538626794</c:v>
                </c:pt>
                <c:pt idx="675">
                  <c:v>14.797102825656156</c:v>
                </c:pt>
                <c:pt idx="676">
                  <c:v>14.437879109501496</c:v>
                </c:pt>
                <c:pt idx="677">
                  <c:v>14.750326069168851</c:v>
                </c:pt>
                <c:pt idx="678">
                  <c:v>14.306717539862522</c:v>
                </c:pt>
                <c:pt idx="679">
                  <c:v>13.866437210369373</c:v>
                </c:pt>
                <c:pt idx="680">
                  <c:v>15.056451978249978</c:v>
                </c:pt>
                <c:pt idx="681">
                  <c:v>15.549675560643918</c:v>
                </c:pt>
                <c:pt idx="682">
                  <c:v>14.1783296791577</c:v>
                </c:pt>
                <c:pt idx="683">
                  <c:v>14.044082844752859</c:v>
                </c:pt>
                <c:pt idx="684">
                  <c:v>14.553297897792339</c:v>
                </c:pt>
                <c:pt idx="685">
                  <c:v>15.237351234406102</c:v>
                </c:pt>
                <c:pt idx="686">
                  <c:v>14.755196446962097</c:v>
                </c:pt>
                <c:pt idx="687">
                  <c:v>15.125680549720647</c:v>
                </c:pt>
                <c:pt idx="688">
                  <c:v>14.788729696735642</c:v>
                </c:pt>
                <c:pt idx="689">
                  <c:v>15.813596598200245</c:v>
                </c:pt>
                <c:pt idx="690">
                  <c:v>15.064322217910807</c:v>
                </c:pt>
                <c:pt idx="691">
                  <c:v>13.775333332714835</c:v>
                </c:pt>
                <c:pt idx="692">
                  <c:v>13.986241379898868</c:v>
                </c:pt>
                <c:pt idx="693">
                  <c:v>13.609669732731566</c:v>
                </c:pt>
                <c:pt idx="694">
                  <c:v>14.421819406576748</c:v>
                </c:pt>
                <c:pt idx="695">
                  <c:v>15.392158689944399</c:v>
                </c:pt>
                <c:pt idx="696">
                  <c:v>15.229959591105715</c:v>
                </c:pt>
                <c:pt idx="697">
                  <c:v>14.744278288578789</c:v>
                </c:pt>
                <c:pt idx="698">
                  <c:v>13.688419254485224</c:v>
                </c:pt>
                <c:pt idx="699">
                  <c:v>15.042145962264364</c:v>
                </c:pt>
                <c:pt idx="700">
                  <c:v>14.732968528308596</c:v>
                </c:pt>
                <c:pt idx="701">
                  <c:v>15.637566584143858</c:v>
                </c:pt>
                <c:pt idx="702">
                  <c:v>15.046261321994034</c:v>
                </c:pt>
                <c:pt idx="703">
                  <c:v>15.434777139563458</c:v>
                </c:pt>
                <c:pt idx="704">
                  <c:v>13.989229550516184</c:v>
                </c:pt>
                <c:pt idx="705">
                  <c:v>15.419055493833563</c:v>
                </c:pt>
                <c:pt idx="706">
                  <c:v>15.183082865033446</c:v>
                </c:pt>
                <c:pt idx="707">
                  <c:v>14.191463913417925</c:v>
                </c:pt>
                <c:pt idx="708">
                  <c:v>14.185202784871661</c:v>
                </c:pt>
                <c:pt idx="709">
                  <c:v>15.274742615026291</c:v>
                </c:pt>
                <c:pt idx="710">
                  <c:v>16.053077183328288</c:v>
                </c:pt>
                <c:pt idx="711">
                  <c:v>14.767919695025572</c:v>
                </c:pt>
                <c:pt idx="712">
                  <c:v>14.731891941228486</c:v>
                </c:pt>
                <c:pt idx="713">
                  <c:v>15.271352895608352</c:v>
                </c:pt>
                <c:pt idx="714">
                  <c:v>14.279629249997065</c:v>
                </c:pt>
                <c:pt idx="715">
                  <c:v>14.06107897269812</c:v>
                </c:pt>
                <c:pt idx="716">
                  <c:v>15.275368735859432</c:v>
                </c:pt>
                <c:pt idx="717">
                  <c:v>14.331963486933475</c:v>
                </c:pt>
                <c:pt idx="718">
                  <c:v>14.363960137479683</c:v>
                </c:pt>
                <c:pt idx="719">
                  <c:v>14.824326754438026</c:v>
                </c:pt>
                <c:pt idx="720">
                  <c:v>14.418477037234274</c:v>
                </c:pt>
                <c:pt idx="721">
                  <c:v>14.637438244911763</c:v>
                </c:pt>
                <c:pt idx="722">
                  <c:v>14.524184723989601</c:v>
                </c:pt>
                <c:pt idx="723">
                  <c:v>14.423706506618172</c:v>
                </c:pt>
                <c:pt idx="724">
                  <c:v>14.204091619860034</c:v>
                </c:pt>
                <c:pt idx="725">
                  <c:v>14.656033246694848</c:v>
                </c:pt>
                <c:pt idx="726">
                  <c:v>15.363904956246788</c:v>
                </c:pt>
                <c:pt idx="727">
                  <c:v>15.492927146529574</c:v>
                </c:pt>
                <c:pt idx="728">
                  <c:v>14.282876915921577</c:v>
                </c:pt>
                <c:pt idx="729">
                  <c:v>13.840979163066116</c:v>
                </c:pt>
                <c:pt idx="730">
                  <c:v>14.34983662680389</c:v>
                </c:pt>
                <c:pt idx="731">
                  <c:v>14.754335250874542</c:v>
                </c:pt>
                <c:pt idx="732">
                  <c:v>14.524577982565274</c:v>
                </c:pt>
                <c:pt idx="733">
                  <c:v>15.042338182829527</c:v>
                </c:pt>
                <c:pt idx="734">
                  <c:v>14.519772905405524</c:v>
                </c:pt>
                <c:pt idx="735">
                  <c:v>15.098988564692217</c:v>
                </c:pt>
                <c:pt idx="736">
                  <c:v>14.790685321121787</c:v>
                </c:pt>
                <c:pt idx="737">
                  <c:v>15.804551086252625</c:v>
                </c:pt>
                <c:pt idx="738">
                  <c:v>15.380627363683836</c:v>
                </c:pt>
                <c:pt idx="739">
                  <c:v>14.680722198659918</c:v>
                </c:pt>
                <c:pt idx="740">
                  <c:v>15.235369511138094</c:v>
                </c:pt>
                <c:pt idx="741">
                  <c:v>14.652375531287669</c:v>
                </c:pt>
                <c:pt idx="742">
                  <c:v>13.334611487391733</c:v>
                </c:pt>
                <c:pt idx="743">
                  <c:v>12.729445631886195</c:v>
                </c:pt>
                <c:pt idx="744">
                  <c:v>14.85745684791314</c:v>
                </c:pt>
                <c:pt idx="745">
                  <c:v>15.001194064060721</c:v>
                </c:pt>
                <c:pt idx="746">
                  <c:v>14.734395380999855</c:v>
                </c:pt>
                <c:pt idx="747">
                  <c:v>14.164371024777441</c:v>
                </c:pt>
                <c:pt idx="748">
                  <c:v>14.767464457652116</c:v>
                </c:pt>
                <c:pt idx="749">
                  <c:v>13.752742284657035</c:v>
                </c:pt>
                <c:pt idx="750">
                  <c:v>14.284472976906114</c:v>
                </c:pt>
                <c:pt idx="751">
                  <c:v>14.109667406230441</c:v>
                </c:pt>
                <c:pt idx="752">
                  <c:v>14.615583455505877</c:v>
                </c:pt>
                <c:pt idx="753">
                  <c:v>13.943531375088014</c:v>
                </c:pt>
                <c:pt idx="754">
                  <c:v>15.093057884263592</c:v>
                </c:pt>
                <c:pt idx="755">
                  <c:v>15.726120074811568</c:v>
                </c:pt>
                <c:pt idx="756">
                  <c:v>15.275384724075098</c:v>
                </c:pt>
                <c:pt idx="757">
                  <c:v>14.333812390462647</c:v>
                </c:pt>
                <c:pt idx="758">
                  <c:v>15.786270532923325</c:v>
                </c:pt>
                <c:pt idx="759">
                  <c:v>14.934526893943076</c:v>
                </c:pt>
                <c:pt idx="760">
                  <c:v>15.244457129841276</c:v>
                </c:pt>
                <c:pt idx="761">
                  <c:v>14.748259398054916</c:v>
                </c:pt>
                <c:pt idx="762">
                  <c:v>14.963156312401125</c:v>
                </c:pt>
                <c:pt idx="763">
                  <c:v>15.280243338381524</c:v>
                </c:pt>
                <c:pt idx="764">
                  <c:v>14.91651906156075</c:v>
                </c:pt>
                <c:pt idx="765">
                  <c:v>14.355115305984379</c:v>
                </c:pt>
                <c:pt idx="766">
                  <c:v>14.160068867839145</c:v>
                </c:pt>
                <c:pt idx="767">
                  <c:v>14.478851685590678</c:v>
                </c:pt>
                <c:pt idx="768">
                  <c:v>15.203453914770074</c:v>
                </c:pt>
                <c:pt idx="769">
                  <c:v>14.885037695520255</c:v>
                </c:pt>
                <c:pt idx="770">
                  <c:v>14.988652981484684</c:v>
                </c:pt>
                <c:pt idx="771">
                  <c:v>14.378078693575047</c:v>
                </c:pt>
                <c:pt idx="772">
                  <c:v>14.523421320820091</c:v>
                </c:pt>
                <c:pt idx="773">
                  <c:v>13.991219008863425</c:v>
                </c:pt>
                <c:pt idx="774">
                  <c:v>14.869003390717499</c:v>
                </c:pt>
                <c:pt idx="775">
                  <c:v>13.658113842540732</c:v>
                </c:pt>
                <c:pt idx="776">
                  <c:v>14.593372769776591</c:v>
                </c:pt>
                <c:pt idx="777">
                  <c:v>14.76890067984705</c:v>
                </c:pt>
                <c:pt idx="778">
                  <c:v>15.488184838929801</c:v>
                </c:pt>
                <c:pt idx="779">
                  <c:v>13.814520831773729</c:v>
                </c:pt>
                <c:pt idx="780">
                  <c:v>15.307360139089743</c:v>
                </c:pt>
                <c:pt idx="781">
                  <c:v>14.442084305412729</c:v>
                </c:pt>
                <c:pt idx="782">
                  <c:v>14.330608448588038</c:v>
                </c:pt>
                <c:pt idx="783">
                  <c:v>14.571762391221696</c:v>
                </c:pt>
                <c:pt idx="784">
                  <c:v>13.556699995556443</c:v>
                </c:pt>
                <c:pt idx="785">
                  <c:v>14.332505490509133</c:v>
                </c:pt>
                <c:pt idx="786">
                  <c:v>14.915779256875997</c:v>
                </c:pt>
                <c:pt idx="787">
                  <c:v>15.273870832960494</c:v>
                </c:pt>
                <c:pt idx="788">
                  <c:v>14.14909402165493</c:v>
                </c:pt>
                <c:pt idx="789">
                  <c:v>14.768016176792596</c:v>
                </c:pt>
                <c:pt idx="790">
                  <c:v>14.731027589848523</c:v>
                </c:pt>
                <c:pt idx="791">
                  <c:v>14.579703116928677</c:v>
                </c:pt>
                <c:pt idx="792">
                  <c:v>13.800754985159022</c:v>
                </c:pt>
                <c:pt idx="793">
                  <c:v>14.223226940028031</c:v>
                </c:pt>
                <c:pt idx="794">
                  <c:v>15.156418508470868</c:v>
                </c:pt>
                <c:pt idx="795">
                  <c:v>13.788847239257606</c:v>
                </c:pt>
                <c:pt idx="796">
                  <c:v>14.252997010045565</c:v>
                </c:pt>
                <c:pt idx="797">
                  <c:v>14.226011317064769</c:v>
                </c:pt>
                <c:pt idx="798">
                  <c:v>14.096906023311552</c:v>
                </c:pt>
                <c:pt idx="799">
                  <c:v>15.114355677844902</c:v>
                </c:pt>
                <c:pt idx="800">
                  <c:v>14.261616588828964</c:v>
                </c:pt>
                <c:pt idx="801">
                  <c:v>15.156510359140148</c:v>
                </c:pt>
                <c:pt idx="802">
                  <c:v>14.67994281866612</c:v>
                </c:pt>
                <c:pt idx="803">
                  <c:v>13.872513295476399</c:v>
                </c:pt>
                <c:pt idx="804">
                  <c:v>15.221250108825611</c:v>
                </c:pt>
                <c:pt idx="805">
                  <c:v>13.492766182497135</c:v>
                </c:pt>
                <c:pt idx="806">
                  <c:v>15.063825332619793</c:v>
                </c:pt>
                <c:pt idx="807">
                  <c:v>15.162006183429167</c:v>
                </c:pt>
                <c:pt idx="808">
                  <c:v>15.023908897600098</c:v>
                </c:pt>
                <c:pt idx="809">
                  <c:v>14.895672930747191</c:v>
                </c:pt>
                <c:pt idx="810">
                  <c:v>15.375131413782</c:v>
                </c:pt>
                <c:pt idx="811">
                  <c:v>14.934154441343058</c:v>
                </c:pt>
                <c:pt idx="812">
                  <c:v>14.731811416480754</c:v>
                </c:pt>
                <c:pt idx="813">
                  <c:v>15.444791877517249</c:v>
                </c:pt>
                <c:pt idx="814">
                  <c:v>14.192345624978072</c:v>
                </c:pt>
                <c:pt idx="815">
                  <c:v>14.966881626411636</c:v>
                </c:pt>
                <c:pt idx="816">
                  <c:v>15.274443053668508</c:v>
                </c:pt>
                <c:pt idx="817">
                  <c:v>13.985127008581665</c:v>
                </c:pt>
                <c:pt idx="818">
                  <c:v>14.286027129524964</c:v>
                </c:pt>
                <c:pt idx="819">
                  <c:v>15.315290647259619</c:v>
                </c:pt>
                <c:pt idx="820">
                  <c:v>15.231621160935688</c:v>
                </c:pt>
                <c:pt idx="821">
                  <c:v>14.861165847272989</c:v>
                </c:pt>
                <c:pt idx="822">
                  <c:v>14.760993872695098</c:v>
                </c:pt>
                <c:pt idx="823">
                  <c:v>13.927333043181495</c:v>
                </c:pt>
                <c:pt idx="824">
                  <c:v>14.96800254050221</c:v>
                </c:pt>
                <c:pt idx="825">
                  <c:v>14.423931805234897</c:v>
                </c:pt>
                <c:pt idx="826">
                  <c:v>13.925801251783188</c:v>
                </c:pt>
                <c:pt idx="827">
                  <c:v>14.115929113045281</c:v>
                </c:pt>
                <c:pt idx="828">
                  <c:v>14.395174250675415</c:v>
                </c:pt>
                <c:pt idx="829">
                  <c:v>14.362933321075095</c:v>
                </c:pt>
                <c:pt idx="830">
                  <c:v>14.029875474927461</c:v>
                </c:pt>
                <c:pt idx="831">
                  <c:v>15.209371588448899</c:v>
                </c:pt>
                <c:pt idx="832">
                  <c:v>15.012895186708517</c:v>
                </c:pt>
                <c:pt idx="833">
                  <c:v>15.201992584457207</c:v>
                </c:pt>
                <c:pt idx="834">
                  <c:v>15.366189943137325</c:v>
                </c:pt>
                <c:pt idx="835">
                  <c:v>15.270551990941696</c:v>
                </c:pt>
                <c:pt idx="836">
                  <c:v>14.405540467716662</c:v>
                </c:pt>
                <c:pt idx="837">
                  <c:v>15.063161500913322</c:v>
                </c:pt>
                <c:pt idx="838">
                  <c:v>15.461966653032643</c:v>
                </c:pt>
                <c:pt idx="839">
                  <c:v>15.287051718174082</c:v>
                </c:pt>
                <c:pt idx="840">
                  <c:v>14.858072733450429</c:v>
                </c:pt>
                <c:pt idx="841">
                  <c:v>13.258087721485067</c:v>
                </c:pt>
                <c:pt idx="842">
                  <c:v>14.175724470451936</c:v>
                </c:pt>
                <c:pt idx="843">
                  <c:v>14.479688985941404</c:v>
                </c:pt>
                <c:pt idx="844">
                  <c:v>14.773503899419291</c:v>
                </c:pt>
                <c:pt idx="845">
                  <c:v>14.171198513896869</c:v>
                </c:pt>
                <c:pt idx="846">
                  <c:v>15.059286436605463</c:v>
                </c:pt>
                <c:pt idx="847">
                  <c:v>14.500774227203927</c:v>
                </c:pt>
                <c:pt idx="848">
                  <c:v>15.014815509518398</c:v>
                </c:pt>
                <c:pt idx="849">
                  <c:v>14.815987260603537</c:v>
                </c:pt>
                <c:pt idx="850">
                  <c:v>13.949476111383346</c:v>
                </c:pt>
                <c:pt idx="851">
                  <c:v>15.402233985209486</c:v>
                </c:pt>
                <c:pt idx="852">
                  <c:v>13.875679602400803</c:v>
                </c:pt>
                <c:pt idx="853">
                  <c:v>14.294109621032716</c:v>
                </c:pt>
                <c:pt idx="854">
                  <c:v>14.295820749652936</c:v>
                </c:pt>
                <c:pt idx="855">
                  <c:v>14.744545301931648</c:v>
                </c:pt>
                <c:pt idx="856">
                  <c:v>15.036966161769383</c:v>
                </c:pt>
                <c:pt idx="857">
                  <c:v>14.991698324454573</c:v>
                </c:pt>
                <c:pt idx="858">
                  <c:v>15.931063690221896</c:v>
                </c:pt>
                <c:pt idx="859">
                  <c:v>15.327852759112002</c:v>
                </c:pt>
                <c:pt idx="860">
                  <c:v>15.436187546315439</c:v>
                </c:pt>
                <c:pt idx="861">
                  <c:v>14.889129868534869</c:v>
                </c:pt>
                <c:pt idx="862">
                  <c:v>14.424434278587155</c:v>
                </c:pt>
                <c:pt idx="863">
                  <c:v>14.863201505079967</c:v>
                </c:pt>
                <c:pt idx="864">
                  <c:v>15.559270018407709</c:v>
                </c:pt>
                <c:pt idx="865">
                  <c:v>14.529562833407375</c:v>
                </c:pt>
                <c:pt idx="866">
                  <c:v>14.247889906059216</c:v>
                </c:pt>
                <c:pt idx="867">
                  <c:v>15.219985798147391</c:v>
                </c:pt>
                <c:pt idx="868">
                  <c:v>16.03853960622293</c:v>
                </c:pt>
                <c:pt idx="869">
                  <c:v>15.108669068563929</c:v>
                </c:pt>
                <c:pt idx="870">
                  <c:v>14.440615052155151</c:v>
                </c:pt>
                <c:pt idx="871">
                  <c:v>14.591447564768538</c:v>
                </c:pt>
                <c:pt idx="872">
                  <c:v>13.703840477571079</c:v>
                </c:pt>
                <c:pt idx="873">
                  <c:v>15.295588134458622</c:v>
                </c:pt>
                <c:pt idx="874">
                  <c:v>16.071814958208865</c:v>
                </c:pt>
                <c:pt idx="875">
                  <c:v>13.660518312652293</c:v>
                </c:pt>
                <c:pt idx="876">
                  <c:v>14.64054340878104</c:v>
                </c:pt>
                <c:pt idx="877">
                  <c:v>14.786415720928225</c:v>
                </c:pt>
                <c:pt idx="878">
                  <c:v>14.66722228001448</c:v>
                </c:pt>
                <c:pt idx="879">
                  <c:v>15.211843320878048</c:v>
                </c:pt>
                <c:pt idx="880">
                  <c:v>13.951194599397674</c:v>
                </c:pt>
                <c:pt idx="881">
                  <c:v>14.414243362682667</c:v>
                </c:pt>
                <c:pt idx="882">
                  <c:v>13.890032190917131</c:v>
                </c:pt>
                <c:pt idx="883">
                  <c:v>15.407064328077135</c:v>
                </c:pt>
                <c:pt idx="884">
                  <c:v>15.387567808174005</c:v>
                </c:pt>
                <c:pt idx="885">
                  <c:v>14.815666983865938</c:v>
                </c:pt>
                <c:pt idx="886">
                  <c:v>14.86598902730854</c:v>
                </c:pt>
                <c:pt idx="887">
                  <c:v>14.238708933021659</c:v>
                </c:pt>
                <c:pt idx="888">
                  <c:v>14.890862678731226</c:v>
                </c:pt>
                <c:pt idx="889">
                  <c:v>14.446540873930726</c:v>
                </c:pt>
                <c:pt idx="890">
                  <c:v>14.794848175936155</c:v>
                </c:pt>
                <c:pt idx="891">
                  <c:v>14.885803589262851</c:v>
                </c:pt>
                <c:pt idx="892">
                  <c:v>14.604566347317942</c:v>
                </c:pt>
                <c:pt idx="893">
                  <c:v>14.861657776003897</c:v>
                </c:pt>
                <c:pt idx="894">
                  <c:v>14.888434209125515</c:v>
                </c:pt>
                <c:pt idx="895">
                  <c:v>15.339687453954285</c:v>
                </c:pt>
                <c:pt idx="896">
                  <c:v>14.474026111354579</c:v>
                </c:pt>
                <c:pt idx="897">
                  <c:v>14.91556716004032</c:v>
                </c:pt>
                <c:pt idx="898">
                  <c:v>13.414088847132671</c:v>
                </c:pt>
                <c:pt idx="899">
                  <c:v>14.634085955629089</c:v>
                </c:pt>
                <c:pt idx="900">
                  <c:v>15.260115160613328</c:v>
                </c:pt>
                <c:pt idx="901">
                  <c:v>14.712960468546781</c:v>
                </c:pt>
                <c:pt idx="902">
                  <c:v>14.089116796143848</c:v>
                </c:pt>
                <c:pt idx="903">
                  <c:v>15.19654272297778</c:v>
                </c:pt>
                <c:pt idx="904">
                  <c:v>14.748549603071419</c:v>
                </c:pt>
                <c:pt idx="905">
                  <c:v>14.93201140040342</c:v>
                </c:pt>
                <c:pt idx="906">
                  <c:v>14.950754425651491</c:v>
                </c:pt>
                <c:pt idx="907">
                  <c:v>14.841041669197372</c:v>
                </c:pt>
                <c:pt idx="908">
                  <c:v>14.226529396237682</c:v>
                </c:pt>
                <c:pt idx="909">
                  <c:v>14.452617275145696</c:v>
                </c:pt>
                <c:pt idx="910">
                  <c:v>14.487293626156076</c:v>
                </c:pt>
                <c:pt idx="911">
                  <c:v>15.20176379767936</c:v>
                </c:pt>
                <c:pt idx="912">
                  <c:v>14.096925264089958</c:v>
                </c:pt>
                <c:pt idx="913">
                  <c:v>15.460587332973191</c:v>
                </c:pt>
                <c:pt idx="914">
                  <c:v>14.910960345879671</c:v>
                </c:pt>
                <c:pt idx="915">
                  <c:v>15.225662083553596</c:v>
                </c:pt>
                <c:pt idx="916">
                  <c:v>14.634995997540166</c:v>
                </c:pt>
                <c:pt idx="917">
                  <c:v>14.630423748890687</c:v>
                </c:pt>
                <c:pt idx="918">
                  <c:v>14.881171223671853</c:v>
                </c:pt>
                <c:pt idx="919">
                  <c:v>14.456532917124862</c:v>
                </c:pt>
                <c:pt idx="920">
                  <c:v>15.839757874140741</c:v>
                </c:pt>
                <c:pt idx="921">
                  <c:v>14.891515108252863</c:v>
                </c:pt>
                <c:pt idx="922">
                  <c:v>13.917675741824116</c:v>
                </c:pt>
                <c:pt idx="923">
                  <c:v>14.526411898459683</c:v>
                </c:pt>
                <c:pt idx="924">
                  <c:v>13.920996168615156</c:v>
                </c:pt>
                <c:pt idx="925">
                  <c:v>14.578901403974108</c:v>
                </c:pt>
                <c:pt idx="926">
                  <c:v>15.609505273355907</c:v>
                </c:pt>
                <c:pt idx="927">
                  <c:v>15.287643251878745</c:v>
                </c:pt>
                <c:pt idx="928">
                  <c:v>15.571922966015205</c:v>
                </c:pt>
                <c:pt idx="929">
                  <c:v>14.727469350363981</c:v>
                </c:pt>
                <c:pt idx="930">
                  <c:v>15.634155717333014</c:v>
                </c:pt>
                <c:pt idx="931">
                  <c:v>14.997372312982911</c:v>
                </c:pt>
                <c:pt idx="932">
                  <c:v>15.040892707907521</c:v>
                </c:pt>
                <c:pt idx="933">
                  <c:v>14.495878877971595</c:v>
                </c:pt>
                <c:pt idx="934">
                  <c:v>13.930552717789796</c:v>
                </c:pt>
                <c:pt idx="935">
                  <c:v>14.568312403131944</c:v>
                </c:pt>
                <c:pt idx="936">
                  <c:v>14.748364521130075</c:v>
                </c:pt>
                <c:pt idx="937">
                  <c:v>15.069476889132932</c:v>
                </c:pt>
                <c:pt idx="938">
                  <c:v>15.040433554544592</c:v>
                </c:pt>
                <c:pt idx="939">
                  <c:v>14.468742674824448</c:v>
                </c:pt>
                <c:pt idx="940">
                  <c:v>14.401707034463517</c:v>
                </c:pt>
                <c:pt idx="941">
                  <c:v>15.70645262221068</c:v>
                </c:pt>
                <c:pt idx="942">
                  <c:v>14.942233035512734</c:v>
                </c:pt>
                <c:pt idx="943">
                  <c:v>15.441993233131427</c:v>
                </c:pt>
                <c:pt idx="944">
                  <c:v>14.250310545415267</c:v>
                </c:pt>
                <c:pt idx="945">
                  <c:v>14.172797576459914</c:v>
                </c:pt>
                <c:pt idx="946">
                  <c:v>14.161253873352502</c:v>
                </c:pt>
                <c:pt idx="947">
                  <c:v>15.353754950776571</c:v>
                </c:pt>
                <c:pt idx="948">
                  <c:v>14.310622543368401</c:v>
                </c:pt>
                <c:pt idx="949">
                  <c:v>14.603962008316769</c:v>
                </c:pt>
                <c:pt idx="950">
                  <c:v>14.742171775733757</c:v>
                </c:pt>
                <c:pt idx="951">
                  <c:v>14.537253127821007</c:v>
                </c:pt>
                <c:pt idx="952">
                  <c:v>15.348498146933991</c:v>
                </c:pt>
                <c:pt idx="953">
                  <c:v>14.471434593688414</c:v>
                </c:pt>
                <c:pt idx="954">
                  <c:v>15.037736516893794</c:v>
                </c:pt>
                <c:pt idx="955">
                  <c:v>14.856545227905087</c:v>
                </c:pt>
                <c:pt idx="956">
                  <c:v>14.926276096972542</c:v>
                </c:pt>
                <c:pt idx="957">
                  <c:v>14.884526434010827</c:v>
                </c:pt>
                <c:pt idx="958">
                  <c:v>13.88031016151508</c:v>
                </c:pt>
                <c:pt idx="959">
                  <c:v>14.661834208050584</c:v>
                </c:pt>
                <c:pt idx="960">
                  <c:v>14.986831042481361</c:v>
                </c:pt>
                <c:pt idx="961">
                  <c:v>14.703849916990734</c:v>
                </c:pt>
                <c:pt idx="962">
                  <c:v>14.584852816049869</c:v>
                </c:pt>
                <c:pt idx="963">
                  <c:v>13.951889721512515</c:v>
                </c:pt>
                <c:pt idx="964">
                  <c:v>14.348874354044035</c:v>
                </c:pt>
                <c:pt idx="965">
                  <c:v>14.677719132052731</c:v>
                </c:pt>
                <c:pt idx="966">
                  <c:v>15.150533507317625</c:v>
                </c:pt>
                <c:pt idx="967">
                  <c:v>14.966221912500272</c:v>
                </c:pt>
                <c:pt idx="968">
                  <c:v>14.725506218926462</c:v>
                </c:pt>
                <c:pt idx="969">
                  <c:v>14.292304030643761</c:v>
                </c:pt>
                <c:pt idx="970">
                  <c:v>15.548068215653666</c:v>
                </c:pt>
                <c:pt idx="971">
                  <c:v>15.594730635402151</c:v>
                </c:pt>
                <c:pt idx="972">
                  <c:v>15.029996147967426</c:v>
                </c:pt>
                <c:pt idx="973">
                  <c:v>14.804062441212725</c:v>
                </c:pt>
                <c:pt idx="974">
                  <c:v>14.217217983452262</c:v>
                </c:pt>
                <c:pt idx="975">
                  <c:v>14.879878232013558</c:v>
                </c:pt>
                <c:pt idx="976">
                  <c:v>14.285215997619829</c:v>
                </c:pt>
                <c:pt idx="977">
                  <c:v>14.504496181844772</c:v>
                </c:pt>
                <c:pt idx="978">
                  <c:v>14.40398501810329</c:v>
                </c:pt>
                <c:pt idx="979">
                  <c:v>14.758169099051797</c:v>
                </c:pt>
                <c:pt idx="980">
                  <c:v>15.411784003345396</c:v>
                </c:pt>
                <c:pt idx="981">
                  <c:v>15.568580232598141</c:v>
                </c:pt>
                <c:pt idx="982">
                  <c:v>14.39542737017493</c:v>
                </c:pt>
                <c:pt idx="983">
                  <c:v>14.205246100025231</c:v>
                </c:pt>
                <c:pt idx="984">
                  <c:v>14.262689489931343</c:v>
                </c:pt>
                <c:pt idx="985">
                  <c:v>14.996349733607621</c:v>
                </c:pt>
                <c:pt idx="986">
                  <c:v>15.568429817942949</c:v>
                </c:pt>
                <c:pt idx="987">
                  <c:v>14.433009175665388</c:v>
                </c:pt>
                <c:pt idx="988">
                  <c:v>15.130286844438835</c:v>
                </c:pt>
                <c:pt idx="989">
                  <c:v>15.506584030847721</c:v>
                </c:pt>
                <c:pt idx="990">
                  <c:v>14.807145157502589</c:v>
                </c:pt>
                <c:pt idx="991">
                  <c:v>14.951236813737115</c:v>
                </c:pt>
                <c:pt idx="992">
                  <c:v>15.618301370323238</c:v>
                </c:pt>
                <c:pt idx="993">
                  <c:v>14.534458995448833</c:v>
                </c:pt>
                <c:pt idx="994">
                  <c:v>14.925511934640866</c:v>
                </c:pt>
                <c:pt idx="995">
                  <c:v>14.579930300918493</c:v>
                </c:pt>
                <c:pt idx="996">
                  <c:v>13.819126652643023</c:v>
                </c:pt>
                <c:pt idx="997">
                  <c:v>14.566884029625896</c:v>
                </c:pt>
                <c:pt idx="998">
                  <c:v>15.462709690258052</c:v>
                </c:pt>
                <c:pt idx="999">
                  <c:v>15.326482580497464</c:v>
                </c:pt>
              </c:numCache>
            </c:numRef>
          </c:xVal>
          <c:yVal>
            <c:numRef>
              <c:f>Simulation!$V$6:$V$1005</c:f>
              <c:numCache>
                <c:formatCode>0.00_ ;\-0.00\ </c:formatCode>
                <c:ptCount val="1000"/>
                <c:pt idx="0">
                  <c:v>805.24337882107329</c:v>
                </c:pt>
                <c:pt idx="1">
                  <c:v>809.3582089404598</c:v>
                </c:pt>
                <c:pt idx="2">
                  <c:v>815.93785777768755</c:v>
                </c:pt>
                <c:pt idx="3">
                  <c:v>829.48147243924438</c:v>
                </c:pt>
                <c:pt idx="4">
                  <c:v>794.9695019427819</c:v>
                </c:pt>
                <c:pt idx="5">
                  <c:v>812.71534550821798</c:v>
                </c:pt>
                <c:pt idx="6">
                  <c:v>809.92985804966543</c:v>
                </c:pt>
                <c:pt idx="7">
                  <c:v>812.91521907890296</c:v>
                </c:pt>
                <c:pt idx="8">
                  <c:v>858.15292995356629</c:v>
                </c:pt>
                <c:pt idx="9">
                  <c:v>813.67011899944089</c:v>
                </c:pt>
                <c:pt idx="10">
                  <c:v>813.93038244236618</c:v>
                </c:pt>
                <c:pt idx="11">
                  <c:v>792.01012047880943</c:v>
                </c:pt>
                <c:pt idx="12">
                  <c:v>807.84190212482065</c:v>
                </c:pt>
                <c:pt idx="13">
                  <c:v>822.53035870549888</c:v>
                </c:pt>
                <c:pt idx="14">
                  <c:v>840.64163384170377</c:v>
                </c:pt>
                <c:pt idx="15">
                  <c:v>808.00832520266727</c:v>
                </c:pt>
                <c:pt idx="16">
                  <c:v>813.91654815105665</c:v>
                </c:pt>
                <c:pt idx="17">
                  <c:v>811.33958237862112</c:v>
                </c:pt>
                <c:pt idx="18">
                  <c:v>824.18619143920773</c:v>
                </c:pt>
                <c:pt idx="19">
                  <c:v>805.77386599972624</c:v>
                </c:pt>
                <c:pt idx="20">
                  <c:v>824.84879799304758</c:v>
                </c:pt>
                <c:pt idx="21">
                  <c:v>809.87063011840939</c:v>
                </c:pt>
                <c:pt idx="22">
                  <c:v>807.52865420061141</c:v>
                </c:pt>
                <c:pt idx="23">
                  <c:v>822.87713171924099</c:v>
                </c:pt>
                <c:pt idx="24">
                  <c:v>824.751890894898</c:v>
                </c:pt>
                <c:pt idx="25">
                  <c:v>793.69693750586464</c:v>
                </c:pt>
                <c:pt idx="26">
                  <c:v>798.92930359397258</c:v>
                </c:pt>
                <c:pt idx="27">
                  <c:v>807.72194163589018</c:v>
                </c:pt>
                <c:pt idx="28">
                  <c:v>828.18890463497416</c:v>
                </c:pt>
                <c:pt idx="29">
                  <c:v>825.13255492636119</c:v>
                </c:pt>
                <c:pt idx="30">
                  <c:v>828.7164083896082</c:v>
                </c:pt>
                <c:pt idx="31">
                  <c:v>801.76490875714705</c:v>
                </c:pt>
                <c:pt idx="32">
                  <c:v>817.6706445074409</c:v>
                </c:pt>
                <c:pt idx="33">
                  <c:v>808.04958691860122</c:v>
                </c:pt>
                <c:pt idx="34">
                  <c:v>796.79983877452742</c:v>
                </c:pt>
                <c:pt idx="35">
                  <c:v>800.29452975735114</c:v>
                </c:pt>
                <c:pt idx="36">
                  <c:v>801.82042571887337</c:v>
                </c:pt>
                <c:pt idx="37">
                  <c:v>800.73699625835241</c:v>
                </c:pt>
                <c:pt idx="38">
                  <c:v>814.52209668696287</c:v>
                </c:pt>
                <c:pt idx="39">
                  <c:v>816.85539611682714</c:v>
                </c:pt>
                <c:pt idx="40">
                  <c:v>818.76306259390071</c:v>
                </c:pt>
                <c:pt idx="41">
                  <c:v>809.9415320153638</c:v>
                </c:pt>
                <c:pt idx="42">
                  <c:v>818.29365721145973</c:v>
                </c:pt>
                <c:pt idx="43">
                  <c:v>829.55846659026588</c:v>
                </c:pt>
                <c:pt idx="44">
                  <c:v>812.95161977678936</c:v>
                </c:pt>
                <c:pt idx="45">
                  <c:v>826.60596364752871</c:v>
                </c:pt>
                <c:pt idx="46">
                  <c:v>794.83989975196539</c:v>
                </c:pt>
                <c:pt idx="47">
                  <c:v>793.18343973866672</c:v>
                </c:pt>
                <c:pt idx="48">
                  <c:v>801.58643194089154</c:v>
                </c:pt>
                <c:pt idx="49">
                  <c:v>831.49380402714144</c:v>
                </c:pt>
                <c:pt idx="50">
                  <c:v>892.80273975656121</c:v>
                </c:pt>
                <c:pt idx="51">
                  <c:v>826.44747255579875</c:v>
                </c:pt>
                <c:pt idx="52">
                  <c:v>815.8386262461737</c:v>
                </c:pt>
                <c:pt idx="53">
                  <c:v>808.21632382676387</c:v>
                </c:pt>
                <c:pt idx="54">
                  <c:v>836.29104432133704</c:v>
                </c:pt>
                <c:pt idx="55">
                  <c:v>800.03371369312458</c:v>
                </c:pt>
                <c:pt idx="56">
                  <c:v>837.84248003953303</c:v>
                </c:pt>
                <c:pt idx="57">
                  <c:v>797.82604674251354</c:v>
                </c:pt>
                <c:pt idx="58">
                  <c:v>789.60720531178742</c:v>
                </c:pt>
                <c:pt idx="59">
                  <c:v>817.85669379375713</c:v>
                </c:pt>
                <c:pt idx="60">
                  <c:v>810.4376582053809</c:v>
                </c:pt>
                <c:pt idx="61">
                  <c:v>801.77036879790614</c:v>
                </c:pt>
                <c:pt idx="62">
                  <c:v>813.29543243911326</c:v>
                </c:pt>
                <c:pt idx="63">
                  <c:v>811.78354654844645</c:v>
                </c:pt>
                <c:pt idx="64">
                  <c:v>802.52934835042936</c:v>
                </c:pt>
                <c:pt idx="65">
                  <c:v>810.70592974189606</c:v>
                </c:pt>
                <c:pt idx="66">
                  <c:v>801.42941946818007</c:v>
                </c:pt>
                <c:pt idx="67">
                  <c:v>802.0754263600154</c:v>
                </c:pt>
                <c:pt idx="68">
                  <c:v>816.3501548632687</c:v>
                </c:pt>
                <c:pt idx="69">
                  <c:v>805.49047138671085</c:v>
                </c:pt>
                <c:pt idx="70">
                  <c:v>800.32387942426897</c:v>
                </c:pt>
                <c:pt idx="71">
                  <c:v>811.71865788442983</c:v>
                </c:pt>
                <c:pt idx="72">
                  <c:v>835.46150794473363</c:v>
                </c:pt>
                <c:pt idx="73">
                  <c:v>828.77083847533811</c:v>
                </c:pt>
                <c:pt idx="74">
                  <c:v>809.85975856446112</c:v>
                </c:pt>
                <c:pt idx="75">
                  <c:v>812.54119075967458</c:v>
                </c:pt>
                <c:pt idx="76">
                  <c:v>801.1765669099151</c:v>
                </c:pt>
                <c:pt idx="77">
                  <c:v>802.30151302610352</c:v>
                </c:pt>
                <c:pt idx="78">
                  <c:v>839.64708803101121</c:v>
                </c:pt>
                <c:pt idx="79">
                  <c:v>808.90581674042949</c:v>
                </c:pt>
                <c:pt idx="80">
                  <c:v>797.6840628115591</c:v>
                </c:pt>
                <c:pt idx="81">
                  <c:v>872.50731937107014</c:v>
                </c:pt>
                <c:pt idx="82">
                  <c:v>813.4489593922342</c:v>
                </c:pt>
                <c:pt idx="83">
                  <c:v>816.90322283546777</c:v>
                </c:pt>
                <c:pt idx="84">
                  <c:v>798.86560547844726</c:v>
                </c:pt>
                <c:pt idx="85">
                  <c:v>797.91959267818754</c:v>
                </c:pt>
                <c:pt idx="86">
                  <c:v>814.57286594151594</c:v>
                </c:pt>
                <c:pt idx="87">
                  <c:v>793.38317515392248</c:v>
                </c:pt>
                <c:pt idx="88">
                  <c:v>798.98748566260156</c:v>
                </c:pt>
                <c:pt idx="89">
                  <c:v>853.28797189548982</c:v>
                </c:pt>
                <c:pt idx="90">
                  <c:v>828.18130206574267</c:v>
                </c:pt>
                <c:pt idx="91">
                  <c:v>819.66293844333404</c:v>
                </c:pt>
                <c:pt idx="92">
                  <c:v>811.43639390411738</c:v>
                </c:pt>
                <c:pt idx="93">
                  <c:v>809.12615430630547</c:v>
                </c:pt>
                <c:pt idx="94">
                  <c:v>812.10574542935603</c:v>
                </c:pt>
                <c:pt idx="95">
                  <c:v>804.26369988155648</c:v>
                </c:pt>
                <c:pt idx="96">
                  <c:v>831.56797076898192</c:v>
                </c:pt>
                <c:pt idx="97">
                  <c:v>810.23643084295645</c:v>
                </c:pt>
                <c:pt idx="98">
                  <c:v>815.28609627523394</c:v>
                </c:pt>
                <c:pt idx="99">
                  <c:v>817.25519460669227</c:v>
                </c:pt>
                <c:pt idx="100">
                  <c:v>808.8041361517727</c:v>
                </c:pt>
                <c:pt idx="101">
                  <c:v>799.89337103790638</c:v>
                </c:pt>
                <c:pt idx="102">
                  <c:v>814.60932239094439</c:v>
                </c:pt>
                <c:pt idx="103">
                  <c:v>797.96585547927361</c:v>
                </c:pt>
                <c:pt idx="104">
                  <c:v>829.40531391109084</c:v>
                </c:pt>
                <c:pt idx="105">
                  <c:v>805.64173720491749</c:v>
                </c:pt>
                <c:pt idx="106">
                  <c:v>802.43124661836907</c:v>
                </c:pt>
                <c:pt idx="107">
                  <c:v>847.58003855870356</c:v>
                </c:pt>
                <c:pt idx="108">
                  <c:v>805.69313043394413</c:v>
                </c:pt>
                <c:pt idx="109">
                  <c:v>820.33854934654653</c:v>
                </c:pt>
                <c:pt idx="110">
                  <c:v>811.52675397718212</c:v>
                </c:pt>
                <c:pt idx="111">
                  <c:v>798.80604670204707</c:v>
                </c:pt>
                <c:pt idx="112">
                  <c:v>830.26856830335703</c:v>
                </c:pt>
                <c:pt idx="113">
                  <c:v>846.26922525559439</c:v>
                </c:pt>
                <c:pt idx="114">
                  <c:v>814.6197658765044</c:v>
                </c:pt>
                <c:pt idx="115">
                  <c:v>824.66081063869296</c:v>
                </c:pt>
                <c:pt idx="116">
                  <c:v>814.7703589328579</c:v>
                </c:pt>
                <c:pt idx="117">
                  <c:v>797.49760253323325</c:v>
                </c:pt>
                <c:pt idx="118">
                  <c:v>800.6763875940178</c:v>
                </c:pt>
                <c:pt idx="119">
                  <c:v>820.75880520814621</c:v>
                </c:pt>
                <c:pt idx="120">
                  <c:v>810.45727232069112</c:v>
                </c:pt>
                <c:pt idx="121">
                  <c:v>844.38518592026992</c:v>
                </c:pt>
                <c:pt idx="122">
                  <c:v>794.89492566613706</c:v>
                </c:pt>
                <c:pt idx="123">
                  <c:v>820.113749683371</c:v>
                </c:pt>
                <c:pt idx="124">
                  <c:v>803.23081659773072</c:v>
                </c:pt>
                <c:pt idx="125">
                  <c:v>800.07828742424624</c:v>
                </c:pt>
                <c:pt idx="126">
                  <c:v>802.06297976788767</c:v>
                </c:pt>
                <c:pt idx="127">
                  <c:v>837.8191098158685</c:v>
                </c:pt>
                <c:pt idx="128">
                  <c:v>828.52114706750467</c:v>
                </c:pt>
                <c:pt idx="129">
                  <c:v>811.09040011512229</c:v>
                </c:pt>
                <c:pt idx="130">
                  <c:v>806.93365639248987</c:v>
                </c:pt>
                <c:pt idx="131">
                  <c:v>796.5192746529093</c:v>
                </c:pt>
                <c:pt idx="132">
                  <c:v>811.13361037668494</c:v>
                </c:pt>
                <c:pt idx="133">
                  <c:v>796.86042149867058</c:v>
                </c:pt>
                <c:pt idx="134">
                  <c:v>811.81613058540177</c:v>
                </c:pt>
                <c:pt idx="135">
                  <c:v>800.90188029486615</c:v>
                </c:pt>
                <c:pt idx="136">
                  <c:v>829.9736811546602</c:v>
                </c:pt>
                <c:pt idx="137">
                  <c:v>805.28881442562295</c:v>
                </c:pt>
                <c:pt idx="138">
                  <c:v>814.06766784540855</c:v>
                </c:pt>
                <c:pt idx="139">
                  <c:v>796.77786204864719</c:v>
                </c:pt>
                <c:pt idx="140">
                  <c:v>807.90601288029507</c:v>
                </c:pt>
                <c:pt idx="141">
                  <c:v>802.90706424304938</c:v>
                </c:pt>
                <c:pt idx="142">
                  <c:v>790.3914320453199</c:v>
                </c:pt>
                <c:pt idx="143">
                  <c:v>800.06710342411316</c:v>
                </c:pt>
                <c:pt idx="144">
                  <c:v>810.68411176580901</c:v>
                </c:pt>
                <c:pt idx="145">
                  <c:v>795.6207705069985</c:v>
                </c:pt>
                <c:pt idx="146">
                  <c:v>828.18083604278593</c:v>
                </c:pt>
                <c:pt idx="147">
                  <c:v>810.32158422340126</c:v>
                </c:pt>
                <c:pt idx="148">
                  <c:v>797.3142198637637</c:v>
                </c:pt>
                <c:pt idx="149">
                  <c:v>796.75209961375685</c:v>
                </c:pt>
                <c:pt idx="150">
                  <c:v>807.22133849313195</c:v>
                </c:pt>
                <c:pt idx="151">
                  <c:v>802.72929417022078</c:v>
                </c:pt>
                <c:pt idx="152">
                  <c:v>799.86783068761895</c:v>
                </c:pt>
                <c:pt idx="153">
                  <c:v>807.67323997806113</c:v>
                </c:pt>
                <c:pt idx="154">
                  <c:v>803.24969759496696</c:v>
                </c:pt>
                <c:pt idx="155">
                  <c:v>830.28971275605898</c:v>
                </c:pt>
                <c:pt idx="156">
                  <c:v>833.4984018458664</c:v>
                </c:pt>
                <c:pt idx="157">
                  <c:v>830.05025885909527</c:v>
                </c:pt>
                <c:pt idx="158">
                  <c:v>832.83396395083764</c:v>
                </c:pt>
                <c:pt idx="159">
                  <c:v>873.34667902330671</c:v>
                </c:pt>
                <c:pt idx="160">
                  <c:v>819.4506745889388</c:v>
                </c:pt>
                <c:pt idx="161">
                  <c:v>810.84692662466932</c:v>
                </c:pt>
                <c:pt idx="162">
                  <c:v>797.64533058459153</c:v>
                </c:pt>
                <c:pt idx="163">
                  <c:v>858.32349990420391</c:v>
                </c:pt>
                <c:pt idx="164">
                  <c:v>814.45811625690612</c:v>
                </c:pt>
                <c:pt idx="165">
                  <c:v>815.20593811403978</c:v>
                </c:pt>
                <c:pt idx="166">
                  <c:v>806.59615117852763</c:v>
                </c:pt>
                <c:pt idx="167">
                  <c:v>822.13379182859956</c:v>
                </c:pt>
                <c:pt idx="168">
                  <c:v>823.35672158051568</c:v>
                </c:pt>
                <c:pt idx="169">
                  <c:v>790.98723672405094</c:v>
                </c:pt>
                <c:pt idx="170">
                  <c:v>817.58598075942336</c:v>
                </c:pt>
                <c:pt idx="171">
                  <c:v>805.19227456424881</c:v>
                </c:pt>
                <c:pt idx="172">
                  <c:v>832.3947444366936</c:v>
                </c:pt>
                <c:pt idx="173">
                  <c:v>802.47377679307999</c:v>
                </c:pt>
                <c:pt idx="174">
                  <c:v>799.43430799869475</c:v>
                </c:pt>
                <c:pt idx="175">
                  <c:v>823.16293012680194</c:v>
                </c:pt>
                <c:pt idx="176">
                  <c:v>811.66343800630477</c:v>
                </c:pt>
                <c:pt idx="177">
                  <c:v>814.09315923108272</c:v>
                </c:pt>
                <c:pt idx="178">
                  <c:v>826.26802536553123</c:v>
                </c:pt>
                <c:pt idx="179">
                  <c:v>801.86475893009435</c:v>
                </c:pt>
                <c:pt idx="180">
                  <c:v>807.64585015432181</c:v>
                </c:pt>
                <c:pt idx="181">
                  <c:v>803.53241653005705</c:v>
                </c:pt>
                <c:pt idx="182">
                  <c:v>812.10700155996642</c:v>
                </c:pt>
                <c:pt idx="183">
                  <c:v>833.05993578600805</c:v>
                </c:pt>
                <c:pt idx="184">
                  <c:v>802.82644631907544</c:v>
                </c:pt>
                <c:pt idx="185">
                  <c:v>818.06185837774763</c:v>
                </c:pt>
                <c:pt idx="186">
                  <c:v>813.59834992275398</c:v>
                </c:pt>
                <c:pt idx="187">
                  <c:v>818.2252569458775</c:v>
                </c:pt>
                <c:pt idx="188">
                  <c:v>798.5609136321973</c:v>
                </c:pt>
                <c:pt idx="189">
                  <c:v>817.35862700698158</c:v>
                </c:pt>
                <c:pt idx="190">
                  <c:v>800.20300324051675</c:v>
                </c:pt>
                <c:pt idx="191">
                  <c:v>828.14244077509875</c:v>
                </c:pt>
                <c:pt idx="192">
                  <c:v>829.98810398137641</c:v>
                </c:pt>
                <c:pt idx="193">
                  <c:v>824.68240347152516</c:v>
                </c:pt>
                <c:pt idx="194">
                  <c:v>818.28691019678172</c:v>
                </c:pt>
                <c:pt idx="195">
                  <c:v>796.1930666527245</c:v>
                </c:pt>
                <c:pt idx="196">
                  <c:v>816.77348343425467</c:v>
                </c:pt>
                <c:pt idx="197">
                  <c:v>806.11814996406258</c:v>
                </c:pt>
                <c:pt idx="198">
                  <c:v>811.8393698278187</c:v>
                </c:pt>
                <c:pt idx="199">
                  <c:v>802.54519864977908</c:v>
                </c:pt>
                <c:pt idx="200">
                  <c:v>803.52781134282327</c:v>
                </c:pt>
                <c:pt idx="201">
                  <c:v>807.17246518282877</c:v>
                </c:pt>
                <c:pt idx="202">
                  <c:v>813.41444615968828</c:v>
                </c:pt>
                <c:pt idx="203">
                  <c:v>809.93371571181399</c:v>
                </c:pt>
                <c:pt idx="204">
                  <c:v>807.40585333645924</c:v>
                </c:pt>
                <c:pt idx="205">
                  <c:v>815.55136633444943</c:v>
                </c:pt>
                <c:pt idx="206">
                  <c:v>804.35557645522215</c:v>
                </c:pt>
                <c:pt idx="207">
                  <c:v>811.17499096452184</c:v>
                </c:pt>
                <c:pt idx="208">
                  <c:v>832.66661785164877</c:v>
                </c:pt>
                <c:pt idx="209">
                  <c:v>819.05353169875991</c:v>
                </c:pt>
                <c:pt idx="210">
                  <c:v>805.44298787174546</c:v>
                </c:pt>
                <c:pt idx="211">
                  <c:v>805.15793144017073</c:v>
                </c:pt>
                <c:pt idx="212">
                  <c:v>811.15787458234979</c:v>
                </c:pt>
                <c:pt idx="213">
                  <c:v>806.89100373378596</c:v>
                </c:pt>
                <c:pt idx="214">
                  <c:v>806.90702398682595</c:v>
                </c:pt>
                <c:pt idx="215">
                  <c:v>812.2067348935899</c:v>
                </c:pt>
                <c:pt idx="216">
                  <c:v>822.20374150455086</c:v>
                </c:pt>
                <c:pt idx="217">
                  <c:v>797.70340376780234</c:v>
                </c:pt>
                <c:pt idx="218">
                  <c:v>812.14420459681355</c:v>
                </c:pt>
                <c:pt idx="219">
                  <c:v>830.35143182461832</c:v>
                </c:pt>
                <c:pt idx="220">
                  <c:v>807.06760877673241</c:v>
                </c:pt>
                <c:pt idx="221">
                  <c:v>805.23392316944989</c:v>
                </c:pt>
                <c:pt idx="222">
                  <c:v>807.45479079026552</c:v>
                </c:pt>
                <c:pt idx="223">
                  <c:v>809.53805078978144</c:v>
                </c:pt>
                <c:pt idx="224">
                  <c:v>816.32377656070059</c:v>
                </c:pt>
                <c:pt idx="225">
                  <c:v>806.57917413019675</c:v>
                </c:pt>
                <c:pt idx="226">
                  <c:v>816.74271796798632</c:v>
                </c:pt>
                <c:pt idx="227">
                  <c:v>804.83280283757449</c:v>
                </c:pt>
                <c:pt idx="228">
                  <c:v>835.83865402638367</c:v>
                </c:pt>
                <c:pt idx="229">
                  <c:v>802.66230685124685</c:v>
                </c:pt>
                <c:pt idx="230">
                  <c:v>797.50686262615454</c:v>
                </c:pt>
                <c:pt idx="231">
                  <c:v>803.02216576227534</c:v>
                </c:pt>
                <c:pt idx="232">
                  <c:v>816.29181554380853</c:v>
                </c:pt>
                <c:pt idx="233">
                  <c:v>812.94625653383559</c:v>
                </c:pt>
                <c:pt idx="234">
                  <c:v>830.04664316100718</c:v>
                </c:pt>
                <c:pt idx="235">
                  <c:v>811.42697470541668</c:v>
                </c:pt>
                <c:pt idx="236">
                  <c:v>802.22704660508566</c:v>
                </c:pt>
                <c:pt idx="237">
                  <c:v>814.33944915988491</c:v>
                </c:pt>
                <c:pt idx="238">
                  <c:v>819.55362685515786</c:v>
                </c:pt>
                <c:pt idx="239">
                  <c:v>804.35228018597729</c:v>
                </c:pt>
                <c:pt idx="240">
                  <c:v>837.18414128657571</c:v>
                </c:pt>
                <c:pt idx="241">
                  <c:v>809.54308924876966</c:v>
                </c:pt>
                <c:pt idx="242">
                  <c:v>816.94270515224605</c:v>
                </c:pt>
                <c:pt idx="243">
                  <c:v>813.76741716371055</c:v>
                </c:pt>
                <c:pt idx="244">
                  <c:v>817.64728410671171</c:v>
                </c:pt>
                <c:pt idx="245">
                  <c:v>813.72355482533328</c:v>
                </c:pt>
                <c:pt idx="246">
                  <c:v>837.9685011390568</c:v>
                </c:pt>
                <c:pt idx="247">
                  <c:v>823.16704779245015</c:v>
                </c:pt>
                <c:pt idx="248">
                  <c:v>804.0975580074346</c:v>
                </c:pt>
                <c:pt idx="249">
                  <c:v>825.54647236987387</c:v>
                </c:pt>
                <c:pt idx="250">
                  <c:v>842.8743681759538</c:v>
                </c:pt>
                <c:pt idx="251">
                  <c:v>817.43929776868595</c:v>
                </c:pt>
                <c:pt idx="252">
                  <c:v>822.44923748444796</c:v>
                </c:pt>
                <c:pt idx="253">
                  <c:v>804.46743417086441</c:v>
                </c:pt>
                <c:pt idx="254">
                  <c:v>796.54703798334924</c:v>
                </c:pt>
                <c:pt idx="255">
                  <c:v>851.39646357795129</c:v>
                </c:pt>
                <c:pt idx="256">
                  <c:v>809.5075582462631</c:v>
                </c:pt>
                <c:pt idx="257">
                  <c:v>821.22003885255708</c:v>
                </c:pt>
                <c:pt idx="258">
                  <c:v>810.45144198893934</c:v>
                </c:pt>
                <c:pt idx="259">
                  <c:v>851.90156009371776</c:v>
                </c:pt>
                <c:pt idx="260">
                  <c:v>805.12767180044841</c:v>
                </c:pt>
                <c:pt idx="261">
                  <c:v>817.67134169430551</c:v>
                </c:pt>
                <c:pt idx="262">
                  <c:v>797.34658917791603</c:v>
                </c:pt>
                <c:pt idx="263">
                  <c:v>803.41695240785782</c:v>
                </c:pt>
                <c:pt idx="264">
                  <c:v>794.86587339392327</c:v>
                </c:pt>
                <c:pt idx="265">
                  <c:v>805.38048144642255</c:v>
                </c:pt>
                <c:pt idx="266">
                  <c:v>812.96147779256796</c:v>
                </c:pt>
                <c:pt idx="267">
                  <c:v>806.39009657313579</c:v>
                </c:pt>
                <c:pt idx="268">
                  <c:v>811.19516343385385</c:v>
                </c:pt>
                <c:pt idx="269">
                  <c:v>799.22519188039189</c:v>
                </c:pt>
                <c:pt idx="270">
                  <c:v>800.01446862040984</c:v>
                </c:pt>
                <c:pt idx="271">
                  <c:v>813.52845982213114</c:v>
                </c:pt>
                <c:pt idx="272">
                  <c:v>804.44054584940454</c:v>
                </c:pt>
                <c:pt idx="273">
                  <c:v>816.89785929983839</c:v>
                </c:pt>
                <c:pt idx="274">
                  <c:v>803.64345857317971</c:v>
                </c:pt>
                <c:pt idx="275">
                  <c:v>815.16032671484095</c:v>
                </c:pt>
                <c:pt idx="276">
                  <c:v>806.13548762578125</c:v>
                </c:pt>
                <c:pt idx="277">
                  <c:v>807.66047544047296</c:v>
                </c:pt>
                <c:pt idx="278">
                  <c:v>814.82654021510029</c:v>
                </c:pt>
                <c:pt idx="279">
                  <c:v>803.22947067181371</c:v>
                </c:pt>
                <c:pt idx="280">
                  <c:v>811.65884030838322</c:v>
                </c:pt>
                <c:pt idx="281">
                  <c:v>801.90001377713656</c:v>
                </c:pt>
                <c:pt idx="282">
                  <c:v>795.44135953009265</c:v>
                </c:pt>
                <c:pt idx="283">
                  <c:v>812.25489378741429</c:v>
                </c:pt>
                <c:pt idx="284">
                  <c:v>803.82949847379734</c:v>
                </c:pt>
                <c:pt idx="285">
                  <c:v>815.6417558160033</c:v>
                </c:pt>
                <c:pt idx="286">
                  <c:v>802.37765935247853</c:v>
                </c:pt>
                <c:pt idx="287">
                  <c:v>797.3747375097098</c:v>
                </c:pt>
                <c:pt idx="288">
                  <c:v>804.54711494764558</c:v>
                </c:pt>
                <c:pt idx="289">
                  <c:v>798.83124619426587</c:v>
                </c:pt>
                <c:pt idx="290">
                  <c:v>815.46332293678677</c:v>
                </c:pt>
                <c:pt idx="291">
                  <c:v>810.36306766453117</c:v>
                </c:pt>
                <c:pt idx="292">
                  <c:v>807.53137035617021</c:v>
                </c:pt>
                <c:pt idx="293">
                  <c:v>808.51429897827927</c:v>
                </c:pt>
                <c:pt idx="294">
                  <c:v>809.59990502530604</c:v>
                </c:pt>
                <c:pt idx="295">
                  <c:v>818.51142728516288</c:v>
                </c:pt>
                <c:pt idx="296">
                  <c:v>835.66269187288913</c:v>
                </c:pt>
                <c:pt idx="297">
                  <c:v>808.90033372673281</c:v>
                </c:pt>
                <c:pt idx="298">
                  <c:v>808.66102577616016</c:v>
                </c:pt>
                <c:pt idx="299">
                  <c:v>818.32331058873365</c:v>
                </c:pt>
                <c:pt idx="300">
                  <c:v>799.62148618440983</c:v>
                </c:pt>
                <c:pt idx="301">
                  <c:v>806.06364743436257</c:v>
                </c:pt>
                <c:pt idx="302">
                  <c:v>810.40842838961817</c:v>
                </c:pt>
                <c:pt idx="303">
                  <c:v>806.97986494280258</c:v>
                </c:pt>
                <c:pt idx="304">
                  <c:v>798.46689420036171</c:v>
                </c:pt>
                <c:pt idx="305">
                  <c:v>829.48699161436207</c:v>
                </c:pt>
                <c:pt idx="306">
                  <c:v>812.9944854799835</c:v>
                </c:pt>
                <c:pt idx="307">
                  <c:v>801.03137967163832</c:v>
                </c:pt>
                <c:pt idx="308">
                  <c:v>806.76387836989829</c:v>
                </c:pt>
                <c:pt idx="309">
                  <c:v>812.2830580026606</c:v>
                </c:pt>
                <c:pt idx="310">
                  <c:v>801.06226543959997</c:v>
                </c:pt>
                <c:pt idx="311">
                  <c:v>790.57929710550786</c:v>
                </c:pt>
                <c:pt idx="312">
                  <c:v>798.70841443939662</c:v>
                </c:pt>
                <c:pt idx="313">
                  <c:v>811.55334790680536</c:v>
                </c:pt>
                <c:pt idx="314">
                  <c:v>805.52165177579093</c:v>
                </c:pt>
                <c:pt idx="315">
                  <c:v>815.81166622539695</c:v>
                </c:pt>
                <c:pt idx="316">
                  <c:v>814.02276031989504</c:v>
                </c:pt>
                <c:pt idx="317">
                  <c:v>799.82233185858195</c:v>
                </c:pt>
                <c:pt idx="318">
                  <c:v>822.80545677839893</c:v>
                </c:pt>
                <c:pt idx="319">
                  <c:v>799.62699109175696</c:v>
                </c:pt>
                <c:pt idx="320">
                  <c:v>839.79447768246951</c:v>
                </c:pt>
                <c:pt idx="321">
                  <c:v>799.89042595869944</c:v>
                </c:pt>
                <c:pt idx="322">
                  <c:v>801.25663056376186</c:v>
                </c:pt>
                <c:pt idx="323">
                  <c:v>833.02711284448219</c:v>
                </c:pt>
                <c:pt idx="324">
                  <c:v>803.48117328419164</c:v>
                </c:pt>
                <c:pt idx="325">
                  <c:v>813.19687272429371</c:v>
                </c:pt>
                <c:pt idx="326">
                  <c:v>801.41669113597811</c:v>
                </c:pt>
                <c:pt idx="327">
                  <c:v>807.4293371744094</c:v>
                </c:pt>
                <c:pt idx="328">
                  <c:v>815.85037587826389</c:v>
                </c:pt>
                <c:pt idx="329">
                  <c:v>817.45631712658701</c:v>
                </c:pt>
                <c:pt idx="330">
                  <c:v>822.06441912394473</c:v>
                </c:pt>
                <c:pt idx="331">
                  <c:v>835.16780415233882</c:v>
                </c:pt>
                <c:pt idx="332">
                  <c:v>805.05241027932902</c:v>
                </c:pt>
                <c:pt idx="333">
                  <c:v>801.16055670720584</c:v>
                </c:pt>
                <c:pt idx="334">
                  <c:v>809.35207718242384</c:v>
                </c:pt>
                <c:pt idx="335">
                  <c:v>812.16375599027776</c:v>
                </c:pt>
                <c:pt idx="336">
                  <c:v>796.77091479971921</c:v>
                </c:pt>
                <c:pt idx="337">
                  <c:v>801.2437038616107</c:v>
                </c:pt>
                <c:pt idx="338">
                  <c:v>821.99255898712295</c:v>
                </c:pt>
                <c:pt idx="339">
                  <c:v>804.68711393303886</c:v>
                </c:pt>
                <c:pt idx="340">
                  <c:v>801.3130938232764</c:v>
                </c:pt>
                <c:pt idx="341">
                  <c:v>815.12573517364513</c:v>
                </c:pt>
                <c:pt idx="342">
                  <c:v>847.28428921896989</c:v>
                </c:pt>
                <c:pt idx="343">
                  <c:v>803.59537272133548</c:v>
                </c:pt>
                <c:pt idx="344">
                  <c:v>825.71488976839896</c:v>
                </c:pt>
                <c:pt idx="345">
                  <c:v>824.69062014788221</c:v>
                </c:pt>
                <c:pt idx="346">
                  <c:v>795.33343287733385</c:v>
                </c:pt>
                <c:pt idx="347">
                  <c:v>811.19901593834675</c:v>
                </c:pt>
                <c:pt idx="348">
                  <c:v>799.56550484483341</c:v>
                </c:pt>
                <c:pt idx="349">
                  <c:v>812.38634992350762</c:v>
                </c:pt>
                <c:pt idx="350">
                  <c:v>816.81601688586409</c:v>
                </c:pt>
                <c:pt idx="351">
                  <c:v>801.37406365332902</c:v>
                </c:pt>
                <c:pt idx="352">
                  <c:v>806.10017832665392</c:v>
                </c:pt>
                <c:pt idx="353">
                  <c:v>831.29641467836802</c:v>
                </c:pt>
                <c:pt idx="354">
                  <c:v>800.0126812961247</c:v>
                </c:pt>
                <c:pt idx="355">
                  <c:v>795.89684918163482</c:v>
                </c:pt>
                <c:pt idx="356">
                  <c:v>835.84026774527422</c:v>
                </c:pt>
                <c:pt idx="357">
                  <c:v>802.90083372984225</c:v>
                </c:pt>
                <c:pt idx="358">
                  <c:v>817.56997400224338</c:v>
                </c:pt>
                <c:pt idx="359">
                  <c:v>813.14084903566061</c:v>
                </c:pt>
                <c:pt idx="360">
                  <c:v>811.93157703829411</c:v>
                </c:pt>
                <c:pt idx="361">
                  <c:v>804.68085823579599</c:v>
                </c:pt>
                <c:pt idx="362">
                  <c:v>875.02162852019626</c:v>
                </c:pt>
                <c:pt idx="363">
                  <c:v>875.8270925905133</c:v>
                </c:pt>
                <c:pt idx="364">
                  <c:v>822.05423511194169</c:v>
                </c:pt>
                <c:pt idx="365">
                  <c:v>797.36004604655011</c:v>
                </c:pt>
                <c:pt idx="366">
                  <c:v>805.01831606431767</c:v>
                </c:pt>
                <c:pt idx="367">
                  <c:v>893.82644137055559</c:v>
                </c:pt>
                <c:pt idx="368">
                  <c:v>816.02150160270958</c:v>
                </c:pt>
                <c:pt idx="369">
                  <c:v>806.4246096480324</c:v>
                </c:pt>
                <c:pt idx="370">
                  <c:v>820.16695500265462</c:v>
                </c:pt>
                <c:pt idx="371">
                  <c:v>799.9285205950805</c:v>
                </c:pt>
                <c:pt idx="372">
                  <c:v>803.92680079557488</c:v>
                </c:pt>
                <c:pt idx="373">
                  <c:v>814.03613434756517</c:v>
                </c:pt>
                <c:pt idx="374">
                  <c:v>802.28369501890143</c:v>
                </c:pt>
                <c:pt idx="375">
                  <c:v>866.48089024349247</c:v>
                </c:pt>
                <c:pt idx="376">
                  <c:v>828.0655690391975</c:v>
                </c:pt>
                <c:pt idx="377">
                  <c:v>811.03449457521458</c:v>
                </c:pt>
                <c:pt idx="378">
                  <c:v>822.12176327849295</c:v>
                </c:pt>
                <c:pt idx="379">
                  <c:v>803.06222920909465</c:v>
                </c:pt>
                <c:pt idx="380">
                  <c:v>824.87368984233058</c:v>
                </c:pt>
                <c:pt idx="381">
                  <c:v>807.5939618125268</c:v>
                </c:pt>
                <c:pt idx="382">
                  <c:v>808.72960973792385</c:v>
                </c:pt>
                <c:pt idx="383">
                  <c:v>812.83561575034503</c:v>
                </c:pt>
                <c:pt idx="384">
                  <c:v>811.58297044853009</c:v>
                </c:pt>
                <c:pt idx="385">
                  <c:v>804.34312099468093</c:v>
                </c:pt>
                <c:pt idx="386">
                  <c:v>803.56486811954824</c:v>
                </c:pt>
                <c:pt idx="387">
                  <c:v>799.65943743053322</c:v>
                </c:pt>
                <c:pt idx="388">
                  <c:v>801.54801383606878</c:v>
                </c:pt>
                <c:pt idx="389">
                  <c:v>813.621155420371</c:v>
                </c:pt>
                <c:pt idx="390">
                  <c:v>799.63453640719865</c:v>
                </c:pt>
                <c:pt idx="391">
                  <c:v>807.69255141649376</c:v>
                </c:pt>
                <c:pt idx="392">
                  <c:v>850.19399028001567</c:v>
                </c:pt>
                <c:pt idx="393">
                  <c:v>807.60034050478805</c:v>
                </c:pt>
                <c:pt idx="394">
                  <c:v>795.69622242584444</c:v>
                </c:pt>
                <c:pt idx="395">
                  <c:v>797.05653370097423</c:v>
                </c:pt>
                <c:pt idx="396">
                  <c:v>815.7415728724186</c:v>
                </c:pt>
                <c:pt idx="397">
                  <c:v>809.962649604175</c:v>
                </c:pt>
                <c:pt idx="398">
                  <c:v>805.59472720391091</c:v>
                </c:pt>
                <c:pt idx="399">
                  <c:v>799.03768969797795</c:v>
                </c:pt>
                <c:pt idx="400">
                  <c:v>811.86322273606766</c:v>
                </c:pt>
                <c:pt idx="401">
                  <c:v>846.79540306889407</c:v>
                </c:pt>
                <c:pt idx="402">
                  <c:v>831.49922908283065</c:v>
                </c:pt>
                <c:pt idx="403">
                  <c:v>818.31406641269814</c:v>
                </c:pt>
                <c:pt idx="404">
                  <c:v>834.83559198184651</c:v>
                </c:pt>
                <c:pt idx="405">
                  <c:v>817.76109844636483</c:v>
                </c:pt>
                <c:pt idx="406">
                  <c:v>807.95400185540154</c:v>
                </c:pt>
                <c:pt idx="407">
                  <c:v>812.73521753852663</c:v>
                </c:pt>
                <c:pt idx="408">
                  <c:v>844.08588954691629</c:v>
                </c:pt>
                <c:pt idx="409">
                  <c:v>804.21996441817635</c:v>
                </c:pt>
                <c:pt idx="410">
                  <c:v>821.727920310983</c:v>
                </c:pt>
                <c:pt idx="411">
                  <c:v>813.25347605127081</c:v>
                </c:pt>
                <c:pt idx="412">
                  <c:v>813.33095857486455</c:v>
                </c:pt>
                <c:pt idx="413">
                  <c:v>820.29192845573164</c:v>
                </c:pt>
                <c:pt idx="414">
                  <c:v>806.48698682531699</c:v>
                </c:pt>
                <c:pt idx="415">
                  <c:v>798.88623490673433</c:v>
                </c:pt>
                <c:pt idx="416">
                  <c:v>817.59493977126772</c:v>
                </c:pt>
                <c:pt idx="417">
                  <c:v>817.694093057749</c:v>
                </c:pt>
                <c:pt idx="418">
                  <c:v>803.56789576823678</c:v>
                </c:pt>
                <c:pt idx="419">
                  <c:v>823.82102326945073</c:v>
                </c:pt>
                <c:pt idx="420">
                  <c:v>827.33562099042535</c:v>
                </c:pt>
                <c:pt idx="421">
                  <c:v>816.43364566112859</c:v>
                </c:pt>
                <c:pt idx="422">
                  <c:v>804.22764114025802</c:v>
                </c:pt>
                <c:pt idx="423">
                  <c:v>813.46852109488054</c:v>
                </c:pt>
                <c:pt idx="424">
                  <c:v>855.87702113400007</c:v>
                </c:pt>
                <c:pt idx="425">
                  <c:v>811.62192001373592</c:v>
                </c:pt>
                <c:pt idx="426">
                  <c:v>797.60050001009495</c:v>
                </c:pt>
                <c:pt idx="427">
                  <c:v>804.17203639378954</c:v>
                </c:pt>
                <c:pt idx="428">
                  <c:v>801.08585519886265</c:v>
                </c:pt>
                <c:pt idx="429">
                  <c:v>805.79864098270889</c:v>
                </c:pt>
                <c:pt idx="430">
                  <c:v>832.58887855495811</c:v>
                </c:pt>
                <c:pt idx="431">
                  <c:v>808.14103828503789</c:v>
                </c:pt>
                <c:pt idx="432">
                  <c:v>803.19993093071116</c:v>
                </c:pt>
                <c:pt idx="433">
                  <c:v>801.72037859285808</c:v>
                </c:pt>
                <c:pt idx="434">
                  <c:v>820.53760201730881</c:v>
                </c:pt>
                <c:pt idx="435">
                  <c:v>843.82686343745331</c:v>
                </c:pt>
                <c:pt idx="436">
                  <c:v>810.52917349883512</c:v>
                </c:pt>
                <c:pt idx="437">
                  <c:v>837.10455913012015</c:v>
                </c:pt>
                <c:pt idx="438">
                  <c:v>810.58285274693549</c:v>
                </c:pt>
                <c:pt idx="439">
                  <c:v>805.28706696656388</c:v>
                </c:pt>
                <c:pt idx="440">
                  <c:v>823.91499581301741</c:v>
                </c:pt>
                <c:pt idx="441">
                  <c:v>826.077971183204</c:v>
                </c:pt>
                <c:pt idx="442">
                  <c:v>800.05870710900592</c:v>
                </c:pt>
                <c:pt idx="443">
                  <c:v>849.84618096840597</c:v>
                </c:pt>
                <c:pt idx="444">
                  <c:v>851.59440269438676</c:v>
                </c:pt>
                <c:pt idx="445">
                  <c:v>819.21744801854481</c:v>
                </c:pt>
                <c:pt idx="446">
                  <c:v>818.63332501068874</c:v>
                </c:pt>
                <c:pt idx="447">
                  <c:v>807.49218177525574</c:v>
                </c:pt>
                <c:pt idx="448">
                  <c:v>815.05215910379195</c:v>
                </c:pt>
                <c:pt idx="449">
                  <c:v>830.23986038148564</c:v>
                </c:pt>
                <c:pt idx="450">
                  <c:v>806.19665858106873</c:v>
                </c:pt>
                <c:pt idx="451">
                  <c:v>801.37013949863308</c:v>
                </c:pt>
                <c:pt idx="452">
                  <c:v>818.1772041780506</c:v>
                </c:pt>
                <c:pt idx="453">
                  <c:v>805.69755967717265</c:v>
                </c:pt>
                <c:pt idx="454">
                  <c:v>811.19750727138683</c:v>
                </c:pt>
                <c:pt idx="455">
                  <c:v>805.44486279007958</c:v>
                </c:pt>
                <c:pt idx="456">
                  <c:v>811.10180714338765</c:v>
                </c:pt>
                <c:pt idx="457">
                  <c:v>797.68166493878891</c:v>
                </c:pt>
                <c:pt idx="458">
                  <c:v>805.72957066383742</c:v>
                </c:pt>
                <c:pt idx="459">
                  <c:v>814.69057287525231</c:v>
                </c:pt>
                <c:pt idx="460">
                  <c:v>799.42485544716124</c:v>
                </c:pt>
                <c:pt idx="461">
                  <c:v>849.81593430701571</c:v>
                </c:pt>
                <c:pt idx="462">
                  <c:v>808.42283050916967</c:v>
                </c:pt>
                <c:pt idx="463">
                  <c:v>841.0406275962273</c:v>
                </c:pt>
                <c:pt idx="464">
                  <c:v>808.75179673784737</c:v>
                </c:pt>
                <c:pt idx="465">
                  <c:v>804.52590482807011</c:v>
                </c:pt>
                <c:pt idx="466">
                  <c:v>805.26277763657629</c:v>
                </c:pt>
                <c:pt idx="467">
                  <c:v>815.60249126951203</c:v>
                </c:pt>
                <c:pt idx="468">
                  <c:v>804.88494023077067</c:v>
                </c:pt>
                <c:pt idx="469">
                  <c:v>794.98718565766239</c:v>
                </c:pt>
                <c:pt idx="470">
                  <c:v>809.91626643341715</c:v>
                </c:pt>
                <c:pt idx="471">
                  <c:v>846.73924400867782</c:v>
                </c:pt>
                <c:pt idx="472">
                  <c:v>871.53065605024563</c:v>
                </c:pt>
                <c:pt idx="473">
                  <c:v>812.85109658599868</c:v>
                </c:pt>
                <c:pt idx="474">
                  <c:v>806.51892075228477</c:v>
                </c:pt>
                <c:pt idx="475">
                  <c:v>846.79835221462008</c:v>
                </c:pt>
                <c:pt idx="476">
                  <c:v>804.4751032906762</c:v>
                </c:pt>
                <c:pt idx="477">
                  <c:v>802.33667757967567</c:v>
                </c:pt>
                <c:pt idx="478">
                  <c:v>813.48997287155885</c:v>
                </c:pt>
                <c:pt idx="479">
                  <c:v>810.84906952992139</c:v>
                </c:pt>
                <c:pt idx="480">
                  <c:v>793.10436372836477</c:v>
                </c:pt>
                <c:pt idx="481">
                  <c:v>824.63443227713265</c:v>
                </c:pt>
                <c:pt idx="482">
                  <c:v>815.60544193870658</c:v>
                </c:pt>
                <c:pt idx="483">
                  <c:v>834.37228817603886</c:v>
                </c:pt>
                <c:pt idx="484">
                  <c:v>810.25944851327677</c:v>
                </c:pt>
                <c:pt idx="485">
                  <c:v>822.22420043534112</c:v>
                </c:pt>
                <c:pt idx="486">
                  <c:v>805.15244294494516</c:v>
                </c:pt>
                <c:pt idx="487">
                  <c:v>800.56852302940422</c:v>
                </c:pt>
                <c:pt idx="488">
                  <c:v>812.34978992682045</c:v>
                </c:pt>
                <c:pt idx="489">
                  <c:v>796.64801882295694</c:v>
                </c:pt>
                <c:pt idx="490">
                  <c:v>798.59513545015534</c:v>
                </c:pt>
                <c:pt idx="491">
                  <c:v>811.22279929886997</c:v>
                </c:pt>
                <c:pt idx="492">
                  <c:v>821.33104561047719</c:v>
                </c:pt>
                <c:pt idx="493">
                  <c:v>804.52748393867932</c:v>
                </c:pt>
                <c:pt idx="494">
                  <c:v>834.05305449619641</c:v>
                </c:pt>
                <c:pt idx="495">
                  <c:v>820.00988175728116</c:v>
                </c:pt>
                <c:pt idx="496">
                  <c:v>835.35469025583541</c:v>
                </c:pt>
                <c:pt idx="497">
                  <c:v>799.24471343021753</c:v>
                </c:pt>
                <c:pt idx="498">
                  <c:v>805.71313985104621</c:v>
                </c:pt>
                <c:pt idx="499">
                  <c:v>805.45410546577261</c:v>
                </c:pt>
                <c:pt idx="500">
                  <c:v>807.67798083904836</c:v>
                </c:pt>
                <c:pt idx="501">
                  <c:v>806.83825628815896</c:v>
                </c:pt>
                <c:pt idx="502">
                  <c:v>801.44632800395209</c:v>
                </c:pt>
                <c:pt idx="503">
                  <c:v>825.04390741047519</c:v>
                </c:pt>
                <c:pt idx="504">
                  <c:v>798.92112664918443</c:v>
                </c:pt>
                <c:pt idx="505">
                  <c:v>805.00468175467881</c:v>
                </c:pt>
                <c:pt idx="506">
                  <c:v>808.31859811817526</c:v>
                </c:pt>
                <c:pt idx="507">
                  <c:v>831.4288177669273</c:v>
                </c:pt>
                <c:pt idx="508">
                  <c:v>821.83320763423592</c:v>
                </c:pt>
                <c:pt idx="509">
                  <c:v>826.59180437858629</c:v>
                </c:pt>
                <c:pt idx="510">
                  <c:v>822.8962232897029</c:v>
                </c:pt>
                <c:pt idx="511">
                  <c:v>806.31473024736545</c:v>
                </c:pt>
                <c:pt idx="512">
                  <c:v>807.02499538832467</c:v>
                </c:pt>
                <c:pt idx="513">
                  <c:v>818.54571648081435</c:v>
                </c:pt>
                <c:pt idx="514">
                  <c:v>809.81815477555836</c:v>
                </c:pt>
                <c:pt idx="515">
                  <c:v>829.80829222780471</c:v>
                </c:pt>
                <c:pt idx="516">
                  <c:v>797.64627807141017</c:v>
                </c:pt>
                <c:pt idx="517">
                  <c:v>819.29420115488324</c:v>
                </c:pt>
                <c:pt idx="518">
                  <c:v>807.27514293201432</c:v>
                </c:pt>
                <c:pt idx="519">
                  <c:v>803.96246336655202</c:v>
                </c:pt>
                <c:pt idx="520">
                  <c:v>804.91837181447295</c:v>
                </c:pt>
                <c:pt idx="521">
                  <c:v>798.46934568656263</c:v>
                </c:pt>
                <c:pt idx="522">
                  <c:v>800.91307836586748</c:v>
                </c:pt>
                <c:pt idx="523">
                  <c:v>824.2699869107621</c:v>
                </c:pt>
                <c:pt idx="524">
                  <c:v>823.53794848174903</c:v>
                </c:pt>
                <c:pt idx="525">
                  <c:v>804.37256737226107</c:v>
                </c:pt>
                <c:pt idx="526">
                  <c:v>795.37900452884401</c:v>
                </c:pt>
                <c:pt idx="527">
                  <c:v>839.53318226837541</c:v>
                </c:pt>
                <c:pt idx="528">
                  <c:v>820.89698850707487</c:v>
                </c:pt>
                <c:pt idx="529">
                  <c:v>803.7907366823772</c:v>
                </c:pt>
                <c:pt idx="530">
                  <c:v>801.87933437106926</c:v>
                </c:pt>
                <c:pt idx="531">
                  <c:v>822.41314765453853</c:v>
                </c:pt>
                <c:pt idx="532">
                  <c:v>829.46580340412322</c:v>
                </c:pt>
                <c:pt idx="533">
                  <c:v>864.94275859856509</c:v>
                </c:pt>
                <c:pt idx="534">
                  <c:v>817.65841909073276</c:v>
                </c:pt>
                <c:pt idx="535">
                  <c:v>794.66916782336398</c:v>
                </c:pt>
                <c:pt idx="536">
                  <c:v>849.49701664978841</c:v>
                </c:pt>
                <c:pt idx="537">
                  <c:v>828.27358253106297</c:v>
                </c:pt>
                <c:pt idx="538">
                  <c:v>838.1936156837487</c:v>
                </c:pt>
                <c:pt idx="539">
                  <c:v>806.69992676416211</c:v>
                </c:pt>
                <c:pt idx="540">
                  <c:v>807.44764120019852</c:v>
                </c:pt>
                <c:pt idx="541">
                  <c:v>822.92076419633599</c:v>
                </c:pt>
                <c:pt idx="542">
                  <c:v>830.52105658366031</c:v>
                </c:pt>
                <c:pt idx="543">
                  <c:v>802.75294729247855</c:v>
                </c:pt>
                <c:pt idx="544">
                  <c:v>808.00213841367031</c:v>
                </c:pt>
                <c:pt idx="545">
                  <c:v>816.09365174853554</c:v>
                </c:pt>
                <c:pt idx="546">
                  <c:v>793.36382633094445</c:v>
                </c:pt>
                <c:pt idx="547">
                  <c:v>822.1659790696599</c:v>
                </c:pt>
                <c:pt idx="548">
                  <c:v>835.31751943628706</c:v>
                </c:pt>
                <c:pt idx="549">
                  <c:v>798.35986173281071</c:v>
                </c:pt>
                <c:pt idx="550">
                  <c:v>798.0681601665043</c:v>
                </c:pt>
                <c:pt idx="551">
                  <c:v>793.84252506130281</c:v>
                </c:pt>
                <c:pt idx="552">
                  <c:v>822.57201585969813</c:v>
                </c:pt>
                <c:pt idx="553">
                  <c:v>813.85712529755517</c:v>
                </c:pt>
                <c:pt idx="554">
                  <c:v>814.9494052376873</c:v>
                </c:pt>
                <c:pt idx="555">
                  <c:v>805.12034685239053</c:v>
                </c:pt>
                <c:pt idx="556">
                  <c:v>822.5849113614139</c:v>
                </c:pt>
                <c:pt idx="557">
                  <c:v>818.34205093807077</c:v>
                </c:pt>
                <c:pt idx="558">
                  <c:v>799.61403679627085</c:v>
                </c:pt>
                <c:pt idx="559">
                  <c:v>813.75696240956324</c:v>
                </c:pt>
                <c:pt idx="560">
                  <c:v>799.45374161549819</c:v>
                </c:pt>
                <c:pt idx="561">
                  <c:v>794.93452527165107</c:v>
                </c:pt>
                <c:pt idx="562">
                  <c:v>805.43294326760122</c:v>
                </c:pt>
                <c:pt idx="563">
                  <c:v>819.69683565199318</c:v>
                </c:pt>
                <c:pt idx="564">
                  <c:v>798.78700969153078</c:v>
                </c:pt>
                <c:pt idx="565">
                  <c:v>805.49971116542963</c:v>
                </c:pt>
                <c:pt idx="566">
                  <c:v>799.4171228575309</c:v>
                </c:pt>
                <c:pt idx="567">
                  <c:v>841.50560076610509</c:v>
                </c:pt>
                <c:pt idx="568">
                  <c:v>817.00651283038599</c:v>
                </c:pt>
                <c:pt idx="569">
                  <c:v>827.29311223661534</c:v>
                </c:pt>
                <c:pt idx="570">
                  <c:v>833.0945548506669</c:v>
                </c:pt>
                <c:pt idx="571">
                  <c:v>795.09167245729373</c:v>
                </c:pt>
                <c:pt idx="572">
                  <c:v>804.88704825101672</c:v>
                </c:pt>
                <c:pt idx="573">
                  <c:v>826.02461648278131</c:v>
                </c:pt>
                <c:pt idx="574">
                  <c:v>796.23742448024166</c:v>
                </c:pt>
                <c:pt idx="575">
                  <c:v>808.3787587831871</c:v>
                </c:pt>
                <c:pt idx="576">
                  <c:v>799.64268251581859</c:v>
                </c:pt>
                <c:pt idx="577">
                  <c:v>797.96970027680743</c:v>
                </c:pt>
                <c:pt idx="578">
                  <c:v>830.90891817649367</c:v>
                </c:pt>
                <c:pt idx="579">
                  <c:v>816.6504400126222</c:v>
                </c:pt>
                <c:pt idx="580">
                  <c:v>822.01789433393458</c:v>
                </c:pt>
                <c:pt idx="581">
                  <c:v>812.53324125663789</c:v>
                </c:pt>
                <c:pt idx="582">
                  <c:v>821.9084344044918</c:v>
                </c:pt>
                <c:pt idx="583">
                  <c:v>813.16994539950019</c:v>
                </c:pt>
                <c:pt idx="584">
                  <c:v>807.30735360516246</c:v>
                </c:pt>
                <c:pt idx="585">
                  <c:v>795.24720342414969</c:v>
                </c:pt>
                <c:pt idx="586">
                  <c:v>802.83533222790322</c:v>
                </c:pt>
                <c:pt idx="587">
                  <c:v>814.27499625991379</c:v>
                </c:pt>
                <c:pt idx="588">
                  <c:v>804.93831552861889</c:v>
                </c:pt>
                <c:pt idx="589">
                  <c:v>802.57580892153169</c:v>
                </c:pt>
                <c:pt idx="590">
                  <c:v>814.3968301589025</c:v>
                </c:pt>
                <c:pt idx="591">
                  <c:v>801.27679299512067</c:v>
                </c:pt>
                <c:pt idx="592">
                  <c:v>808.8049811260845</c:v>
                </c:pt>
                <c:pt idx="593">
                  <c:v>833.68117865382419</c:v>
                </c:pt>
                <c:pt idx="594">
                  <c:v>827.67257891028373</c:v>
                </c:pt>
                <c:pt idx="595">
                  <c:v>835.90421618003222</c:v>
                </c:pt>
                <c:pt idx="596">
                  <c:v>868.25231175902047</c:v>
                </c:pt>
                <c:pt idx="597">
                  <c:v>800.9798867468561</c:v>
                </c:pt>
                <c:pt idx="598">
                  <c:v>803.81455078664408</c:v>
                </c:pt>
                <c:pt idx="599">
                  <c:v>818.93821125916338</c:v>
                </c:pt>
                <c:pt idx="600">
                  <c:v>804.35344874800717</c:v>
                </c:pt>
                <c:pt idx="601">
                  <c:v>818.5871803813202</c:v>
                </c:pt>
                <c:pt idx="602">
                  <c:v>803.26981460588343</c:v>
                </c:pt>
                <c:pt idx="603">
                  <c:v>802.67797566739148</c:v>
                </c:pt>
                <c:pt idx="604">
                  <c:v>795.3737473610098</c:v>
                </c:pt>
                <c:pt idx="605">
                  <c:v>816.50432465722383</c:v>
                </c:pt>
                <c:pt idx="606">
                  <c:v>804.07439506044238</c:v>
                </c:pt>
                <c:pt idx="607">
                  <c:v>824.15316534314309</c:v>
                </c:pt>
                <c:pt idx="608">
                  <c:v>799.5341650099358</c:v>
                </c:pt>
                <c:pt idx="609">
                  <c:v>829.67169564318522</c:v>
                </c:pt>
                <c:pt idx="610">
                  <c:v>808.67083583346914</c:v>
                </c:pt>
                <c:pt idx="611">
                  <c:v>801.95527290415271</c:v>
                </c:pt>
                <c:pt idx="612">
                  <c:v>822.03926326430098</c:v>
                </c:pt>
                <c:pt idx="613">
                  <c:v>806.36534365232785</c:v>
                </c:pt>
                <c:pt idx="614">
                  <c:v>823.21137732236389</c:v>
                </c:pt>
                <c:pt idx="615">
                  <c:v>821.75680328803389</c:v>
                </c:pt>
                <c:pt idx="616">
                  <c:v>823.38034385664082</c:v>
                </c:pt>
                <c:pt idx="617">
                  <c:v>807.80088841995916</c:v>
                </c:pt>
                <c:pt idx="618">
                  <c:v>820.24683533123778</c:v>
                </c:pt>
                <c:pt idx="619">
                  <c:v>819.94737855393043</c:v>
                </c:pt>
                <c:pt idx="620">
                  <c:v>822.46347974388016</c:v>
                </c:pt>
                <c:pt idx="621">
                  <c:v>870.53639948241732</c:v>
                </c:pt>
                <c:pt idx="622">
                  <c:v>809.8358623337532</c:v>
                </c:pt>
                <c:pt idx="623">
                  <c:v>806.10275873767159</c:v>
                </c:pt>
                <c:pt idx="624">
                  <c:v>803.0076913506997</c:v>
                </c:pt>
                <c:pt idx="625">
                  <c:v>829.02416486999971</c:v>
                </c:pt>
                <c:pt idx="626">
                  <c:v>816.19698906940687</c:v>
                </c:pt>
                <c:pt idx="627">
                  <c:v>794.16670238267545</c:v>
                </c:pt>
                <c:pt idx="628">
                  <c:v>810.88387776684965</c:v>
                </c:pt>
                <c:pt idx="629">
                  <c:v>914.09519528938415</c:v>
                </c:pt>
                <c:pt idx="630">
                  <c:v>810.22648072481547</c:v>
                </c:pt>
                <c:pt idx="631">
                  <c:v>807.91716197126982</c:v>
                </c:pt>
                <c:pt idx="632">
                  <c:v>797.81658543273159</c:v>
                </c:pt>
                <c:pt idx="633">
                  <c:v>823.11654030590512</c:v>
                </c:pt>
                <c:pt idx="634">
                  <c:v>820.91459160448255</c:v>
                </c:pt>
                <c:pt idx="635">
                  <c:v>835.05718795005021</c:v>
                </c:pt>
                <c:pt idx="636">
                  <c:v>839.47232611612606</c:v>
                </c:pt>
                <c:pt idx="637">
                  <c:v>799.75029726838795</c:v>
                </c:pt>
                <c:pt idx="638">
                  <c:v>811.44401764645897</c:v>
                </c:pt>
                <c:pt idx="639">
                  <c:v>804.08509755477178</c:v>
                </c:pt>
                <c:pt idx="640">
                  <c:v>835.33426189031604</c:v>
                </c:pt>
                <c:pt idx="641">
                  <c:v>869.17612058646318</c:v>
                </c:pt>
                <c:pt idx="642">
                  <c:v>812.39249868694469</c:v>
                </c:pt>
                <c:pt idx="643">
                  <c:v>800.47331884142352</c:v>
                </c:pt>
                <c:pt idx="644">
                  <c:v>801.60327658000983</c:v>
                </c:pt>
                <c:pt idx="645">
                  <c:v>809.39498820134691</c:v>
                </c:pt>
                <c:pt idx="646">
                  <c:v>802.58216690469681</c:v>
                </c:pt>
                <c:pt idx="647">
                  <c:v>795.39199671506708</c:v>
                </c:pt>
                <c:pt idx="648">
                  <c:v>828.17829273274856</c:v>
                </c:pt>
                <c:pt idx="649">
                  <c:v>811.75970134660372</c:v>
                </c:pt>
                <c:pt idx="650">
                  <c:v>798.84730187820446</c:v>
                </c:pt>
                <c:pt idx="651">
                  <c:v>802.85481480398573</c:v>
                </c:pt>
                <c:pt idx="652">
                  <c:v>814.80149706195266</c:v>
                </c:pt>
                <c:pt idx="653">
                  <c:v>792.95422686914333</c:v>
                </c:pt>
                <c:pt idx="654">
                  <c:v>813.71049496231842</c:v>
                </c:pt>
                <c:pt idx="655">
                  <c:v>798.26170944250646</c:v>
                </c:pt>
                <c:pt idx="656">
                  <c:v>793.67965664596068</c:v>
                </c:pt>
                <c:pt idx="657">
                  <c:v>800.41553145918613</c:v>
                </c:pt>
                <c:pt idx="658">
                  <c:v>814.00371730813856</c:v>
                </c:pt>
                <c:pt idx="659">
                  <c:v>803.63208624520689</c:v>
                </c:pt>
                <c:pt idx="660">
                  <c:v>850.12839629816347</c:v>
                </c:pt>
                <c:pt idx="661">
                  <c:v>807.05133307162362</c:v>
                </c:pt>
                <c:pt idx="662">
                  <c:v>804.54482365594561</c:v>
                </c:pt>
                <c:pt idx="663">
                  <c:v>799.96124227850487</c:v>
                </c:pt>
                <c:pt idx="664">
                  <c:v>799.57161394087018</c:v>
                </c:pt>
                <c:pt idx="665">
                  <c:v>811.44697461155772</c:v>
                </c:pt>
                <c:pt idx="666">
                  <c:v>830.05041507712372</c:v>
                </c:pt>
                <c:pt idx="667">
                  <c:v>800.40059539899687</c:v>
                </c:pt>
                <c:pt idx="668">
                  <c:v>810.0736817846423</c:v>
                </c:pt>
                <c:pt idx="669">
                  <c:v>815.74974281001266</c:v>
                </c:pt>
                <c:pt idx="670">
                  <c:v>817.62737709656369</c:v>
                </c:pt>
                <c:pt idx="671">
                  <c:v>820.8569042996005</c:v>
                </c:pt>
                <c:pt idx="672">
                  <c:v>804.54337469820575</c:v>
                </c:pt>
                <c:pt idx="673">
                  <c:v>831.1673919472978</c:v>
                </c:pt>
                <c:pt idx="674">
                  <c:v>822.94272938548556</c:v>
                </c:pt>
                <c:pt idx="675">
                  <c:v>862.30530771962754</c:v>
                </c:pt>
                <c:pt idx="676">
                  <c:v>826.45188542964638</c:v>
                </c:pt>
                <c:pt idx="677">
                  <c:v>834.04953197212444</c:v>
                </c:pt>
                <c:pt idx="678">
                  <c:v>821.1547888609249</c:v>
                </c:pt>
                <c:pt idx="679">
                  <c:v>808.21394271493796</c:v>
                </c:pt>
                <c:pt idx="680">
                  <c:v>822.02169694715576</c:v>
                </c:pt>
                <c:pt idx="681">
                  <c:v>845.73623192218338</c:v>
                </c:pt>
                <c:pt idx="682">
                  <c:v>808.95803766099289</c:v>
                </c:pt>
                <c:pt idx="683">
                  <c:v>811.83092134074298</c:v>
                </c:pt>
                <c:pt idx="684">
                  <c:v>813.99137603894883</c:v>
                </c:pt>
                <c:pt idx="685">
                  <c:v>795.20415936003178</c:v>
                </c:pt>
                <c:pt idx="686">
                  <c:v>823.06818500612223</c:v>
                </c:pt>
                <c:pt idx="687">
                  <c:v>808.60251171442826</c:v>
                </c:pt>
                <c:pt idx="688">
                  <c:v>816.23027915697992</c:v>
                </c:pt>
                <c:pt idx="689">
                  <c:v>810.73275164592121</c:v>
                </c:pt>
                <c:pt idx="690">
                  <c:v>799.98536285204852</c:v>
                </c:pt>
                <c:pt idx="691">
                  <c:v>836.25563852413654</c:v>
                </c:pt>
                <c:pt idx="692">
                  <c:v>855.83207728071602</c:v>
                </c:pt>
                <c:pt idx="693">
                  <c:v>812.96371731321767</c:v>
                </c:pt>
                <c:pt idx="694">
                  <c:v>797.79541492323278</c:v>
                </c:pt>
                <c:pt idx="695">
                  <c:v>834.92084993024287</c:v>
                </c:pt>
                <c:pt idx="696">
                  <c:v>813.69494445197518</c:v>
                </c:pt>
                <c:pt idx="697">
                  <c:v>804.28131865504338</c:v>
                </c:pt>
                <c:pt idx="698">
                  <c:v>802.510892373959</c:v>
                </c:pt>
                <c:pt idx="699">
                  <c:v>800.12816732943622</c:v>
                </c:pt>
                <c:pt idx="700">
                  <c:v>809.49374873617614</c:v>
                </c:pt>
                <c:pt idx="701">
                  <c:v>802.60551706525723</c:v>
                </c:pt>
                <c:pt idx="702">
                  <c:v>797.97745460128715</c:v>
                </c:pt>
                <c:pt idx="703">
                  <c:v>817.42390353355177</c:v>
                </c:pt>
                <c:pt idx="704">
                  <c:v>817.31106000557838</c:v>
                </c:pt>
                <c:pt idx="705">
                  <c:v>813.96821804663966</c:v>
                </c:pt>
                <c:pt idx="706">
                  <c:v>829.87924039870143</c:v>
                </c:pt>
                <c:pt idx="707">
                  <c:v>805.74489851838018</c:v>
                </c:pt>
                <c:pt idx="708">
                  <c:v>802.33930001485953</c:v>
                </c:pt>
                <c:pt idx="709">
                  <c:v>801.72403628932659</c:v>
                </c:pt>
                <c:pt idx="710">
                  <c:v>794.87358459602558</c:v>
                </c:pt>
                <c:pt idx="711">
                  <c:v>830.91113200649102</c:v>
                </c:pt>
                <c:pt idx="712">
                  <c:v>815.08110685252154</c:v>
                </c:pt>
                <c:pt idx="713">
                  <c:v>844.64094317681963</c:v>
                </c:pt>
                <c:pt idx="714">
                  <c:v>820.81067728461107</c:v>
                </c:pt>
                <c:pt idx="715">
                  <c:v>807.97350955915351</c:v>
                </c:pt>
                <c:pt idx="716">
                  <c:v>795.51303350090336</c:v>
                </c:pt>
                <c:pt idx="717">
                  <c:v>818.5722890054775</c:v>
                </c:pt>
                <c:pt idx="718">
                  <c:v>846.21382187511369</c:v>
                </c:pt>
                <c:pt idx="719">
                  <c:v>800.65501601683695</c:v>
                </c:pt>
                <c:pt idx="720">
                  <c:v>800.65258883180934</c:v>
                </c:pt>
                <c:pt idx="721">
                  <c:v>808.56163835362577</c:v>
                </c:pt>
                <c:pt idx="722">
                  <c:v>797.5514678750236</c:v>
                </c:pt>
                <c:pt idx="723">
                  <c:v>830.0086108549516</c:v>
                </c:pt>
                <c:pt idx="724">
                  <c:v>797.59267884069868</c:v>
                </c:pt>
                <c:pt idx="725">
                  <c:v>823.4352594352124</c:v>
                </c:pt>
                <c:pt idx="726">
                  <c:v>810.84392612344061</c:v>
                </c:pt>
                <c:pt idx="727">
                  <c:v>810.39807343406983</c:v>
                </c:pt>
                <c:pt idx="728">
                  <c:v>814.70659536289975</c:v>
                </c:pt>
                <c:pt idx="729">
                  <c:v>803.51379465461628</c:v>
                </c:pt>
                <c:pt idx="730">
                  <c:v>811.42367274762978</c:v>
                </c:pt>
                <c:pt idx="731">
                  <c:v>818.36079810020158</c:v>
                </c:pt>
                <c:pt idx="732">
                  <c:v>867.29553130261831</c:v>
                </c:pt>
                <c:pt idx="733">
                  <c:v>797.7926031114232</c:v>
                </c:pt>
                <c:pt idx="734">
                  <c:v>825.2512791235755</c:v>
                </c:pt>
                <c:pt idx="735">
                  <c:v>829.17120741037479</c:v>
                </c:pt>
                <c:pt idx="736">
                  <c:v>812.32205093960113</c:v>
                </c:pt>
                <c:pt idx="737">
                  <c:v>809.18189576346333</c:v>
                </c:pt>
                <c:pt idx="738">
                  <c:v>811.00831053671629</c:v>
                </c:pt>
                <c:pt idx="739">
                  <c:v>809.92145564280474</c:v>
                </c:pt>
                <c:pt idx="740">
                  <c:v>800.02063754095002</c:v>
                </c:pt>
                <c:pt idx="741">
                  <c:v>810.54675934524028</c:v>
                </c:pt>
                <c:pt idx="742">
                  <c:v>801.62463661746483</c:v>
                </c:pt>
                <c:pt idx="743">
                  <c:v>842.55342381940204</c:v>
                </c:pt>
                <c:pt idx="744">
                  <c:v>791.94307895146187</c:v>
                </c:pt>
                <c:pt idx="745">
                  <c:v>812.04326621960786</c:v>
                </c:pt>
                <c:pt idx="746">
                  <c:v>832.96542075606635</c:v>
                </c:pt>
                <c:pt idx="747">
                  <c:v>799.52265361019795</c:v>
                </c:pt>
                <c:pt idx="748">
                  <c:v>795.76661918632965</c:v>
                </c:pt>
                <c:pt idx="749">
                  <c:v>831.81109704115477</c:v>
                </c:pt>
                <c:pt idx="750">
                  <c:v>805.13266386873738</c:v>
                </c:pt>
                <c:pt idx="751">
                  <c:v>819.63979230232951</c:v>
                </c:pt>
                <c:pt idx="752">
                  <c:v>808.05197500620636</c:v>
                </c:pt>
                <c:pt idx="753">
                  <c:v>828.1547131066211</c:v>
                </c:pt>
                <c:pt idx="754">
                  <c:v>809.62176750466199</c:v>
                </c:pt>
                <c:pt idx="755">
                  <c:v>810.74527682218854</c:v>
                </c:pt>
                <c:pt idx="756">
                  <c:v>808.05228096755889</c:v>
                </c:pt>
                <c:pt idx="757">
                  <c:v>811.60861913009637</c:v>
                </c:pt>
                <c:pt idx="758">
                  <c:v>802.07516047008892</c:v>
                </c:pt>
                <c:pt idx="759">
                  <c:v>803.85978446369722</c:v>
                </c:pt>
                <c:pt idx="760">
                  <c:v>837.76113534211925</c:v>
                </c:pt>
                <c:pt idx="761">
                  <c:v>803.54047519900996</c:v>
                </c:pt>
                <c:pt idx="762">
                  <c:v>798.45244879435177</c:v>
                </c:pt>
                <c:pt idx="763">
                  <c:v>848.72267391907656</c:v>
                </c:pt>
                <c:pt idx="764">
                  <c:v>819.95326139936947</c:v>
                </c:pt>
                <c:pt idx="765">
                  <c:v>822.60788674985542</c:v>
                </c:pt>
                <c:pt idx="766">
                  <c:v>799.91736286570074</c:v>
                </c:pt>
                <c:pt idx="767">
                  <c:v>812.87348280223239</c:v>
                </c:pt>
                <c:pt idx="768">
                  <c:v>798.19391074186183</c:v>
                </c:pt>
                <c:pt idx="769">
                  <c:v>828.84769831054234</c:v>
                </c:pt>
                <c:pt idx="770">
                  <c:v>808.28909009829067</c:v>
                </c:pt>
                <c:pt idx="771">
                  <c:v>813.67962029359751</c:v>
                </c:pt>
                <c:pt idx="772">
                  <c:v>805.32344769089809</c:v>
                </c:pt>
                <c:pt idx="773">
                  <c:v>801.97018258271669</c:v>
                </c:pt>
                <c:pt idx="774">
                  <c:v>847.60718088634621</c:v>
                </c:pt>
                <c:pt idx="775">
                  <c:v>806.4105280488576</c:v>
                </c:pt>
                <c:pt idx="776">
                  <c:v>811.88141529859922</c:v>
                </c:pt>
                <c:pt idx="777">
                  <c:v>813.67261232028773</c:v>
                </c:pt>
                <c:pt idx="778">
                  <c:v>800.04216135297884</c:v>
                </c:pt>
                <c:pt idx="779">
                  <c:v>801.03954045200578</c:v>
                </c:pt>
                <c:pt idx="780">
                  <c:v>817.70094356853406</c:v>
                </c:pt>
                <c:pt idx="781">
                  <c:v>802.81262762273514</c:v>
                </c:pt>
                <c:pt idx="782">
                  <c:v>802.5188171623364</c:v>
                </c:pt>
                <c:pt idx="783">
                  <c:v>807.80389611023134</c:v>
                </c:pt>
                <c:pt idx="784">
                  <c:v>818.63437115179499</c:v>
                </c:pt>
                <c:pt idx="785">
                  <c:v>810.95274451287241</c:v>
                </c:pt>
                <c:pt idx="786">
                  <c:v>813.05934799561851</c:v>
                </c:pt>
                <c:pt idx="787">
                  <c:v>815.80304631806814</c:v>
                </c:pt>
                <c:pt idx="788">
                  <c:v>827.46262509110682</c:v>
                </c:pt>
                <c:pt idx="789">
                  <c:v>809.01672454489119</c:v>
                </c:pt>
                <c:pt idx="790">
                  <c:v>818.60638178152874</c:v>
                </c:pt>
                <c:pt idx="791">
                  <c:v>815.54878895872696</c:v>
                </c:pt>
                <c:pt idx="792">
                  <c:v>813.11750782537251</c:v>
                </c:pt>
                <c:pt idx="793">
                  <c:v>813.94041702481343</c:v>
                </c:pt>
                <c:pt idx="794">
                  <c:v>811.88502591169572</c:v>
                </c:pt>
                <c:pt idx="795">
                  <c:v>796.66872510109158</c:v>
                </c:pt>
                <c:pt idx="796">
                  <c:v>809.72171484359649</c:v>
                </c:pt>
                <c:pt idx="797">
                  <c:v>809.41866500486435</c:v>
                </c:pt>
                <c:pt idx="798">
                  <c:v>806.56534310737879</c:v>
                </c:pt>
                <c:pt idx="799">
                  <c:v>838.59472484209698</c:v>
                </c:pt>
                <c:pt idx="800">
                  <c:v>798.34527306735492</c:v>
                </c:pt>
                <c:pt idx="801">
                  <c:v>818.95314121607839</c:v>
                </c:pt>
                <c:pt idx="802">
                  <c:v>800.43711619721898</c:v>
                </c:pt>
                <c:pt idx="803">
                  <c:v>802.29463452176208</c:v>
                </c:pt>
                <c:pt idx="804">
                  <c:v>800.55486166616799</c:v>
                </c:pt>
                <c:pt idx="805">
                  <c:v>819.33409740905597</c:v>
                </c:pt>
                <c:pt idx="806">
                  <c:v>798.17716271356323</c:v>
                </c:pt>
                <c:pt idx="807">
                  <c:v>797.52285215611607</c:v>
                </c:pt>
                <c:pt idx="808">
                  <c:v>802.38701547626101</c:v>
                </c:pt>
                <c:pt idx="809">
                  <c:v>803.40902503472626</c:v>
                </c:pt>
                <c:pt idx="810">
                  <c:v>812.34421325310132</c:v>
                </c:pt>
                <c:pt idx="811">
                  <c:v>822.31592848485366</c:v>
                </c:pt>
                <c:pt idx="812">
                  <c:v>799.24553809524161</c:v>
                </c:pt>
                <c:pt idx="813">
                  <c:v>825.53485844733473</c:v>
                </c:pt>
                <c:pt idx="814">
                  <c:v>832.60633191430202</c:v>
                </c:pt>
                <c:pt idx="815">
                  <c:v>828.55743314929964</c:v>
                </c:pt>
                <c:pt idx="816">
                  <c:v>796.42808357062881</c:v>
                </c:pt>
                <c:pt idx="817">
                  <c:v>810.86494470116054</c:v>
                </c:pt>
                <c:pt idx="818">
                  <c:v>817.52264403796801</c:v>
                </c:pt>
                <c:pt idx="819">
                  <c:v>812.74524343861049</c:v>
                </c:pt>
                <c:pt idx="820">
                  <c:v>817.31258555356737</c:v>
                </c:pt>
                <c:pt idx="821">
                  <c:v>828.44635063722387</c:v>
                </c:pt>
                <c:pt idx="822">
                  <c:v>810.60624493735111</c:v>
                </c:pt>
                <c:pt idx="823">
                  <c:v>846.66027546965688</c:v>
                </c:pt>
                <c:pt idx="824">
                  <c:v>809.00632117454154</c:v>
                </c:pt>
                <c:pt idx="825">
                  <c:v>795.96625753051444</c:v>
                </c:pt>
                <c:pt idx="826">
                  <c:v>812.26341198597856</c:v>
                </c:pt>
                <c:pt idx="827">
                  <c:v>808.07267588968466</c:v>
                </c:pt>
                <c:pt idx="828">
                  <c:v>823.33777532634451</c:v>
                </c:pt>
                <c:pt idx="829">
                  <c:v>831.67559774286292</c:v>
                </c:pt>
                <c:pt idx="830">
                  <c:v>819.44576792613861</c:v>
                </c:pt>
                <c:pt idx="831">
                  <c:v>799.25405223664359</c:v>
                </c:pt>
                <c:pt idx="832">
                  <c:v>821.07593582237746</c:v>
                </c:pt>
                <c:pt idx="833">
                  <c:v>810.95599768869556</c:v>
                </c:pt>
                <c:pt idx="834">
                  <c:v>829.15059375600185</c:v>
                </c:pt>
                <c:pt idx="835">
                  <c:v>847.57789889688081</c:v>
                </c:pt>
                <c:pt idx="836">
                  <c:v>814.85426515962718</c:v>
                </c:pt>
                <c:pt idx="837">
                  <c:v>837.51246791806693</c:v>
                </c:pt>
                <c:pt idx="838">
                  <c:v>800.78906874986774</c:v>
                </c:pt>
                <c:pt idx="839">
                  <c:v>795.81809299705344</c:v>
                </c:pt>
                <c:pt idx="840">
                  <c:v>800.45981934763449</c:v>
                </c:pt>
                <c:pt idx="841">
                  <c:v>806.31296987917119</c:v>
                </c:pt>
                <c:pt idx="842">
                  <c:v>805.51012083057492</c:v>
                </c:pt>
                <c:pt idx="843">
                  <c:v>792.21570267673974</c:v>
                </c:pt>
                <c:pt idx="844">
                  <c:v>806.89903075314692</c:v>
                </c:pt>
                <c:pt idx="845">
                  <c:v>802.30219628330963</c:v>
                </c:pt>
                <c:pt idx="846">
                  <c:v>800.40756141517465</c:v>
                </c:pt>
                <c:pt idx="847">
                  <c:v>803.30158415357459</c:v>
                </c:pt>
                <c:pt idx="848">
                  <c:v>806.7688892150569</c:v>
                </c:pt>
                <c:pt idx="849">
                  <c:v>799.48772663406567</c:v>
                </c:pt>
                <c:pt idx="850">
                  <c:v>823.49018269538544</c:v>
                </c:pt>
                <c:pt idx="851">
                  <c:v>804.74658956167707</c:v>
                </c:pt>
                <c:pt idx="852">
                  <c:v>800.47614492379671</c:v>
                </c:pt>
                <c:pt idx="853">
                  <c:v>810.93948764767549</c:v>
                </c:pt>
                <c:pt idx="854">
                  <c:v>815.16167161738542</c:v>
                </c:pt>
                <c:pt idx="855">
                  <c:v>804.74183225415447</c:v>
                </c:pt>
                <c:pt idx="856">
                  <c:v>834.78778017426828</c:v>
                </c:pt>
                <c:pt idx="857">
                  <c:v>801.54607046910337</c:v>
                </c:pt>
                <c:pt idx="858">
                  <c:v>804.39669876758819</c:v>
                </c:pt>
                <c:pt idx="859">
                  <c:v>806.4242969373181</c:v>
                </c:pt>
                <c:pt idx="860">
                  <c:v>817.87469815616907</c:v>
                </c:pt>
                <c:pt idx="861">
                  <c:v>805.13676508857793</c:v>
                </c:pt>
                <c:pt idx="862">
                  <c:v>805.23578949711953</c:v>
                </c:pt>
                <c:pt idx="863">
                  <c:v>826.44206121209209</c:v>
                </c:pt>
                <c:pt idx="864">
                  <c:v>856.66481612991606</c:v>
                </c:pt>
                <c:pt idx="865">
                  <c:v>817.85999089076859</c:v>
                </c:pt>
                <c:pt idx="866">
                  <c:v>842.62435927141382</c:v>
                </c:pt>
                <c:pt idx="867">
                  <c:v>835.38471114206186</c:v>
                </c:pt>
                <c:pt idx="868">
                  <c:v>882.97733637634644</c:v>
                </c:pt>
                <c:pt idx="869">
                  <c:v>809.50248310517668</c:v>
                </c:pt>
                <c:pt idx="870">
                  <c:v>807.01151218214829</c:v>
                </c:pt>
                <c:pt idx="871">
                  <c:v>828.33853170596922</c:v>
                </c:pt>
                <c:pt idx="872">
                  <c:v>839.87466997381182</c:v>
                </c:pt>
                <c:pt idx="873">
                  <c:v>819.66887000672898</c:v>
                </c:pt>
                <c:pt idx="874">
                  <c:v>807.25857064985883</c:v>
                </c:pt>
                <c:pt idx="875">
                  <c:v>809.93657039027676</c:v>
                </c:pt>
                <c:pt idx="876">
                  <c:v>798.05150332133326</c:v>
                </c:pt>
                <c:pt idx="877">
                  <c:v>812.39451446927887</c:v>
                </c:pt>
                <c:pt idx="878">
                  <c:v>815.29800438922211</c:v>
                </c:pt>
                <c:pt idx="879">
                  <c:v>813.29486372782719</c:v>
                </c:pt>
                <c:pt idx="880">
                  <c:v>820.82086982553733</c:v>
                </c:pt>
                <c:pt idx="881">
                  <c:v>804.20150540886095</c:v>
                </c:pt>
                <c:pt idx="882">
                  <c:v>824.71430564802995</c:v>
                </c:pt>
                <c:pt idx="883">
                  <c:v>862.13393575540897</c:v>
                </c:pt>
                <c:pt idx="884">
                  <c:v>802.56318085179555</c:v>
                </c:pt>
                <c:pt idx="885">
                  <c:v>821.17135762072553</c:v>
                </c:pt>
                <c:pt idx="886">
                  <c:v>808.2890133802299</c:v>
                </c:pt>
                <c:pt idx="887">
                  <c:v>798.2973288901843</c:v>
                </c:pt>
                <c:pt idx="888">
                  <c:v>802.60230240419673</c:v>
                </c:pt>
                <c:pt idx="889">
                  <c:v>828.66513306707077</c:v>
                </c:pt>
                <c:pt idx="890">
                  <c:v>810.63599062989363</c:v>
                </c:pt>
                <c:pt idx="891">
                  <c:v>796.51316147096099</c:v>
                </c:pt>
                <c:pt idx="892">
                  <c:v>820.98083210612083</c:v>
                </c:pt>
                <c:pt idx="893">
                  <c:v>810.6035648720233</c:v>
                </c:pt>
                <c:pt idx="894">
                  <c:v>852.23881623669774</c:v>
                </c:pt>
                <c:pt idx="895">
                  <c:v>812.56872990802754</c:v>
                </c:pt>
                <c:pt idx="896">
                  <c:v>804.11331317126962</c:v>
                </c:pt>
                <c:pt idx="897">
                  <c:v>807.16825633841358</c:v>
                </c:pt>
                <c:pt idx="898">
                  <c:v>815.66887851439697</c:v>
                </c:pt>
                <c:pt idx="899">
                  <c:v>827.55610371190187</c:v>
                </c:pt>
                <c:pt idx="900">
                  <c:v>820.54685918343773</c:v>
                </c:pt>
                <c:pt idx="901">
                  <c:v>814.30161282520453</c:v>
                </c:pt>
                <c:pt idx="902">
                  <c:v>824.61194918001718</c:v>
                </c:pt>
                <c:pt idx="903">
                  <c:v>819.24994971546732</c:v>
                </c:pt>
                <c:pt idx="904">
                  <c:v>843.89871291590669</c:v>
                </c:pt>
                <c:pt idx="905">
                  <c:v>816.46097468967037</c:v>
                </c:pt>
                <c:pt idx="906">
                  <c:v>829.77993472245032</c:v>
                </c:pt>
                <c:pt idx="907">
                  <c:v>871.32710760682551</c:v>
                </c:pt>
                <c:pt idx="908">
                  <c:v>808.41447290496228</c:v>
                </c:pt>
                <c:pt idx="909">
                  <c:v>807.71603427141281</c:v>
                </c:pt>
                <c:pt idx="910">
                  <c:v>831.01450206804759</c:v>
                </c:pt>
                <c:pt idx="911">
                  <c:v>818.62903291548491</c:v>
                </c:pt>
                <c:pt idx="912">
                  <c:v>797.76591158946576</c:v>
                </c:pt>
                <c:pt idx="913">
                  <c:v>801.03058810581297</c:v>
                </c:pt>
                <c:pt idx="914">
                  <c:v>794.69140014645939</c:v>
                </c:pt>
                <c:pt idx="915">
                  <c:v>802.41851455930259</c:v>
                </c:pt>
                <c:pt idx="916">
                  <c:v>802.31008326256449</c:v>
                </c:pt>
                <c:pt idx="917">
                  <c:v>794.72204000814645</c:v>
                </c:pt>
                <c:pt idx="918">
                  <c:v>814.40176054047492</c:v>
                </c:pt>
                <c:pt idx="919">
                  <c:v>806.34212845773811</c:v>
                </c:pt>
                <c:pt idx="920">
                  <c:v>868.58305341365849</c:v>
                </c:pt>
                <c:pt idx="921">
                  <c:v>812.15844934328743</c:v>
                </c:pt>
                <c:pt idx="922">
                  <c:v>834.69528483158547</c:v>
                </c:pt>
                <c:pt idx="923">
                  <c:v>823.67338035201089</c:v>
                </c:pt>
                <c:pt idx="924">
                  <c:v>807.72167246388733</c:v>
                </c:pt>
                <c:pt idx="925">
                  <c:v>803.0177731828586</c:v>
                </c:pt>
                <c:pt idx="926">
                  <c:v>805.80276930968819</c:v>
                </c:pt>
                <c:pt idx="927">
                  <c:v>878.20212209624663</c:v>
                </c:pt>
                <c:pt idx="928">
                  <c:v>797.76299564146643</c:v>
                </c:pt>
                <c:pt idx="929">
                  <c:v>818.36762188919488</c:v>
                </c:pt>
                <c:pt idx="930">
                  <c:v>796.58421204784747</c:v>
                </c:pt>
                <c:pt idx="931">
                  <c:v>823.83750241735015</c:v>
                </c:pt>
                <c:pt idx="932">
                  <c:v>809.8956619100228</c:v>
                </c:pt>
                <c:pt idx="933">
                  <c:v>798.27381064103474</c:v>
                </c:pt>
                <c:pt idx="934">
                  <c:v>814.14308697922911</c:v>
                </c:pt>
                <c:pt idx="935">
                  <c:v>836.4505815033051</c:v>
                </c:pt>
                <c:pt idx="936">
                  <c:v>822.1186395479059</c:v>
                </c:pt>
                <c:pt idx="937">
                  <c:v>810.90600888008612</c:v>
                </c:pt>
                <c:pt idx="938">
                  <c:v>806.64356584168729</c:v>
                </c:pt>
                <c:pt idx="939">
                  <c:v>805.93487720583198</c:v>
                </c:pt>
                <c:pt idx="940">
                  <c:v>802.12041920676552</c:v>
                </c:pt>
                <c:pt idx="941">
                  <c:v>803.98751135606278</c:v>
                </c:pt>
                <c:pt idx="942">
                  <c:v>810.24904885108208</c:v>
                </c:pt>
                <c:pt idx="943">
                  <c:v>820.42502283222052</c:v>
                </c:pt>
                <c:pt idx="944">
                  <c:v>827.87845444805544</c:v>
                </c:pt>
                <c:pt idx="945">
                  <c:v>819.40355951443837</c:v>
                </c:pt>
                <c:pt idx="946">
                  <c:v>800.58899713765595</c:v>
                </c:pt>
                <c:pt idx="947">
                  <c:v>820.92717039303852</c:v>
                </c:pt>
                <c:pt idx="948">
                  <c:v>821.47202488327162</c:v>
                </c:pt>
                <c:pt idx="949">
                  <c:v>832.7332033570068</c:v>
                </c:pt>
                <c:pt idx="950">
                  <c:v>813.59857576648824</c:v>
                </c:pt>
                <c:pt idx="951">
                  <c:v>828.21893908222432</c:v>
                </c:pt>
                <c:pt idx="952">
                  <c:v>820.96330269284908</c:v>
                </c:pt>
                <c:pt idx="953">
                  <c:v>816.07399735208412</c:v>
                </c:pt>
                <c:pt idx="954">
                  <c:v>793.92899333532887</c:v>
                </c:pt>
                <c:pt idx="955">
                  <c:v>801.11326268909249</c:v>
                </c:pt>
                <c:pt idx="956">
                  <c:v>801.10605468576739</c:v>
                </c:pt>
                <c:pt idx="957">
                  <c:v>837.51543474652942</c:v>
                </c:pt>
                <c:pt idx="958">
                  <c:v>799.10174290957582</c:v>
                </c:pt>
                <c:pt idx="959">
                  <c:v>813.16667078479543</c:v>
                </c:pt>
                <c:pt idx="960">
                  <c:v>808.08886154138565</c:v>
                </c:pt>
                <c:pt idx="961">
                  <c:v>791.88838457235033</c:v>
                </c:pt>
                <c:pt idx="962">
                  <c:v>820.73344627476627</c:v>
                </c:pt>
                <c:pt idx="963">
                  <c:v>822.50495679893083</c:v>
                </c:pt>
                <c:pt idx="964">
                  <c:v>810.78919170882773</c:v>
                </c:pt>
                <c:pt idx="965">
                  <c:v>842.74185371210729</c:v>
                </c:pt>
                <c:pt idx="966">
                  <c:v>801.72748171363344</c:v>
                </c:pt>
                <c:pt idx="967">
                  <c:v>842.93581463358873</c:v>
                </c:pt>
                <c:pt idx="968">
                  <c:v>797.66119165245232</c:v>
                </c:pt>
                <c:pt idx="969">
                  <c:v>799.09591871309294</c:v>
                </c:pt>
                <c:pt idx="970">
                  <c:v>799.23041730392015</c:v>
                </c:pt>
                <c:pt idx="971">
                  <c:v>795.10145759116324</c:v>
                </c:pt>
                <c:pt idx="972">
                  <c:v>797.5297420031909</c:v>
                </c:pt>
                <c:pt idx="973">
                  <c:v>801.85374952777818</c:v>
                </c:pt>
                <c:pt idx="974">
                  <c:v>819.06445723933939</c:v>
                </c:pt>
                <c:pt idx="975">
                  <c:v>804.68298089892517</c:v>
                </c:pt>
                <c:pt idx="976">
                  <c:v>799.71870014312208</c:v>
                </c:pt>
                <c:pt idx="977">
                  <c:v>797.23768313199798</c:v>
                </c:pt>
                <c:pt idx="978">
                  <c:v>814.70989415295389</c:v>
                </c:pt>
                <c:pt idx="979">
                  <c:v>803.56268299520207</c:v>
                </c:pt>
                <c:pt idx="980">
                  <c:v>805.50960307747323</c:v>
                </c:pt>
                <c:pt idx="981">
                  <c:v>796.11242581696263</c:v>
                </c:pt>
                <c:pt idx="982">
                  <c:v>813.09780157462728</c:v>
                </c:pt>
                <c:pt idx="983">
                  <c:v>828.35239825013662</c:v>
                </c:pt>
                <c:pt idx="984">
                  <c:v>810.77230138212838</c:v>
                </c:pt>
                <c:pt idx="985">
                  <c:v>806.3331650741834</c:v>
                </c:pt>
                <c:pt idx="986">
                  <c:v>805.49624584384833</c:v>
                </c:pt>
                <c:pt idx="987">
                  <c:v>816.92812447339747</c:v>
                </c:pt>
                <c:pt idx="988">
                  <c:v>807.15889340455703</c:v>
                </c:pt>
                <c:pt idx="989">
                  <c:v>831.67436252817561</c:v>
                </c:pt>
                <c:pt idx="990">
                  <c:v>821.34124615816006</c:v>
                </c:pt>
                <c:pt idx="991">
                  <c:v>808.29283111765312</c:v>
                </c:pt>
                <c:pt idx="992">
                  <c:v>807.09969801149145</c:v>
                </c:pt>
                <c:pt idx="993">
                  <c:v>820.55114024204295</c:v>
                </c:pt>
                <c:pt idx="994">
                  <c:v>815.13711797244559</c:v>
                </c:pt>
                <c:pt idx="995">
                  <c:v>820.35939891965722</c:v>
                </c:pt>
                <c:pt idx="996">
                  <c:v>816.66322303596564</c:v>
                </c:pt>
                <c:pt idx="997">
                  <c:v>796.90508939687857</c:v>
                </c:pt>
                <c:pt idx="998">
                  <c:v>798.04042728833952</c:v>
                </c:pt>
                <c:pt idx="999">
                  <c:v>821.26118487691292</c:v>
                </c:pt>
              </c:numCache>
            </c:numRef>
          </c:yVal>
          <c:smooth val="0"/>
          <c:extLst>
            <c:ext xmlns:c16="http://schemas.microsoft.com/office/drawing/2014/chart" uri="{C3380CC4-5D6E-409C-BE32-E72D297353CC}">
              <c16:uniqueId val="{00000002-83FB-488B-8643-FA5B3123DAA0}"/>
            </c:ext>
          </c:extLst>
        </c:ser>
        <c:ser>
          <c:idx val="3"/>
          <c:order val="3"/>
          <c:tx>
            <c:v>STDpe</c:v>
          </c:tx>
          <c:spPr>
            <a:ln w="19050">
              <a:noFill/>
            </a:ln>
          </c:spPr>
          <c:marker>
            <c:symbol val="circle"/>
            <c:size val="15"/>
            <c:spPr>
              <a:solidFill>
                <a:srgbClr val="FFFFFF"/>
              </a:solidFill>
              <a:ln>
                <a:solidFill>
                  <a:srgbClr val="000080"/>
                </a:solidFill>
                <a:prstDash val="solid"/>
              </a:ln>
            </c:spPr>
          </c:marker>
          <c:xVal>
            <c:numRef>
              <c:f>Analysis!$K$14</c:f>
              <c:numCache>
                <c:formatCode>0.00</c:formatCode>
                <c:ptCount val="1"/>
                <c:pt idx="0">
                  <c:v>14.645752722744454</c:v>
                </c:pt>
              </c:numCache>
            </c:numRef>
          </c:xVal>
          <c:yVal>
            <c:numRef>
              <c:f>Analysis!$J$14</c:f>
              <c:numCache>
                <c:formatCode>_-"£"* #,##0_-;\-"£"* #,##0_-;_-"£"* "-"??_-;_-@_-</c:formatCode>
                <c:ptCount val="1"/>
                <c:pt idx="0">
                  <c:v>514.00195136797322</c:v>
                </c:pt>
              </c:numCache>
            </c:numRef>
          </c:yVal>
          <c:smooth val="0"/>
          <c:extLst>
            <c:ext xmlns:c16="http://schemas.microsoft.com/office/drawing/2014/chart" uri="{C3380CC4-5D6E-409C-BE32-E72D297353CC}">
              <c16:uniqueId val="{00000003-83FB-488B-8643-FA5B3123DAA0}"/>
            </c:ext>
          </c:extLst>
        </c:ser>
        <c:ser>
          <c:idx val="4"/>
          <c:order val="4"/>
          <c:tx>
            <c:v>NP1pe</c:v>
          </c:tx>
          <c:spPr>
            <a:ln w="19050">
              <a:noFill/>
            </a:ln>
          </c:spPr>
          <c:marker>
            <c:symbol val="circle"/>
            <c:size val="15"/>
            <c:spPr>
              <a:solidFill>
                <a:srgbClr val="FFFFFF"/>
              </a:solidFill>
              <a:ln>
                <a:solidFill>
                  <a:srgbClr val="008000"/>
                </a:solidFill>
                <a:prstDash val="solid"/>
              </a:ln>
            </c:spPr>
          </c:marker>
          <c:xVal>
            <c:numRef>
              <c:f>Analysis!$K$15</c:f>
              <c:numCache>
                <c:formatCode>0.00</c:formatCode>
                <c:ptCount val="1"/>
                <c:pt idx="0">
                  <c:v>14.690409452157793</c:v>
                </c:pt>
              </c:numCache>
            </c:numRef>
          </c:xVal>
          <c:yVal>
            <c:numRef>
              <c:f>Analysis!$J$15</c:f>
              <c:numCache>
                <c:formatCode>_-"£"* #,##0_-;\-"£"* #,##0_-;_-"£"* "-"??_-;_-@_-</c:formatCode>
                <c:ptCount val="1"/>
                <c:pt idx="0">
                  <c:v>612.37758104588511</c:v>
                </c:pt>
              </c:numCache>
            </c:numRef>
          </c:yVal>
          <c:smooth val="0"/>
          <c:extLst>
            <c:ext xmlns:c16="http://schemas.microsoft.com/office/drawing/2014/chart" uri="{C3380CC4-5D6E-409C-BE32-E72D297353CC}">
              <c16:uniqueId val="{00000004-83FB-488B-8643-FA5B3123DAA0}"/>
            </c:ext>
          </c:extLst>
        </c:ser>
        <c:ser>
          <c:idx val="5"/>
          <c:order val="5"/>
          <c:tx>
            <c:v>NP2</c:v>
          </c:tx>
          <c:spPr>
            <a:ln w="19050">
              <a:noFill/>
            </a:ln>
          </c:spPr>
          <c:marker>
            <c:symbol val="circle"/>
            <c:size val="15"/>
            <c:spPr>
              <a:solidFill>
                <a:srgbClr val="FFFFFF"/>
              </a:solidFill>
              <a:ln>
                <a:solidFill>
                  <a:srgbClr val="FF0000"/>
                </a:solidFill>
                <a:prstDash val="solid"/>
              </a:ln>
            </c:spPr>
          </c:marker>
          <c:xVal>
            <c:numRef>
              <c:f>Analysis!$K$16</c:f>
              <c:numCache>
                <c:formatCode>0.00</c:formatCode>
                <c:ptCount val="1"/>
                <c:pt idx="0">
                  <c:v>14.694291648798991</c:v>
                </c:pt>
              </c:numCache>
            </c:numRef>
          </c:xVal>
          <c:yVal>
            <c:numRef>
              <c:f>Analysis!$J$16</c:f>
              <c:numCache>
                <c:formatCode>_-"£"* #,##0_-;\-"£"* #,##0_-;_-"£"* "-"??_-;_-@_-</c:formatCode>
                <c:ptCount val="1"/>
                <c:pt idx="0">
                  <c:v>814.0450435855422</c:v>
                </c:pt>
              </c:numCache>
            </c:numRef>
          </c:yVal>
          <c:smooth val="0"/>
          <c:extLst>
            <c:ext xmlns:c16="http://schemas.microsoft.com/office/drawing/2014/chart" uri="{C3380CC4-5D6E-409C-BE32-E72D297353CC}">
              <c16:uniqueId val="{00000005-83FB-488B-8643-FA5B3123DAA0}"/>
            </c:ext>
          </c:extLst>
        </c:ser>
        <c:dLbls>
          <c:showLegendKey val="0"/>
          <c:showVal val="0"/>
          <c:showCatName val="0"/>
          <c:showSerName val="0"/>
          <c:showPercent val="0"/>
          <c:showBubbleSize val="0"/>
        </c:dLbls>
        <c:axId val="444077776"/>
        <c:axId val="1"/>
      </c:scatterChart>
      <c:valAx>
        <c:axId val="444077776"/>
        <c:scaling>
          <c:orientation val="minMax"/>
          <c:min val="12"/>
        </c:scaling>
        <c:delete val="0"/>
        <c:axPos val="b"/>
        <c:title>
          <c:tx>
            <c:rich>
              <a:bodyPr/>
              <a:lstStyle/>
              <a:p>
                <a:pPr>
                  <a:defRPr sz="1875" b="1" i="0" u="none" strike="noStrike" baseline="0">
                    <a:solidFill>
                      <a:srgbClr val="000000"/>
                    </a:solidFill>
                    <a:latin typeface="Arial"/>
                    <a:ea typeface="Arial"/>
                    <a:cs typeface="Arial"/>
                  </a:defRPr>
                </a:pPr>
                <a:r>
                  <a:rPr lang="en-GB"/>
                  <a:t>QALYs</a:t>
                </a:r>
              </a:p>
            </c:rich>
          </c:tx>
          <c:layout>
            <c:manualLayout>
              <c:xMode val="edge"/>
              <c:yMode val="edge"/>
              <c:x val="0.46814814814814815"/>
              <c:y val="0.90740740740740744"/>
            </c:manualLayout>
          </c:layout>
          <c:overlay val="0"/>
          <c:spPr>
            <a:noFill/>
            <a:ln w="25400">
              <a:noFill/>
            </a:ln>
          </c:spPr>
        </c:title>
        <c:numFmt formatCode="0.00" sourceLinked="0"/>
        <c:majorTickMark val="out"/>
        <c:minorTickMark val="none"/>
        <c:tickLblPos val="low"/>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1"/>
        <c:crossesAt val="523"/>
        <c:crossBetween val="midCat"/>
      </c:valAx>
      <c:valAx>
        <c:axId val="1"/>
        <c:scaling>
          <c:orientation val="minMax"/>
          <c:min val="400"/>
        </c:scaling>
        <c:delete val="0"/>
        <c:axPos val="l"/>
        <c:title>
          <c:tx>
            <c:rich>
              <a:bodyPr/>
              <a:lstStyle/>
              <a:p>
                <a:pPr>
                  <a:defRPr sz="1875" b="1" i="0" u="none" strike="noStrike" baseline="0">
                    <a:solidFill>
                      <a:srgbClr val="000000"/>
                    </a:solidFill>
                    <a:latin typeface="Arial"/>
                    <a:ea typeface="Arial"/>
                    <a:cs typeface="Arial"/>
                  </a:defRPr>
                </a:pPr>
                <a:r>
                  <a:rPr lang="en-GB"/>
                  <a:t>Cost</a:t>
                </a:r>
              </a:p>
            </c:rich>
          </c:tx>
          <c:layout>
            <c:manualLayout>
              <c:xMode val="edge"/>
              <c:yMode val="edge"/>
              <c:x val="1.3333333333333334E-2"/>
              <c:y val="0.38453159041394336"/>
            </c:manualLayout>
          </c:layout>
          <c:overlay val="0"/>
          <c:spPr>
            <a:noFill/>
            <a:ln w="25400">
              <a:noFill/>
            </a:ln>
          </c:spPr>
        </c:title>
        <c:numFmt formatCode="_-\£* #,##0_-;\-\£* #,##0_-;_-\£* &quot;-&quot;??_-;_-@_-" sourceLinked="0"/>
        <c:majorTickMark val="out"/>
        <c:minorTickMark val="none"/>
        <c:tickLblPos val="low"/>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444077776"/>
        <c:crossesAt val="14.68"/>
        <c:crossBetween val="midCat"/>
      </c:valAx>
      <c:spPr>
        <a:noFill/>
        <a:ln w="25400">
          <a:noFill/>
        </a:ln>
      </c:spPr>
    </c:plotArea>
    <c:legend>
      <c:legendPos val="r"/>
      <c:legendEntry>
        <c:idx val="3"/>
        <c:delete val="1"/>
      </c:legendEntry>
      <c:legendEntry>
        <c:idx val="4"/>
        <c:delete val="1"/>
      </c:legendEntry>
      <c:legendEntry>
        <c:idx val="5"/>
        <c:delete val="1"/>
      </c:legendEntry>
      <c:layout>
        <c:manualLayout>
          <c:xMode val="edge"/>
          <c:yMode val="edge"/>
          <c:x val="0.20962962962962964"/>
          <c:y val="7.0806100217864917E-2"/>
          <c:w val="0.11555555555555555"/>
          <c:h val="0.13180827886710239"/>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07407407407407"/>
          <c:y val="4.5751633986928102E-2"/>
          <c:w val="0.76148148148148154"/>
          <c:h val="0.78322440087145972"/>
        </c:manualLayout>
      </c:layout>
      <c:scatterChart>
        <c:scatterStyle val="lineMarker"/>
        <c:varyColors val="0"/>
        <c:ser>
          <c:idx val="0"/>
          <c:order val="0"/>
          <c:tx>
            <c:v>Standard</c:v>
          </c:tx>
          <c:spPr>
            <a:ln w="25400">
              <a:solidFill>
                <a:srgbClr val="000080"/>
              </a:solidFill>
              <a:prstDash val="solid"/>
            </a:ln>
          </c:spPr>
          <c:marker>
            <c:symbol val="none"/>
          </c:marker>
          <c:xVal>
            <c:numRef>
              <c:f>Simulation!$AF$6:$AF$63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Simulation!$AG$6:$AG$63</c:f>
              <c:numCache>
                <c:formatCode>General</c:formatCode>
                <c:ptCount val="58"/>
                <c:pt idx="0">
                  <c:v>0.98799999999999999</c:v>
                </c:pt>
                <c:pt idx="1">
                  <c:v>0.98699999999999999</c:v>
                </c:pt>
                <c:pt idx="2">
                  <c:v>0.97899999999999998</c:v>
                </c:pt>
                <c:pt idx="3">
                  <c:v>0.97599999999999998</c:v>
                </c:pt>
                <c:pt idx="4">
                  <c:v>0.96899999999999997</c:v>
                </c:pt>
                <c:pt idx="5">
                  <c:v>0.96</c:v>
                </c:pt>
                <c:pt idx="6">
                  <c:v>0.94799999999999995</c:v>
                </c:pt>
                <c:pt idx="7">
                  <c:v>0.93500000000000005</c:v>
                </c:pt>
                <c:pt idx="8">
                  <c:v>0.92</c:v>
                </c:pt>
                <c:pt idx="9">
                  <c:v>0.90300000000000002</c:v>
                </c:pt>
                <c:pt idx="10">
                  <c:v>0.88200000000000001</c:v>
                </c:pt>
                <c:pt idx="11">
                  <c:v>0.75600000000000001</c:v>
                </c:pt>
                <c:pt idx="12">
                  <c:v>0.60599999999999998</c:v>
                </c:pt>
                <c:pt idx="13">
                  <c:v>0.45700000000000002</c:v>
                </c:pt>
                <c:pt idx="14">
                  <c:v>0.32700000000000001</c:v>
                </c:pt>
                <c:pt idx="15">
                  <c:v>0.247</c:v>
                </c:pt>
                <c:pt idx="16">
                  <c:v>0.17199999999999999</c:v>
                </c:pt>
                <c:pt idx="17">
                  <c:v>0.13800000000000001</c:v>
                </c:pt>
                <c:pt idx="18">
                  <c:v>0.10299999999999999</c:v>
                </c:pt>
                <c:pt idx="19">
                  <c:v>0.06</c:v>
                </c:pt>
                <c:pt idx="20">
                  <c:v>3.5000000000000003E-2</c:v>
                </c:pt>
                <c:pt idx="21">
                  <c:v>2.1999999999999999E-2</c:v>
                </c:pt>
                <c:pt idx="22">
                  <c:v>1.2E-2</c:v>
                </c:pt>
                <c:pt idx="23">
                  <c:v>8.9999999999999993E-3</c:v>
                </c:pt>
                <c:pt idx="24">
                  <c:v>7.0000000000000001E-3</c:v>
                </c:pt>
                <c:pt idx="25">
                  <c:v>6.0000000000000001E-3</c:v>
                </c:pt>
                <c:pt idx="26">
                  <c:v>5.0000000000000001E-3</c:v>
                </c:pt>
                <c:pt idx="27">
                  <c:v>4.0000000000000001E-3</c:v>
                </c:pt>
                <c:pt idx="28">
                  <c:v>2E-3</c:v>
                </c:pt>
                <c:pt idx="29">
                  <c:v>2E-3</c:v>
                </c:pt>
                <c:pt idx="30">
                  <c:v>1E-3</c:v>
                </c:pt>
                <c:pt idx="31">
                  <c:v>1E-3</c:v>
                </c:pt>
                <c:pt idx="32">
                  <c:v>1E-3</c:v>
                </c:pt>
                <c:pt idx="33">
                  <c:v>1E-3</c:v>
                </c:pt>
                <c:pt idx="34">
                  <c:v>1E-3</c:v>
                </c:pt>
                <c:pt idx="35">
                  <c:v>1E-3</c:v>
                </c:pt>
                <c:pt idx="36">
                  <c:v>1E-3</c:v>
                </c:pt>
                <c:pt idx="37">
                  <c:v>1E-3</c:v>
                </c:pt>
                <c:pt idx="38">
                  <c:v>1E-3</c:v>
                </c:pt>
                <c:pt idx="39">
                  <c:v>1E-3</c:v>
                </c:pt>
                <c:pt idx="40">
                  <c:v>1E-3</c:v>
                </c:pt>
                <c:pt idx="41">
                  <c:v>1E-3</c:v>
                </c:pt>
                <c:pt idx="42">
                  <c:v>1E-3</c:v>
                </c:pt>
                <c:pt idx="43">
                  <c:v>1E-3</c:v>
                </c:pt>
                <c:pt idx="44">
                  <c:v>1E-3</c:v>
                </c:pt>
                <c:pt idx="45">
                  <c:v>1E-3</c:v>
                </c:pt>
                <c:pt idx="46">
                  <c:v>1E-3</c:v>
                </c:pt>
                <c:pt idx="47">
                  <c:v>1E-3</c:v>
                </c:pt>
                <c:pt idx="48">
                  <c:v>1E-3</c:v>
                </c:pt>
                <c:pt idx="49">
                  <c:v>1E-3</c:v>
                </c:pt>
                <c:pt idx="50">
                  <c:v>1E-3</c:v>
                </c:pt>
                <c:pt idx="51">
                  <c:v>1E-3</c:v>
                </c:pt>
                <c:pt idx="52">
                  <c:v>1E-3</c:v>
                </c:pt>
                <c:pt idx="53">
                  <c:v>1E-3</c:v>
                </c:pt>
                <c:pt idx="54">
                  <c:v>1E-3</c:v>
                </c:pt>
                <c:pt idx="55">
                  <c:v>1E-3</c:v>
                </c:pt>
                <c:pt idx="56">
                  <c:v>1E-3</c:v>
                </c:pt>
                <c:pt idx="57">
                  <c:v>1E-3</c:v>
                </c:pt>
              </c:numCache>
            </c:numRef>
          </c:yVal>
          <c:smooth val="1"/>
          <c:extLst>
            <c:ext xmlns:c16="http://schemas.microsoft.com/office/drawing/2014/chart" uri="{C3380CC4-5D6E-409C-BE32-E72D297353CC}">
              <c16:uniqueId val="{00000000-A6F2-4805-8D0F-9D54514414DF}"/>
            </c:ext>
          </c:extLst>
        </c:ser>
        <c:ser>
          <c:idx val="1"/>
          <c:order val="1"/>
          <c:tx>
            <c:v>NP1</c:v>
          </c:tx>
          <c:spPr>
            <a:ln w="3175">
              <a:solidFill>
                <a:srgbClr val="008000"/>
              </a:solidFill>
              <a:prstDash val="solid"/>
            </a:ln>
          </c:spPr>
          <c:marker>
            <c:symbol val="none"/>
          </c:marker>
          <c:xVal>
            <c:numRef>
              <c:f>Simulation!$AF$6:$AF$63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Simulation!$AH$6:$AH$63</c:f>
              <c:numCache>
                <c:formatCode>General</c:formatCode>
                <c:ptCount val="58"/>
                <c:pt idx="0">
                  <c:v>1.2E-2</c:v>
                </c:pt>
                <c:pt idx="1">
                  <c:v>1.2999999999999999E-2</c:v>
                </c:pt>
                <c:pt idx="2">
                  <c:v>2.1000000000000001E-2</c:v>
                </c:pt>
                <c:pt idx="3">
                  <c:v>2.4E-2</c:v>
                </c:pt>
                <c:pt idx="4">
                  <c:v>3.1E-2</c:v>
                </c:pt>
                <c:pt idx="5">
                  <c:v>0.04</c:v>
                </c:pt>
                <c:pt idx="6">
                  <c:v>5.1999999999999998E-2</c:v>
                </c:pt>
                <c:pt idx="7">
                  <c:v>6.5000000000000002E-2</c:v>
                </c:pt>
                <c:pt idx="8">
                  <c:v>0.08</c:v>
                </c:pt>
                <c:pt idx="9">
                  <c:v>9.7000000000000003E-2</c:v>
                </c:pt>
                <c:pt idx="10">
                  <c:v>0.11799999999999999</c:v>
                </c:pt>
                <c:pt idx="11">
                  <c:v>0.24399999999999999</c:v>
                </c:pt>
                <c:pt idx="12">
                  <c:v>0.39400000000000002</c:v>
                </c:pt>
                <c:pt idx="13">
                  <c:v>0.54200000000000004</c:v>
                </c:pt>
                <c:pt idx="14">
                  <c:v>0.67200000000000004</c:v>
                </c:pt>
                <c:pt idx="15">
                  <c:v>0.751</c:v>
                </c:pt>
                <c:pt idx="16">
                  <c:v>0.82599999999999996</c:v>
                </c:pt>
                <c:pt idx="17">
                  <c:v>0.85699999999999998</c:v>
                </c:pt>
                <c:pt idx="18">
                  <c:v>0.88800000000000001</c:v>
                </c:pt>
                <c:pt idx="19">
                  <c:v>0.92400000000000004</c:v>
                </c:pt>
                <c:pt idx="20">
                  <c:v>0.93500000000000005</c:v>
                </c:pt>
                <c:pt idx="21">
                  <c:v>0.93100000000000005</c:v>
                </c:pt>
                <c:pt idx="22">
                  <c:v>0.92400000000000004</c:v>
                </c:pt>
                <c:pt idx="23">
                  <c:v>0.91400000000000003</c:v>
                </c:pt>
                <c:pt idx="24">
                  <c:v>0.89600000000000002</c:v>
                </c:pt>
                <c:pt idx="25">
                  <c:v>0.88</c:v>
                </c:pt>
                <c:pt idx="26">
                  <c:v>0.86799999999999999</c:v>
                </c:pt>
                <c:pt idx="27">
                  <c:v>0.85099999999999998</c:v>
                </c:pt>
                <c:pt idx="28">
                  <c:v>0.83499999999999996</c:v>
                </c:pt>
                <c:pt idx="29">
                  <c:v>0.81100000000000005</c:v>
                </c:pt>
                <c:pt idx="30">
                  <c:v>0.80400000000000005</c:v>
                </c:pt>
                <c:pt idx="31">
                  <c:v>0.78900000000000003</c:v>
                </c:pt>
                <c:pt idx="32">
                  <c:v>0.77100000000000002</c:v>
                </c:pt>
                <c:pt idx="33">
                  <c:v>0.76</c:v>
                </c:pt>
                <c:pt idx="34">
                  <c:v>0.74</c:v>
                </c:pt>
                <c:pt idx="35">
                  <c:v>0.72499999999999998</c:v>
                </c:pt>
                <c:pt idx="36">
                  <c:v>0.71599999999999997</c:v>
                </c:pt>
                <c:pt idx="37">
                  <c:v>0.71</c:v>
                </c:pt>
                <c:pt idx="38">
                  <c:v>0.69</c:v>
                </c:pt>
                <c:pt idx="39">
                  <c:v>0.67600000000000005</c:v>
                </c:pt>
                <c:pt idx="40">
                  <c:v>0.66600000000000004</c:v>
                </c:pt>
                <c:pt idx="41">
                  <c:v>0.65700000000000003</c:v>
                </c:pt>
                <c:pt idx="42">
                  <c:v>0.65</c:v>
                </c:pt>
                <c:pt idx="43">
                  <c:v>0.64400000000000002</c:v>
                </c:pt>
                <c:pt idx="44">
                  <c:v>0.60599999999999998</c:v>
                </c:pt>
                <c:pt idx="45">
                  <c:v>0.56699999999999995</c:v>
                </c:pt>
                <c:pt idx="46">
                  <c:v>0.54900000000000004</c:v>
                </c:pt>
                <c:pt idx="47">
                  <c:v>0.53100000000000003</c:v>
                </c:pt>
                <c:pt idx="48">
                  <c:v>0.50800000000000001</c:v>
                </c:pt>
                <c:pt idx="49">
                  <c:v>0.49299999999999999</c:v>
                </c:pt>
                <c:pt idx="50">
                  <c:v>0.48299999999999998</c:v>
                </c:pt>
                <c:pt idx="51">
                  <c:v>0.46899999999999997</c:v>
                </c:pt>
                <c:pt idx="52">
                  <c:v>0.46300000000000002</c:v>
                </c:pt>
                <c:pt idx="53">
                  <c:v>0.45600000000000002</c:v>
                </c:pt>
                <c:pt idx="54">
                  <c:v>0.44900000000000001</c:v>
                </c:pt>
                <c:pt idx="55">
                  <c:v>0.441</c:v>
                </c:pt>
                <c:pt idx="56">
                  <c:v>0.42699999999999999</c:v>
                </c:pt>
                <c:pt idx="57">
                  <c:v>0.41899999999999998</c:v>
                </c:pt>
              </c:numCache>
            </c:numRef>
          </c:yVal>
          <c:smooth val="0"/>
          <c:extLst>
            <c:ext xmlns:c16="http://schemas.microsoft.com/office/drawing/2014/chart" uri="{C3380CC4-5D6E-409C-BE32-E72D297353CC}">
              <c16:uniqueId val="{00000001-A6F2-4805-8D0F-9D54514414DF}"/>
            </c:ext>
          </c:extLst>
        </c:ser>
        <c:ser>
          <c:idx val="2"/>
          <c:order val="2"/>
          <c:tx>
            <c:v>NP2</c:v>
          </c:tx>
          <c:spPr>
            <a:ln w="3175">
              <a:solidFill>
                <a:srgbClr val="FF0000"/>
              </a:solidFill>
              <a:prstDash val="solid"/>
            </a:ln>
          </c:spPr>
          <c:marker>
            <c:symbol val="none"/>
          </c:marker>
          <c:xVal>
            <c:numRef>
              <c:f>Simulation!$AF$6:$AF$63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Simulation!$AI$6:$AI$63</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0</c:v>
                </c:pt>
                <c:pt idx="13">
                  <c:v>1E-3</c:v>
                </c:pt>
                <c:pt idx="14">
                  <c:v>1E-3</c:v>
                </c:pt>
                <c:pt idx="15">
                  <c:v>2E-3</c:v>
                </c:pt>
                <c:pt idx="16">
                  <c:v>2E-3</c:v>
                </c:pt>
                <c:pt idx="17">
                  <c:v>5.0000000000000001E-3</c:v>
                </c:pt>
                <c:pt idx="18">
                  <c:v>8.9999999999999993E-3</c:v>
                </c:pt>
                <c:pt idx="19">
                  <c:v>1.6E-2</c:v>
                </c:pt>
                <c:pt idx="20">
                  <c:v>0.03</c:v>
                </c:pt>
                <c:pt idx="21">
                  <c:v>4.7E-2</c:v>
                </c:pt>
                <c:pt idx="22">
                  <c:v>6.4000000000000001E-2</c:v>
                </c:pt>
                <c:pt idx="23">
                  <c:v>7.6999999999999999E-2</c:v>
                </c:pt>
                <c:pt idx="24">
                  <c:v>9.7000000000000003E-2</c:v>
                </c:pt>
                <c:pt idx="25">
                  <c:v>0.114</c:v>
                </c:pt>
                <c:pt idx="26">
                  <c:v>0.127</c:v>
                </c:pt>
                <c:pt idx="27">
                  <c:v>0.14499999999999999</c:v>
                </c:pt>
                <c:pt idx="28">
                  <c:v>0.16300000000000001</c:v>
                </c:pt>
                <c:pt idx="29">
                  <c:v>0.187</c:v>
                </c:pt>
                <c:pt idx="30">
                  <c:v>0.19500000000000001</c:v>
                </c:pt>
                <c:pt idx="31">
                  <c:v>0.21</c:v>
                </c:pt>
                <c:pt idx="32">
                  <c:v>0.22800000000000001</c:v>
                </c:pt>
                <c:pt idx="33">
                  <c:v>0.23899999999999999</c:v>
                </c:pt>
                <c:pt idx="34">
                  <c:v>0.25900000000000001</c:v>
                </c:pt>
                <c:pt idx="35">
                  <c:v>0.27400000000000002</c:v>
                </c:pt>
                <c:pt idx="36">
                  <c:v>0.28299999999999997</c:v>
                </c:pt>
                <c:pt idx="37">
                  <c:v>0.28899999999999998</c:v>
                </c:pt>
                <c:pt idx="38">
                  <c:v>0.309</c:v>
                </c:pt>
                <c:pt idx="39">
                  <c:v>0.32300000000000001</c:v>
                </c:pt>
                <c:pt idx="40">
                  <c:v>0.33300000000000002</c:v>
                </c:pt>
                <c:pt idx="41">
                  <c:v>0.34200000000000003</c:v>
                </c:pt>
                <c:pt idx="42">
                  <c:v>0.34899999999999998</c:v>
                </c:pt>
                <c:pt idx="43">
                  <c:v>0.35499999999999998</c:v>
                </c:pt>
                <c:pt idx="44">
                  <c:v>0.39300000000000002</c:v>
                </c:pt>
                <c:pt idx="45">
                  <c:v>0.432</c:v>
                </c:pt>
                <c:pt idx="46">
                  <c:v>0.45</c:v>
                </c:pt>
                <c:pt idx="47">
                  <c:v>0.46800000000000003</c:v>
                </c:pt>
                <c:pt idx="48">
                  <c:v>0.49099999999999999</c:v>
                </c:pt>
                <c:pt idx="49">
                  <c:v>0.50600000000000001</c:v>
                </c:pt>
                <c:pt idx="50">
                  <c:v>0.51600000000000001</c:v>
                </c:pt>
                <c:pt idx="51">
                  <c:v>0.53</c:v>
                </c:pt>
                <c:pt idx="52">
                  <c:v>0.53600000000000003</c:v>
                </c:pt>
                <c:pt idx="53">
                  <c:v>0.54300000000000004</c:v>
                </c:pt>
                <c:pt idx="54">
                  <c:v>0.55000000000000004</c:v>
                </c:pt>
                <c:pt idx="55">
                  <c:v>0.55800000000000005</c:v>
                </c:pt>
                <c:pt idx="56">
                  <c:v>0.57199999999999995</c:v>
                </c:pt>
                <c:pt idx="57">
                  <c:v>0.57999999999999996</c:v>
                </c:pt>
              </c:numCache>
            </c:numRef>
          </c:yVal>
          <c:smooth val="0"/>
          <c:extLst>
            <c:ext xmlns:c16="http://schemas.microsoft.com/office/drawing/2014/chart" uri="{C3380CC4-5D6E-409C-BE32-E72D297353CC}">
              <c16:uniqueId val="{00000002-A6F2-4805-8D0F-9D54514414DF}"/>
            </c:ext>
          </c:extLst>
        </c:ser>
        <c:dLbls>
          <c:showLegendKey val="0"/>
          <c:showVal val="0"/>
          <c:showCatName val="0"/>
          <c:showSerName val="0"/>
          <c:showPercent val="0"/>
          <c:showBubbleSize val="0"/>
        </c:dLbls>
        <c:axId val="442309552"/>
        <c:axId val="1"/>
      </c:scatterChart>
      <c:valAx>
        <c:axId val="442309552"/>
        <c:scaling>
          <c:orientation val="minMax"/>
          <c:max val="50000"/>
        </c:scaling>
        <c:delete val="0"/>
        <c:axPos val="b"/>
        <c:title>
          <c:tx>
            <c:rich>
              <a:bodyPr/>
              <a:lstStyle/>
              <a:p>
                <a:pPr>
                  <a:defRPr sz="1875" b="1" i="0" u="none" strike="noStrike" baseline="0">
                    <a:solidFill>
                      <a:srgbClr val="000000"/>
                    </a:solidFill>
                    <a:latin typeface="Arial"/>
                    <a:ea typeface="Arial"/>
                    <a:cs typeface="Arial"/>
                  </a:defRPr>
                </a:pPr>
                <a:r>
                  <a:rPr lang="en-GB"/>
                  <a:t>Value of ceiling ratio</a:t>
                </a:r>
              </a:p>
            </c:rich>
          </c:tx>
          <c:layout>
            <c:manualLayout>
              <c:xMode val="edge"/>
              <c:yMode val="edge"/>
              <c:x val="0.37185185185185188"/>
              <c:y val="0.90740740740740744"/>
            </c:manualLayout>
          </c:layout>
          <c:overlay val="0"/>
          <c:spPr>
            <a:noFill/>
            <a:ln w="25400">
              <a:noFill/>
            </a:ln>
          </c:spPr>
        </c:title>
        <c:numFmt formatCode="_-\£* #,##0_-;\-\£* #,##0_-;_-\£* &quot;-&quot;??_-;_-@_-" sourceLinked="0"/>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1"/>
        <c:crosses val="autoZero"/>
        <c:crossBetween val="midCat"/>
        <c:majorUnit val="10000"/>
        <c:minorUnit val="1000"/>
      </c:valAx>
      <c:valAx>
        <c:axId val="1"/>
        <c:scaling>
          <c:orientation val="minMax"/>
          <c:max val="1"/>
          <c:min val="0"/>
        </c:scaling>
        <c:delete val="0"/>
        <c:axPos val="l"/>
        <c:title>
          <c:tx>
            <c:rich>
              <a:bodyPr/>
              <a:lstStyle/>
              <a:p>
                <a:pPr>
                  <a:defRPr sz="1875" b="1" i="0" u="none" strike="noStrike" baseline="0">
                    <a:solidFill>
                      <a:srgbClr val="000000"/>
                    </a:solidFill>
                    <a:latin typeface="Arial"/>
                    <a:ea typeface="Arial"/>
                    <a:cs typeface="Arial"/>
                  </a:defRPr>
                </a:pPr>
                <a:r>
                  <a:rPr lang="en-GB"/>
                  <a:t>Probability cost-effective</a:t>
                </a:r>
              </a:p>
            </c:rich>
          </c:tx>
          <c:layout>
            <c:manualLayout>
              <c:xMode val="edge"/>
              <c:yMode val="edge"/>
              <c:x val="1.3333333333333334E-2"/>
              <c:y val="0.1840958605664488"/>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442309552"/>
        <c:crosses val="autoZero"/>
        <c:crossBetween val="midCat"/>
      </c:valAx>
      <c:spPr>
        <a:noFill/>
        <a:ln w="25400">
          <a:noFill/>
        </a:ln>
      </c:spPr>
    </c:plotArea>
    <c:legend>
      <c:legendPos val="r"/>
      <c:layout>
        <c:manualLayout>
          <c:xMode val="edge"/>
          <c:yMode val="edge"/>
          <c:x val="0.73037037037037034"/>
          <c:y val="0.11982570806100218"/>
          <c:w val="0.13185185185185186"/>
          <c:h val="0.13180827886710239"/>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chartsheets/sheet1.xml><?xml version="1.0" encoding="utf-8"?>
<chartsheet xmlns="http://schemas.openxmlformats.org/spreadsheetml/2006/main" xmlns:r="http://schemas.openxmlformats.org/officeDocument/2006/relationships">
  <sheetPr codeName="Chart2"/>
  <sheetViews>
    <sheetView zoomScale="55" workbookViewId="0"/>
  </sheetViews>
  <pageMargins left="0.75" right="0.75" top="1" bottom="1" header="0.5" footer="0.5"/>
  <pageSetup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Chart3"/>
  <sheetViews>
    <sheetView zoomScale="55" workbookViewId="0"/>
  </sheetViews>
  <pageMargins left="0.75" right="0.75" top="1" bottom="1" header="0.5" footer="0.5"/>
  <pageSetup orientation="landscape" r:id="rId1"/>
  <headerFooter alignWithMargins="0"/>
  <drawing r:id="rId2"/>
</chartsheet>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Parameters!$B$3"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0</xdr:colOff>
      <xdr:row>3</xdr:row>
      <xdr:rowOff>6350</xdr:rowOff>
    </xdr:from>
    <xdr:to>
      <xdr:col>3</xdr:col>
      <xdr:colOff>0</xdr:colOff>
      <xdr:row>4</xdr:row>
      <xdr:rowOff>0</xdr:rowOff>
    </xdr:to>
    <xdr:sp macro="" textlink="">
      <xdr:nvSpPr>
        <xdr:cNvPr id="1075" name="Text 51"/>
        <xdr:cNvSpPr txBox="1">
          <a:spLocks noChangeArrowheads="1"/>
        </xdr:cNvSpPr>
      </xdr:nvSpPr>
      <xdr:spPr bwMode="auto">
        <a:xfrm>
          <a:off x="876300" y="527050"/>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GB" sz="800" b="0" i="0" u="none" strike="noStrike" baseline="0">
              <a:solidFill>
                <a:srgbClr val="FF0000"/>
              </a:solidFill>
              <a:latin typeface="Arial"/>
              <a:cs typeface="Arial"/>
            </a:rPr>
            <a:t>cPrimary</a:t>
          </a:r>
        </a:p>
      </xdr:txBody>
    </xdr:sp>
    <xdr:clientData/>
  </xdr:twoCellAnchor>
  <xdr:twoCellAnchor>
    <xdr:from>
      <xdr:col>2</xdr:col>
      <xdr:colOff>12700</xdr:colOff>
      <xdr:row>4</xdr:row>
      <xdr:rowOff>6350</xdr:rowOff>
    </xdr:from>
    <xdr:to>
      <xdr:col>4</xdr:col>
      <xdr:colOff>590550</xdr:colOff>
      <xdr:row>7</xdr:row>
      <xdr:rowOff>6350</xdr:rowOff>
    </xdr:to>
    <xdr:sp macro="" textlink="">
      <xdr:nvSpPr>
        <xdr:cNvPr id="1084" name="Rectangle 60"/>
        <xdr:cNvSpPr>
          <a:spLocks noChangeArrowheads="1"/>
        </xdr:cNvSpPr>
      </xdr:nvSpPr>
      <xdr:spPr bwMode="auto">
        <a:xfrm>
          <a:off x="889000" y="685800"/>
          <a:ext cx="1797050" cy="476250"/>
        </a:xfrm>
        <a:prstGeom prst="roundRect">
          <a:avLst>
            <a:gd name="adj" fmla="val 16667"/>
          </a:avLst>
        </a:prstGeom>
        <a:solidFill>
          <a:srgbClr xmlns:mc="http://schemas.openxmlformats.org/markup-compatibility/2006" xmlns:a14="http://schemas.microsoft.com/office/drawing/2010/main" val="FFFFC0" mc:Ignorable="a14" a14:legacySpreadsheetColorIndex="26"/>
        </a:solid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5</xdr:col>
      <xdr:colOff>190500</xdr:colOff>
      <xdr:row>21</xdr:row>
      <xdr:rowOff>152400</xdr:rowOff>
    </xdr:from>
    <xdr:to>
      <xdr:col>6</xdr:col>
      <xdr:colOff>114300</xdr:colOff>
      <xdr:row>22</xdr:row>
      <xdr:rowOff>139700</xdr:rowOff>
    </xdr:to>
    <xdr:sp macro="" textlink="">
      <xdr:nvSpPr>
        <xdr:cNvPr id="1074" name="Text 50"/>
        <xdr:cNvSpPr txBox="1">
          <a:spLocks noChangeArrowheads="1"/>
        </xdr:cNvSpPr>
      </xdr:nvSpPr>
      <xdr:spPr bwMode="auto">
        <a:xfrm>
          <a:off x="2895600" y="3530600"/>
          <a:ext cx="533400" cy="1460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GB" sz="800" b="0" i="0" u="none" strike="noStrike" baseline="0">
              <a:solidFill>
                <a:srgbClr val="3333CC"/>
              </a:solidFill>
              <a:latin typeface="Arial"/>
              <a:cs typeface="Arial"/>
            </a:rPr>
            <a:t>RRR</a:t>
          </a:r>
        </a:p>
      </xdr:txBody>
    </xdr:sp>
    <xdr:clientData/>
  </xdr:twoCellAnchor>
  <xdr:twoCellAnchor>
    <xdr:from>
      <xdr:col>2</xdr:col>
      <xdr:colOff>0</xdr:colOff>
      <xdr:row>10</xdr:row>
      <xdr:rowOff>0</xdr:rowOff>
    </xdr:from>
    <xdr:to>
      <xdr:col>3</xdr:col>
      <xdr:colOff>0</xdr:colOff>
      <xdr:row>10</xdr:row>
      <xdr:rowOff>152400</xdr:rowOff>
    </xdr:to>
    <xdr:sp macro="" textlink="">
      <xdr:nvSpPr>
        <xdr:cNvPr id="1079" name="Text 55"/>
        <xdr:cNvSpPr txBox="1">
          <a:spLocks noChangeArrowheads="1"/>
        </xdr:cNvSpPr>
      </xdr:nvSpPr>
      <xdr:spPr bwMode="auto">
        <a:xfrm>
          <a:off x="876300" y="1631950"/>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GB" sz="800" b="0" i="0" u="none" strike="noStrike" baseline="0">
              <a:solidFill>
                <a:srgbClr val="FF0000"/>
              </a:solidFill>
              <a:latin typeface="Arial"/>
              <a:cs typeface="Arial"/>
            </a:rPr>
            <a:t>cSuccess</a:t>
          </a:r>
        </a:p>
      </xdr:txBody>
    </xdr:sp>
    <xdr:clientData/>
  </xdr:twoCellAnchor>
  <xdr:twoCellAnchor>
    <xdr:from>
      <xdr:col>2</xdr:col>
      <xdr:colOff>0</xdr:colOff>
      <xdr:row>14</xdr:row>
      <xdr:rowOff>0</xdr:rowOff>
    </xdr:from>
    <xdr:to>
      <xdr:col>3</xdr:col>
      <xdr:colOff>0</xdr:colOff>
      <xdr:row>14</xdr:row>
      <xdr:rowOff>152400</xdr:rowOff>
    </xdr:to>
    <xdr:sp macro="" textlink="">
      <xdr:nvSpPr>
        <xdr:cNvPr id="1077" name="Text 53"/>
        <xdr:cNvSpPr txBox="1">
          <a:spLocks noChangeArrowheads="1"/>
        </xdr:cNvSpPr>
      </xdr:nvSpPr>
      <xdr:spPr bwMode="auto">
        <a:xfrm>
          <a:off x="876300" y="2266950"/>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GB" sz="800" b="0" i="0" u="none" strike="noStrike" baseline="0">
              <a:solidFill>
                <a:srgbClr val="008000"/>
              </a:solidFill>
              <a:latin typeface="Arial"/>
              <a:cs typeface="Arial"/>
            </a:rPr>
            <a:t>uSuccessP</a:t>
          </a:r>
        </a:p>
      </xdr:txBody>
    </xdr:sp>
    <xdr:clientData/>
  </xdr:twoCellAnchor>
  <xdr:twoCellAnchor>
    <xdr:from>
      <xdr:col>8</xdr:col>
      <xdr:colOff>304800</xdr:colOff>
      <xdr:row>16</xdr:row>
      <xdr:rowOff>0</xdr:rowOff>
    </xdr:from>
    <xdr:to>
      <xdr:col>9</xdr:col>
      <xdr:colOff>114300</xdr:colOff>
      <xdr:row>16</xdr:row>
      <xdr:rowOff>152400</xdr:rowOff>
    </xdr:to>
    <xdr:sp macro="" textlink="">
      <xdr:nvSpPr>
        <xdr:cNvPr id="1073" name="Text 49"/>
        <xdr:cNvSpPr txBox="1">
          <a:spLocks noChangeArrowheads="1"/>
        </xdr:cNvSpPr>
      </xdr:nvSpPr>
      <xdr:spPr bwMode="auto">
        <a:xfrm>
          <a:off x="4838700" y="2584450"/>
          <a:ext cx="419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GB" sz="800" b="0" i="0" u="none" strike="noStrike" baseline="0">
              <a:solidFill>
                <a:srgbClr val="3333CC"/>
              </a:solidFill>
              <a:latin typeface="Arial"/>
              <a:cs typeface="Arial"/>
            </a:rPr>
            <a:t>mr[age]</a:t>
          </a:r>
        </a:p>
      </xdr:txBody>
    </xdr:sp>
    <xdr:clientData/>
  </xdr:twoCellAnchor>
  <xdr:twoCellAnchor>
    <xdr:from>
      <xdr:col>4</xdr:col>
      <xdr:colOff>552450</xdr:colOff>
      <xdr:row>18</xdr:row>
      <xdr:rowOff>101600</xdr:rowOff>
    </xdr:from>
    <xdr:to>
      <xdr:col>6</xdr:col>
      <xdr:colOff>514350</xdr:colOff>
      <xdr:row>19</xdr:row>
      <xdr:rowOff>95250</xdr:rowOff>
    </xdr:to>
    <xdr:sp macro="" textlink="">
      <xdr:nvSpPr>
        <xdr:cNvPr id="1072" name="Text 48"/>
        <xdr:cNvSpPr txBox="1">
          <a:spLocks noChangeArrowheads="1"/>
        </xdr:cNvSpPr>
      </xdr:nvSpPr>
      <xdr:spPr bwMode="auto">
        <a:xfrm>
          <a:off x="2647950" y="3003550"/>
          <a:ext cx="1181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GB" sz="800" b="0" i="0" u="none" strike="noStrike" baseline="0">
              <a:solidFill>
                <a:srgbClr val="3333CC"/>
              </a:solidFill>
              <a:latin typeface="Arial"/>
              <a:cs typeface="Arial"/>
            </a:rPr>
            <a:t>1- (omrRTHR + mr[age])</a:t>
          </a:r>
        </a:p>
      </xdr:txBody>
    </xdr:sp>
    <xdr:clientData/>
  </xdr:twoCellAnchor>
  <xdr:twoCellAnchor>
    <xdr:from>
      <xdr:col>5</xdr:col>
      <xdr:colOff>438150</xdr:colOff>
      <xdr:row>7</xdr:row>
      <xdr:rowOff>114300</xdr:rowOff>
    </xdr:from>
    <xdr:to>
      <xdr:col>6</xdr:col>
      <xdr:colOff>419100</xdr:colOff>
      <xdr:row>8</xdr:row>
      <xdr:rowOff>101600</xdr:rowOff>
    </xdr:to>
    <xdr:sp macro="" textlink="">
      <xdr:nvSpPr>
        <xdr:cNvPr id="1064" name="Text 40"/>
        <xdr:cNvSpPr txBox="1">
          <a:spLocks noChangeArrowheads="1"/>
        </xdr:cNvSpPr>
      </xdr:nvSpPr>
      <xdr:spPr bwMode="auto">
        <a:xfrm>
          <a:off x="3143250" y="1270000"/>
          <a:ext cx="590550" cy="1460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GB" sz="800" b="0" i="0" u="none" strike="noStrike" baseline="0">
              <a:solidFill>
                <a:srgbClr val="3333CC"/>
              </a:solidFill>
              <a:latin typeface="Arial"/>
              <a:cs typeface="Arial"/>
            </a:rPr>
            <a:t>omrPTHR </a:t>
          </a:r>
        </a:p>
      </xdr:txBody>
    </xdr:sp>
    <xdr:clientData/>
  </xdr:twoCellAnchor>
  <xdr:twoCellAnchor>
    <xdr:from>
      <xdr:col>3</xdr:col>
      <xdr:colOff>361950</xdr:colOff>
      <xdr:row>8</xdr:row>
      <xdr:rowOff>101600</xdr:rowOff>
    </xdr:from>
    <xdr:to>
      <xdr:col>4</xdr:col>
      <xdr:colOff>438150</xdr:colOff>
      <xdr:row>9</xdr:row>
      <xdr:rowOff>95250</xdr:rowOff>
    </xdr:to>
    <xdr:sp macro="" textlink="">
      <xdr:nvSpPr>
        <xdr:cNvPr id="1065" name="Text 41"/>
        <xdr:cNvSpPr txBox="1">
          <a:spLocks noChangeArrowheads="1"/>
        </xdr:cNvSpPr>
      </xdr:nvSpPr>
      <xdr:spPr bwMode="auto">
        <a:xfrm>
          <a:off x="1847850" y="1416050"/>
          <a:ext cx="6858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GB" sz="800" b="0" i="0" u="none" strike="noStrike" baseline="0">
              <a:solidFill>
                <a:srgbClr val="3333CC"/>
              </a:solidFill>
              <a:latin typeface="Arial"/>
              <a:cs typeface="Arial"/>
            </a:rPr>
            <a:t>1- (omrPTHR)</a:t>
          </a:r>
        </a:p>
        <a:p>
          <a:pPr algn="ctr" rtl="0">
            <a:defRPr sz="1000"/>
          </a:pPr>
          <a:endParaRPr lang="en-GB" sz="800" b="0" i="0" u="none" strike="noStrike" baseline="0">
            <a:solidFill>
              <a:srgbClr val="3333CC"/>
            </a:solidFill>
            <a:latin typeface="Arial"/>
            <a:cs typeface="Arial"/>
          </a:endParaRPr>
        </a:p>
      </xdr:txBody>
    </xdr:sp>
    <xdr:clientData/>
  </xdr:twoCellAnchor>
  <xdr:twoCellAnchor>
    <xdr:from>
      <xdr:col>2</xdr:col>
      <xdr:colOff>0</xdr:colOff>
      <xdr:row>15</xdr:row>
      <xdr:rowOff>63500</xdr:rowOff>
    </xdr:from>
    <xdr:to>
      <xdr:col>3</xdr:col>
      <xdr:colOff>304800</xdr:colOff>
      <xdr:row>16</xdr:row>
      <xdr:rowOff>44450</xdr:rowOff>
    </xdr:to>
    <xdr:sp macro="" textlink="">
      <xdr:nvSpPr>
        <xdr:cNvPr id="1068" name="Text 44"/>
        <xdr:cNvSpPr txBox="1">
          <a:spLocks noChangeArrowheads="1"/>
        </xdr:cNvSpPr>
      </xdr:nvSpPr>
      <xdr:spPr bwMode="auto">
        <a:xfrm>
          <a:off x="876300" y="2489200"/>
          <a:ext cx="914400" cy="1397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GB" sz="800" b="0" i="0" u="none" strike="noStrike" baseline="0">
              <a:solidFill>
                <a:srgbClr val="3333CC"/>
              </a:solidFill>
              <a:latin typeface="Arial"/>
              <a:cs typeface="Arial"/>
            </a:rPr>
            <a:t>RR[age,sex,time]</a:t>
          </a:r>
        </a:p>
      </xdr:txBody>
    </xdr:sp>
    <xdr:clientData/>
  </xdr:twoCellAnchor>
  <xdr:twoCellAnchor>
    <xdr:from>
      <xdr:col>4</xdr:col>
      <xdr:colOff>152400</xdr:colOff>
      <xdr:row>15</xdr:row>
      <xdr:rowOff>0</xdr:rowOff>
    </xdr:from>
    <xdr:to>
      <xdr:col>6</xdr:col>
      <xdr:colOff>127000</xdr:colOff>
      <xdr:row>15</xdr:row>
      <xdr:rowOff>139700</xdr:rowOff>
    </xdr:to>
    <xdr:sp macro="" textlink="">
      <xdr:nvSpPr>
        <xdr:cNvPr id="1067" name="Text 43"/>
        <xdr:cNvSpPr txBox="1">
          <a:spLocks noChangeArrowheads="1"/>
        </xdr:cNvSpPr>
      </xdr:nvSpPr>
      <xdr:spPr bwMode="auto">
        <a:xfrm>
          <a:off x="2247900" y="2425700"/>
          <a:ext cx="1193800" cy="1397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GB" sz="800" b="0" i="0" u="none" strike="noStrike" baseline="0">
              <a:solidFill>
                <a:srgbClr val="3333CC"/>
              </a:solidFill>
              <a:latin typeface="Arial"/>
              <a:cs typeface="Arial"/>
            </a:rPr>
            <a:t>omrRTHR + mr[age]</a:t>
          </a:r>
        </a:p>
      </xdr:txBody>
    </xdr:sp>
    <xdr:clientData/>
  </xdr:twoCellAnchor>
  <xdr:twoCellAnchor>
    <xdr:from>
      <xdr:col>2</xdr:col>
      <xdr:colOff>285750</xdr:colOff>
      <xdr:row>4</xdr:row>
      <xdr:rowOff>133350</xdr:rowOff>
    </xdr:from>
    <xdr:to>
      <xdr:col>4</xdr:col>
      <xdr:colOff>266700</xdr:colOff>
      <xdr:row>6</xdr:row>
      <xdr:rowOff>38100</xdr:rowOff>
    </xdr:to>
    <xdr:sp macro="" textlink="">
      <xdr:nvSpPr>
        <xdr:cNvPr id="1028" name="Text 4"/>
        <xdr:cNvSpPr txBox="1">
          <a:spLocks noChangeArrowheads="1"/>
        </xdr:cNvSpPr>
      </xdr:nvSpPr>
      <xdr:spPr bwMode="auto">
        <a:xfrm>
          <a:off x="1162050" y="812800"/>
          <a:ext cx="1200150" cy="22225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2004" rIns="45720" bIns="0" anchor="t" upright="1"/>
        <a:lstStyle/>
        <a:p>
          <a:pPr algn="ctr" rtl="0">
            <a:defRPr sz="1000"/>
          </a:pPr>
          <a:r>
            <a:rPr lang="en-GB" sz="1200" b="1" i="0" u="none" strike="noStrike" baseline="0">
              <a:solidFill>
                <a:srgbClr val="000080"/>
              </a:solidFill>
              <a:latin typeface="Arial Rounded MT Bold"/>
            </a:rPr>
            <a:t>Primary THR</a:t>
          </a:r>
        </a:p>
      </xdr:txBody>
    </xdr:sp>
    <xdr:clientData/>
  </xdr:twoCellAnchor>
  <xdr:twoCellAnchor>
    <xdr:from>
      <xdr:col>7</xdr:col>
      <xdr:colOff>12700</xdr:colOff>
      <xdr:row>11</xdr:row>
      <xdr:rowOff>0</xdr:rowOff>
    </xdr:from>
    <xdr:to>
      <xdr:col>10</xdr:col>
      <xdr:colOff>12700</xdr:colOff>
      <xdr:row>14</xdr:row>
      <xdr:rowOff>0</xdr:rowOff>
    </xdr:to>
    <xdr:sp macro="" textlink="">
      <xdr:nvSpPr>
        <xdr:cNvPr id="1041" name="Oval 17"/>
        <xdr:cNvSpPr>
          <a:spLocks noChangeArrowheads="1"/>
        </xdr:cNvSpPr>
      </xdr:nvSpPr>
      <xdr:spPr bwMode="auto">
        <a:xfrm>
          <a:off x="3937000" y="1790700"/>
          <a:ext cx="1828800" cy="476250"/>
        </a:xfrm>
        <a:prstGeom prst="ellipse">
          <a:avLst/>
        </a:prstGeom>
        <a:pattFill prst="pct25">
          <a:fgClr>
            <a:srgbClr xmlns:mc="http://schemas.openxmlformats.org/markup-compatibility/2006" xmlns:a14="http://schemas.microsoft.com/office/drawing/2010/main" val="FFFFC0" mc:Ignorable="a14" a14:legacySpreadsheetColorIndex="26"/>
          </a:fgClr>
          <a:bgClr>
            <a:srgbClr xmlns:mc="http://schemas.openxmlformats.org/markup-compatibility/2006" xmlns:a14="http://schemas.microsoft.com/office/drawing/2010/main" val="FFFFC0" mc:Ignorable="a14" a14:legacySpreadsheetColorIndex="26"/>
          </a:bgClr>
        </a:patt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7</xdr:col>
      <xdr:colOff>0</xdr:colOff>
      <xdr:row>17</xdr:row>
      <xdr:rowOff>152400</xdr:rowOff>
    </xdr:from>
    <xdr:to>
      <xdr:col>10</xdr:col>
      <xdr:colOff>0</xdr:colOff>
      <xdr:row>20</xdr:row>
      <xdr:rowOff>152400</xdr:rowOff>
    </xdr:to>
    <xdr:sp macro="" textlink="">
      <xdr:nvSpPr>
        <xdr:cNvPr id="1042" name="Oval 18"/>
        <xdr:cNvSpPr>
          <a:spLocks noChangeArrowheads="1"/>
        </xdr:cNvSpPr>
      </xdr:nvSpPr>
      <xdr:spPr bwMode="auto">
        <a:xfrm>
          <a:off x="3924300" y="2895600"/>
          <a:ext cx="1828800" cy="476250"/>
        </a:xfrm>
        <a:prstGeom prst="ellipse">
          <a:avLst/>
        </a:prstGeom>
        <a:pattFill prst="pct25">
          <a:fgClr>
            <a:srgbClr xmlns:mc="http://schemas.openxmlformats.org/markup-compatibility/2006" xmlns:a14="http://schemas.microsoft.com/office/drawing/2010/main" val="FFFFC0" mc:Ignorable="a14" a14:legacySpreadsheetColorIndex="26"/>
          </a:fgClr>
          <a:bgClr>
            <a:srgbClr xmlns:mc="http://schemas.openxmlformats.org/markup-compatibility/2006" xmlns:a14="http://schemas.microsoft.com/office/drawing/2010/main" val="FFFFC0" mc:Ignorable="a14" a14:legacySpreadsheetColorIndex="26"/>
          </a:bgClr>
        </a:patt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17</xdr:row>
      <xdr:rowOff>152400</xdr:rowOff>
    </xdr:from>
    <xdr:to>
      <xdr:col>5</xdr:col>
      <xdr:colOff>0</xdr:colOff>
      <xdr:row>20</xdr:row>
      <xdr:rowOff>152400</xdr:rowOff>
    </xdr:to>
    <xdr:sp macro="" textlink="">
      <xdr:nvSpPr>
        <xdr:cNvPr id="1043" name="Oval 19"/>
        <xdr:cNvSpPr>
          <a:spLocks noChangeArrowheads="1"/>
        </xdr:cNvSpPr>
      </xdr:nvSpPr>
      <xdr:spPr bwMode="auto">
        <a:xfrm>
          <a:off x="876300" y="2895600"/>
          <a:ext cx="1828800" cy="476250"/>
        </a:xfrm>
        <a:prstGeom prst="ellipse">
          <a:avLst/>
        </a:prstGeom>
        <a:pattFill prst="pct25">
          <a:fgClr>
            <a:srgbClr xmlns:mc="http://schemas.openxmlformats.org/markup-compatibility/2006" xmlns:a14="http://schemas.microsoft.com/office/drawing/2010/main" val="FFFFC0" mc:Ignorable="a14" a14:legacySpreadsheetColorIndex="26"/>
          </a:fgClr>
          <a:bgClr>
            <a:srgbClr xmlns:mc="http://schemas.openxmlformats.org/markup-compatibility/2006" xmlns:a14="http://schemas.microsoft.com/office/drawing/2010/main" val="FFFFC0" mc:Ignorable="a14" a14:legacySpreadsheetColorIndex="26"/>
          </a:bgClr>
        </a:patt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11</xdr:row>
      <xdr:rowOff>0</xdr:rowOff>
    </xdr:from>
    <xdr:to>
      <xdr:col>5</xdr:col>
      <xdr:colOff>0</xdr:colOff>
      <xdr:row>14</xdr:row>
      <xdr:rowOff>0</xdr:rowOff>
    </xdr:to>
    <xdr:sp macro="" textlink="">
      <xdr:nvSpPr>
        <xdr:cNvPr id="1044" name="Oval 20"/>
        <xdr:cNvSpPr>
          <a:spLocks noChangeArrowheads="1"/>
        </xdr:cNvSpPr>
      </xdr:nvSpPr>
      <xdr:spPr bwMode="auto">
        <a:xfrm>
          <a:off x="876300" y="1790700"/>
          <a:ext cx="1828800" cy="476250"/>
        </a:xfrm>
        <a:prstGeom prst="ellipse">
          <a:avLst/>
        </a:prstGeom>
        <a:pattFill prst="pct25">
          <a:fgClr>
            <a:srgbClr xmlns:mc="http://schemas.openxmlformats.org/markup-compatibility/2006" xmlns:a14="http://schemas.microsoft.com/office/drawing/2010/main" val="FFFFC0" mc:Ignorable="a14" a14:legacySpreadsheetColorIndex="26"/>
          </a:fgClr>
          <a:bgClr>
            <a:srgbClr xmlns:mc="http://schemas.openxmlformats.org/markup-compatibility/2006" xmlns:a14="http://schemas.microsoft.com/office/drawing/2010/main" val="FFFFC0" mc:Ignorable="a14" a14:legacySpreadsheetColorIndex="26"/>
          </a:bgClr>
        </a:patt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3</xdr:col>
      <xdr:colOff>285750</xdr:colOff>
      <xdr:row>7</xdr:row>
      <xdr:rowOff>6350</xdr:rowOff>
    </xdr:from>
    <xdr:to>
      <xdr:col>3</xdr:col>
      <xdr:colOff>285750</xdr:colOff>
      <xdr:row>11</xdr:row>
      <xdr:rowOff>0</xdr:rowOff>
    </xdr:to>
    <xdr:sp macro="" textlink="">
      <xdr:nvSpPr>
        <xdr:cNvPr id="1048" name="Line 24"/>
        <xdr:cNvSpPr>
          <a:spLocks noChangeShapeType="1"/>
        </xdr:cNvSpPr>
      </xdr:nvSpPr>
      <xdr:spPr bwMode="auto">
        <a:xfrm flipH="1">
          <a:off x="1771650" y="1162050"/>
          <a:ext cx="0" cy="62865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19</xdr:row>
      <xdr:rowOff>95250</xdr:rowOff>
    </xdr:from>
    <xdr:to>
      <xdr:col>6</xdr:col>
      <xdr:colOff>590550</xdr:colOff>
      <xdr:row>19</xdr:row>
      <xdr:rowOff>95250</xdr:rowOff>
    </xdr:to>
    <xdr:sp macro="" textlink="">
      <xdr:nvSpPr>
        <xdr:cNvPr id="1049" name="Line 25"/>
        <xdr:cNvSpPr>
          <a:spLocks noChangeShapeType="1"/>
        </xdr:cNvSpPr>
      </xdr:nvSpPr>
      <xdr:spPr bwMode="auto">
        <a:xfrm>
          <a:off x="2705100" y="3155950"/>
          <a:ext cx="120015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508000</xdr:colOff>
      <xdr:row>13</xdr:row>
      <xdr:rowOff>76200</xdr:rowOff>
    </xdr:from>
    <xdr:to>
      <xdr:col>7</xdr:col>
      <xdr:colOff>146050</xdr:colOff>
      <xdr:row>18</xdr:row>
      <xdr:rowOff>120650</xdr:rowOff>
    </xdr:to>
    <xdr:sp macro="" textlink="">
      <xdr:nvSpPr>
        <xdr:cNvPr id="1050" name="Line 26"/>
        <xdr:cNvSpPr>
          <a:spLocks noChangeShapeType="1"/>
        </xdr:cNvSpPr>
      </xdr:nvSpPr>
      <xdr:spPr bwMode="auto">
        <a:xfrm flipV="1">
          <a:off x="2603500" y="2184400"/>
          <a:ext cx="1466850" cy="8382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552450</xdr:colOff>
      <xdr:row>6</xdr:row>
      <xdr:rowOff>139700</xdr:rowOff>
    </xdr:from>
    <xdr:to>
      <xdr:col>7</xdr:col>
      <xdr:colOff>152400</xdr:colOff>
      <xdr:row>11</xdr:row>
      <xdr:rowOff>95250</xdr:rowOff>
    </xdr:to>
    <xdr:sp macro="" textlink="">
      <xdr:nvSpPr>
        <xdr:cNvPr id="1051" name="Line 27"/>
        <xdr:cNvSpPr>
          <a:spLocks noChangeShapeType="1"/>
        </xdr:cNvSpPr>
      </xdr:nvSpPr>
      <xdr:spPr bwMode="auto">
        <a:xfrm>
          <a:off x="2647950" y="1136650"/>
          <a:ext cx="1428750" cy="7493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12</xdr:row>
      <xdr:rowOff>76200</xdr:rowOff>
    </xdr:from>
    <xdr:to>
      <xdr:col>6</xdr:col>
      <xdr:colOff>603250</xdr:colOff>
      <xdr:row>12</xdr:row>
      <xdr:rowOff>76200</xdr:rowOff>
    </xdr:to>
    <xdr:sp macro="" textlink="">
      <xdr:nvSpPr>
        <xdr:cNvPr id="1052" name="Line 28"/>
        <xdr:cNvSpPr>
          <a:spLocks noChangeShapeType="1"/>
        </xdr:cNvSpPr>
      </xdr:nvSpPr>
      <xdr:spPr bwMode="auto">
        <a:xfrm>
          <a:off x="2705100" y="2025650"/>
          <a:ext cx="121285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8</xdr:col>
      <xdr:colOff>317500</xdr:colOff>
      <xdr:row>14</xdr:row>
      <xdr:rowOff>0</xdr:rowOff>
    </xdr:from>
    <xdr:to>
      <xdr:col>8</xdr:col>
      <xdr:colOff>317500</xdr:colOff>
      <xdr:row>17</xdr:row>
      <xdr:rowOff>139700</xdr:rowOff>
    </xdr:to>
    <xdr:sp macro="" textlink="">
      <xdr:nvSpPr>
        <xdr:cNvPr id="1053" name="Line 29"/>
        <xdr:cNvSpPr>
          <a:spLocks noChangeShapeType="1"/>
        </xdr:cNvSpPr>
      </xdr:nvSpPr>
      <xdr:spPr bwMode="auto">
        <a:xfrm flipV="1">
          <a:off x="4851400" y="2266950"/>
          <a:ext cx="0" cy="61595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285750</xdr:colOff>
      <xdr:row>14</xdr:row>
      <xdr:rowOff>19050</xdr:rowOff>
    </xdr:from>
    <xdr:to>
      <xdr:col>3</xdr:col>
      <xdr:colOff>285750</xdr:colOff>
      <xdr:row>17</xdr:row>
      <xdr:rowOff>139700</xdr:rowOff>
    </xdr:to>
    <xdr:sp macro="" textlink="">
      <xdr:nvSpPr>
        <xdr:cNvPr id="1054" name="Line 30"/>
        <xdr:cNvSpPr>
          <a:spLocks noChangeShapeType="1"/>
        </xdr:cNvSpPr>
      </xdr:nvSpPr>
      <xdr:spPr bwMode="auto">
        <a:xfrm>
          <a:off x="1771650" y="2286000"/>
          <a:ext cx="0" cy="5969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2</xdr:col>
      <xdr:colOff>342900</xdr:colOff>
      <xdr:row>18</xdr:row>
      <xdr:rowOff>114300</xdr:rowOff>
    </xdr:from>
    <xdr:to>
      <xdr:col>4</xdr:col>
      <xdr:colOff>323850</xdr:colOff>
      <xdr:row>20</xdr:row>
      <xdr:rowOff>19050</xdr:rowOff>
    </xdr:to>
    <xdr:sp macro="" textlink="">
      <xdr:nvSpPr>
        <xdr:cNvPr id="1055" name="Text 31"/>
        <xdr:cNvSpPr txBox="1">
          <a:spLocks noChangeArrowheads="1"/>
        </xdr:cNvSpPr>
      </xdr:nvSpPr>
      <xdr:spPr bwMode="auto">
        <a:xfrm>
          <a:off x="1219200" y="3016250"/>
          <a:ext cx="1200150" cy="22225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2004" rIns="45720" bIns="0" anchor="t" upright="1"/>
        <a:lstStyle/>
        <a:p>
          <a:pPr algn="ctr" rtl="0">
            <a:defRPr sz="1000"/>
          </a:pPr>
          <a:r>
            <a:rPr lang="en-GB" sz="1200" b="1" i="0" u="none" strike="noStrike" baseline="0">
              <a:solidFill>
                <a:srgbClr val="000080"/>
              </a:solidFill>
              <a:latin typeface="Arial Rounded MT Bold"/>
            </a:rPr>
            <a:t>Revision THR</a:t>
          </a:r>
        </a:p>
      </xdr:txBody>
    </xdr:sp>
    <xdr:clientData/>
  </xdr:twoCellAnchor>
  <xdr:twoCellAnchor>
    <xdr:from>
      <xdr:col>2</xdr:col>
      <xdr:colOff>419100</xdr:colOff>
      <xdr:row>11</xdr:row>
      <xdr:rowOff>57150</xdr:rowOff>
    </xdr:from>
    <xdr:to>
      <xdr:col>4</xdr:col>
      <xdr:colOff>165100</xdr:colOff>
      <xdr:row>13</xdr:row>
      <xdr:rowOff>114300</xdr:rowOff>
    </xdr:to>
    <xdr:sp macro="" textlink="">
      <xdr:nvSpPr>
        <xdr:cNvPr id="1056" name="Text 32"/>
        <xdr:cNvSpPr txBox="1">
          <a:spLocks noChangeArrowheads="1"/>
        </xdr:cNvSpPr>
      </xdr:nvSpPr>
      <xdr:spPr bwMode="auto">
        <a:xfrm>
          <a:off x="1295400" y="1847850"/>
          <a:ext cx="965200" cy="37465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2004" rIns="45720" bIns="0" anchor="t" upright="1"/>
        <a:lstStyle/>
        <a:p>
          <a:pPr algn="ctr" rtl="0">
            <a:defRPr sz="1000"/>
          </a:pPr>
          <a:r>
            <a:rPr lang="en-GB" sz="1200" b="1" i="0" u="none" strike="noStrike" baseline="0">
              <a:solidFill>
                <a:srgbClr val="000080"/>
              </a:solidFill>
              <a:latin typeface="Arial Rounded MT Bold"/>
            </a:rPr>
            <a:t>Successful Primary</a:t>
          </a:r>
        </a:p>
      </xdr:txBody>
    </xdr:sp>
    <xdr:clientData/>
  </xdr:twoCellAnchor>
  <xdr:twoCellAnchor>
    <xdr:from>
      <xdr:col>7</xdr:col>
      <xdr:colOff>323850</xdr:colOff>
      <xdr:row>11</xdr:row>
      <xdr:rowOff>120650</xdr:rowOff>
    </xdr:from>
    <xdr:to>
      <xdr:col>9</xdr:col>
      <xdr:colOff>304800</xdr:colOff>
      <xdr:row>13</xdr:row>
      <xdr:rowOff>25400</xdr:rowOff>
    </xdr:to>
    <xdr:sp macro="" textlink="">
      <xdr:nvSpPr>
        <xdr:cNvPr id="1058" name="Text 34"/>
        <xdr:cNvSpPr txBox="1">
          <a:spLocks noChangeArrowheads="1"/>
        </xdr:cNvSpPr>
      </xdr:nvSpPr>
      <xdr:spPr bwMode="auto">
        <a:xfrm>
          <a:off x="4248150" y="1911350"/>
          <a:ext cx="1200150" cy="22225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2004" rIns="45720" bIns="0" anchor="t" upright="1"/>
        <a:lstStyle/>
        <a:p>
          <a:pPr algn="ctr" rtl="0">
            <a:defRPr sz="1000"/>
          </a:pPr>
          <a:r>
            <a:rPr lang="en-GB" sz="1200" b="1" i="0" u="none" strike="noStrike" baseline="0">
              <a:solidFill>
                <a:srgbClr val="000080"/>
              </a:solidFill>
              <a:latin typeface="Arial Rounded MT Bold"/>
            </a:rPr>
            <a:t>Death</a:t>
          </a:r>
        </a:p>
      </xdr:txBody>
    </xdr:sp>
    <xdr:clientData/>
  </xdr:twoCellAnchor>
  <xdr:twoCellAnchor>
    <xdr:from>
      <xdr:col>1</xdr:col>
      <xdr:colOff>0</xdr:colOff>
      <xdr:row>11</xdr:row>
      <xdr:rowOff>76200</xdr:rowOff>
    </xdr:from>
    <xdr:to>
      <xdr:col>2</xdr:col>
      <xdr:colOff>0</xdr:colOff>
      <xdr:row>13</xdr:row>
      <xdr:rowOff>76200</xdr:rowOff>
    </xdr:to>
    <xdr:sp macro="" textlink="">
      <xdr:nvSpPr>
        <xdr:cNvPr id="1060" name="Oval 36"/>
        <xdr:cNvSpPr>
          <a:spLocks noChangeArrowheads="1"/>
        </xdr:cNvSpPr>
      </xdr:nvSpPr>
      <xdr:spPr bwMode="auto">
        <a:xfrm>
          <a:off x="266700" y="1866900"/>
          <a:ext cx="609600" cy="3175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571500</xdr:colOff>
      <xdr:row>12</xdr:row>
      <xdr:rowOff>0</xdr:rowOff>
    </xdr:from>
    <xdr:to>
      <xdr:col>2</xdr:col>
      <xdr:colOff>0</xdr:colOff>
      <xdr:row>12</xdr:row>
      <xdr:rowOff>38100</xdr:rowOff>
    </xdr:to>
    <xdr:sp macro="" textlink="">
      <xdr:nvSpPr>
        <xdr:cNvPr id="1061" name="Line 37"/>
        <xdr:cNvSpPr>
          <a:spLocks noChangeShapeType="1"/>
        </xdr:cNvSpPr>
      </xdr:nvSpPr>
      <xdr:spPr bwMode="auto">
        <a:xfrm>
          <a:off x="838200" y="1949450"/>
          <a:ext cx="38100" cy="381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152400</xdr:rowOff>
    </xdr:from>
    <xdr:to>
      <xdr:col>10</xdr:col>
      <xdr:colOff>57150</xdr:colOff>
      <xdr:row>19</xdr:row>
      <xdr:rowOff>44450</xdr:rowOff>
    </xdr:to>
    <xdr:sp macro="" textlink="">
      <xdr:nvSpPr>
        <xdr:cNvPr id="1062" name="Line 38"/>
        <xdr:cNvSpPr>
          <a:spLocks noChangeShapeType="1"/>
        </xdr:cNvSpPr>
      </xdr:nvSpPr>
      <xdr:spPr bwMode="auto">
        <a:xfrm flipH="1">
          <a:off x="5765800" y="3054350"/>
          <a:ext cx="44450" cy="508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76200</xdr:rowOff>
    </xdr:from>
    <xdr:to>
      <xdr:col>11</xdr:col>
      <xdr:colOff>12700</xdr:colOff>
      <xdr:row>20</xdr:row>
      <xdr:rowOff>76200</xdr:rowOff>
    </xdr:to>
    <xdr:sp macro="" textlink="">
      <xdr:nvSpPr>
        <xdr:cNvPr id="1063" name="Oval 39"/>
        <xdr:cNvSpPr>
          <a:spLocks noChangeArrowheads="1"/>
        </xdr:cNvSpPr>
      </xdr:nvSpPr>
      <xdr:spPr bwMode="auto">
        <a:xfrm>
          <a:off x="5765800" y="2978150"/>
          <a:ext cx="609600" cy="3175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146050</xdr:colOff>
      <xdr:row>11</xdr:row>
      <xdr:rowOff>44450</xdr:rowOff>
    </xdr:from>
    <xdr:to>
      <xdr:col>6</xdr:col>
      <xdr:colOff>298450</xdr:colOff>
      <xdr:row>12</xdr:row>
      <xdr:rowOff>38100</xdr:rowOff>
    </xdr:to>
    <xdr:sp macro="" textlink="">
      <xdr:nvSpPr>
        <xdr:cNvPr id="1066" name="Text 42"/>
        <xdr:cNvSpPr txBox="1">
          <a:spLocks noChangeArrowheads="1"/>
        </xdr:cNvSpPr>
      </xdr:nvSpPr>
      <xdr:spPr bwMode="auto">
        <a:xfrm>
          <a:off x="2851150" y="1835150"/>
          <a:ext cx="7620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GB" sz="800" b="0" i="0" u="none" strike="noStrike" baseline="0">
              <a:solidFill>
                <a:srgbClr val="3333CC"/>
              </a:solidFill>
              <a:latin typeface="Arial"/>
              <a:cs typeface="Arial"/>
            </a:rPr>
            <a:t>mr[age]</a:t>
          </a:r>
        </a:p>
      </xdr:txBody>
    </xdr:sp>
    <xdr:clientData/>
  </xdr:twoCellAnchor>
  <xdr:twoCellAnchor>
    <xdr:from>
      <xdr:col>3</xdr:col>
      <xdr:colOff>304800</xdr:colOff>
      <xdr:row>21</xdr:row>
      <xdr:rowOff>0</xdr:rowOff>
    </xdr:from>
    <xdr:to>
      <xdr:col>3</xdr:col>
      <xdr:colOff>304800</xdr:colOff>
      <xdr:row>23</xdr:row>
      <xdr:rowOff>0</xdr:rowOff>
    </xdr:to>
    <xdr:sp macro="" textlink="">
      <xdr:nvSpPr>
        <xdr:cNvPr id="1069" name="Line 45"/>
        <xdr:cNvSpPr>
          <a:spLocks noChangeShapeType="1"/>
        </xdr:cNvSpPr>
      </xdr:nvSpPr>
      <xdr:spPr bwMode="auto">
        <a:xfrm flipH="1" flipV="1">
          <a:off x="1790700" y="3378200"/>
          <a:ext cx="0" cy="3175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304800</xdr:colOff>
      <xdr:row>23</xdr:row>
      <xdr:rowOff>0</xdr:rowOff>
    </xdr:from>
    <xdr:to>
      <xdr:col>8</xdr:col>
      <xdr:colOff>304800</xdr:colOff>
      <xdr:row>23</xdr:row>
      <xdr:rowOff>0</xdr:rowOff>
    </xdr:to>
    <xdr:sp macro="" textlink="">
      <xdr:nvSpPr>
        <xdr:cNvPr id="1070" name="Line 46"/>
        <xdr:cNvSpPr>
          <a:spLocks noChangeShapeType="1"/>
        </xdr:cNvSpPr>
      </xdr:nvSpPr>
      <xdr:spPr bwMode="auto">
        <a:xfrm flipV="1">
          <a:off x="1790700" y="3695700"/>
          <a:ext cx="30480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304800</xdr:colOff>
      <xdr:row>21</xdr:row>
      <xdr:rowOff>0</xdr:rowOff>
    </xdr:from>
    <xdr:to>
      <xdr:col>8</xdr:col>
      <xdr:colOff>304800</xdr:colOff>
      <xdr:row>23</xdr:row>
      <xdr:rowOff>0</xdr:rowOff>
    </xdr:to>
    <xdr:sp macro="" textlink="">
      <xdr:nvSpPr>
        <xdr:cNvPr id="1071" name="Line 47"/>
        <xdr:cNvSpPr>
          <a:spLocks noChangeShapeType="1"/>
        </xdr:cNvSpPr>
      </xdr:nvSpPr>
      <xdr:spPr bwMode="auto">
        <a:xfrm flipV="1">
          <a:off x="4838700" y="3378200"/>
          <a:ext cx="0" cy="3175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603250</xdr:colOff>
      <xdr:row>21</xdr:row>
      <xdr:rowOff>0</xdr:rowOff>
    </xdr:from>
    <xdr:to>
      <xdr:col>3</xdr:col>
      <xdr:colOff>0</xdr:colOff>
      <xdr:row>22</xdr:row>
      <xdr:rowOff>0</xdr:rowOff>
    </xdr:to>
    <xdr:sp macro="" textlink="">
      <xdr:nvSpPr>
        <xdr:cNvPr id="1080" name="Text 56"/>
        <xdr:cNvSpPr txBox="1">
          <a:spLocks noChangeArrowheads="1"/>
        </xdr:cNvSpPr>
      </xdr:nvSpPr>
      <xdr:spPr bwMode="auto">
        <a:xfrm>
          <a:off x="869950" y="3378200"/>
          <a:ext cx="615950" cy="158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GB" sz="800" b="0" i="0" u="none" strike="noStrike" baseline="0">
              <a:solidFill>
                <a:srgbClr val="008000"/>
              </a:solidFill>
              <a:latin typeface="Arial"/>
              <a:cs typeface="Arial"/>
            </a:rPr>
            <a:t>uRevision</a:t>
          </a:r>
        </a:p>
      </xdr:txBody>
    </xdr:sp>
    <xdr:clientData/>
  </xdr:twoCellAnchor>
  <xdr:twoCellAnchor>
    <xdr:from>
      <xdr:col>2</xdr:col>
      <xdr:colOff>0</xdr:colOff>
      <xdr:row>17</xdr:row>
      <xdr:rowOff>0</xdr:rowOff>
    </xdr:from>
    <xdr:to>
      <xdr:col>3</xdr:col>
      <xdr:colOff>0</xdr:colOff>
      <xdr:row>17</xdr:row>
      <xdr:rowOff>152400</xdr:rowOff>
    </xdr:to>
    <xdr:sp macro="" textlink="">
      <xdr:nvSpPr>
        <xdr:cNvPr id="1081" name="Text 57"/>
        <xdr:cNvSpPr txBox="1">
          <a:spLocks noChangeArrowheads="1"/>
        </xdr:cNvSpPr>
      </xdr:nvSpPr>
      <xdr:spPr bwMode="auto">
        <a:xfrm>
          <a:off x="876300" y="2743200"/>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GB" sz="800" b="0" i="0" u="none" strike="noStrike" baseline="0">
              <a:solidFill>
                <a:srgbClr val="FF0000"/>
              </a:solidFill>
              <a:latin typeface="Arial"/>
              <a:cs typeface="Arial"/>
            </a:rPr>
            <a:t>cRevision</a:t>
          </a:r>
        </a:p>
      </xdr:txBody>
    </xdr:sp>
    <xdr:clientData/>
  </xdr:twoCellAnchor>
  <xdr:twoCellAnchor>
    <xdr:from>
      <xdr:col>9</xdr:col>
      <xdr:colOff>0</xdr:colOff>
      <xdr:row>17</xdr:row>
      <xdr:rowOff>0</xdr:rowOff>
    </xdr:from>
    <xdr:to>
      <xdr:col>10</xdr:col>
      <xdr:colOff>0</xdr:colOff>
      <xdr:row>17</xdr:row>
      <xdr:rowOff>152400</xdr:rowOff>
    </xdr:to>
    <xdr:sp macro="" textlink="">
      <xdr:nvSpPr>
        <xdr:cNvPr id="1082" name="Text 58"/>
        <xdr:cNvSpPr txBox="1">
          <a:spLocks noChangeArrowheads="1"/>
        </xdr:cNvSpPr>
      </xdr:nvSpPr>
      <xdr:spPr bwMode="auto">
        <a:xfrm>
          <a:off x="5143500" y="2743200"/>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36576" bIns="0" anchor="t" upright="1"/>
        <a:lstStyle/>
        <a:p>
          <a:pPr algn="r" rtl="0">
            <a:defRPr sz="1000"/>
          </a:pPr>
          <a:r>
            <a:rPr lang="en-GB" sz="800" b="0" i="0" u="none" strike="noStrike" baseline="0">
              <a:solidFill>
                <a:srgbClr val="FF0000"/>
              </a:solidFill>
              <a:latin typeface="Arial"/>
              <a:cs typeface="Arial"/>
            </a:rPr>
            <a:t>cSuccess</a:t>
          </a:r>
        </a:p>
      </xdr:txBody>
    </xdr:sp>
    <xdr:clientData/>
  </xdr:twoCellAnchor>
  <xdr:twoCellAnchor>
    <xdr:from>
      <xdr:col>9</xdr:col>
      <xdr:colOff>0</xdr:colOff>
      <xdr:row>21</xdr:row>
      <xdr:rowOff>0</xdr:rowOff>
    </xdr:from>
    <xdr:to>
      <xdr:col>10</xdr:col>
      <xdr:colOff>0</xdr:colOff>
      <xdr:row>21</xdr:row>
      <xdr:rowOff>152400</xdr:rowOff>
    </xdr:to>
    <xdr:sp macro="" textlink="">
      <xdr:nvSpPr>
        <xdr:cNvPr id="1083" name="Text 59"/>
        <xdr:cNvSpPr txBox="1">
          <a:spLocks noChangeArrowheads="1"/>
        </xdr:cNvSpPr>
      </xdr:nvSpPr>
      <xdr:spPr bwMode="auto">
        <a:xfrm>
          <a:off x="5143500" y="3378200"/>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36576" bIns="0" anchor="t" upright="1"/>
        <a:lstStyle/>
        <a:p>
          <a:pPr algn="r" rtl="0">
            <a:defRPr sz="1000"/>
          </a:pPr>
          <a:r>
            <a:rPr lang="en-GB" sz="800" b="0" i="0" u="none" strike="noStrike" baseline="0">
              <a:solidFill>
                <a:srgbClr val="008000"/>
              </a:solidFill>
              <a:latin typeface="Arial"/>
              <a:cs typeface="Arial"/>
            </a:rPr>
            <a:t>uSuccessR</a:t>
          </a:r>
        </a:p>
      </xdr:txBody>
    </xdr:sp>
    <xdr:clientData/>
  </xdr:twoCellAnchor>
  <xdr:twoCellAnchor>
    <xdr:from>
      <xdr:col>7</xdr:col>
      <xdr:colOff>450850</xdr:colOff>
      <xdr:row>18</xdr:row>
      <xdr:rowOff>38100</xdr:rowOff>
    </xdr:from>
    <xdr:to>
      <xdr:col>9</xdr:col>
      <xdr:colOff>146050</xdr:colOff>
      <xdr:row>20</xdr:row>
      <xdr:rowOff>82550</xdr:rowOff>
    </xdr:to>
    <xdr:sp macro="" textlink="">
      <xdr:nvSpPr>
        <xdr:cNvPr id="1057" name="Text 33"/>
        <xdr:cNvSpPr txBox="1">
          <a:spLocks noChangeArrowheads="1"/>
        </xdr:cNvSpPr>
      </xdr:nvSpPr>
      <xdr:spPr bwMode="auto">
        <a:xfrm>
          <a:off x="4375150" y="2940050"/>
          <a:ext cx="914400" cy="36195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45720" tIns="32004" rIns="45720" bIns="0" anchor="t" upright="1"/>
        <a:lstStyle/>
        <a:p>
          <a:pPr algn="ctr" rtl="0">
            <a:defRPr sz="1000"/>
          </a:pPr>
          <a:r>
            <a:rPr lang="en-GB" sz="1200" b="1" i="0" u="none" strike="noStrike" baseline="0">
              <a:solidFill>
                <a:srgbClr val="000080"/>
              </a:solidFill>
              <a:latin typeface="Arial Rounded MT Bold"/>
            </a:rPr>
            <a:t>Successful Revision</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387350</xdr:colOff>
          <xdr:row>4</xdr:row>
          <xdr:rowOff>25400</xdr:rowOff>
        </xdr:from>
        <xdr:to>
          <xdr:col>4</xdr:col>
          <xdr:colOff>355600</xdr:colOff>
          <xdr:row>7</xdr:row>
          <xdr:rowOff>82550</xdr:rowOff>
        </xdr:to>
        <xdr:sp macro="" textlink="">
          <xdr:nvSpPr>
            <xdr:cNvPr id="27649" name="Group Box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520700</xdr:colOff>
          <xdr:row>4</xdr:row>
          <xdr:rowOff>63500</xdr:rowOff>
        </xdr:from>
        <xdr:to>
          <xdr:col>3</xdr:col>
          <xdr:colOff>393700</xdr:colOff>
          <xdr:row>5</xdr:row>
          <xdr:rowOff>114300</xdr:rowOff>
        </xdr:to>
        <xdr:sp macro="" textlink="">
          <xdr:nvSpPr>
            <xdr:cNvPr id="27650" name="Option Button 2" hidden="1">
              <a:extLst>
                <a:ext uri="{63B3BB69-23CF-44E3-9099-C40C66FF867C}">
                  <a14:compatExt spid="_x0000_s276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520700</xdr:colOff>
          <xdr:row>5</xdr:row>
          <xdr:rowOff>139700</xdr:rowOff>
        </xdr:from>
        <xdr:to>
          <xdr:col>3</xdr:col>
          <xdr:colOff>393700</xdr:colOff>
          <xdr:row>7</xdr:row>
          <xdr:rowOff>25400</xdr:rowOff>
        </xdr:to>
        <xdr:sp macro="" textlink="">
          <xdr:nvSpPr>
            <xdr:cNvPr id="27651" name="Option Button 3" hidden="1">
              <a:extLst>
                <a:ext uri="{63B3BB69-23CF-44E3-9099-C40C66FF867C}">
                  <a14:compatExt spid="_x0000_s276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Female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508000</xdr:colOff>
          <xdr:row>9</xdr:row>
          <xdr:rowOff>50800</xdr:rowOff>
        </xdr:from>
        <xdr:to>
          <xdr:col>11</xdr:col>
          <xdr:colOff>495300</xdr:colOff>
          <xdr:row>10</xdr:row>
          <xdr:rowOff>120650</xdr:rowOff>
        </xdr:to>
        <xdr:sp macro="" textlink="">
          <xdr:nvSpPr>
            <xdr:cNvPr id="27652" name="Button 4" hidden="1">
              <a:extLst>
                <a:ext uri="{63B3BB69-23CF-44E3-9099-C40C66FF867C}">
                  <a14:compatExt spid="_x0000_s2765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Run PSA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72500" cy="58293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572500" cy="58293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0.43025</cdr:x>
      <cdr:y>0.51725</cdr:y>
    </cdr:from>
    <cdr:to>
      <cdr:x>0.441</cdr:x>
      <cdr:y>0.55325</cdr:y>
    </cdr:to>
    <cdr:sp macro="" textlink="">
      <cdr:nvSpPr>
        <cdr:cNvPr id="9217" name="Text Box 1"/>
        <cdr:cNvSpPr txBox="1">
          <a:spLocks xmlns:a="http://schemas.openxmlformats.org/drawingml/2006/main" noChangeArrowheads="1"/>
        </cdr:cNvSpPr>
      </cdr:nvSpPr>
      <cdr:spPr bwMode="auto">
        <a:xfrm xmlns:a="http://schemas.openxmlformats.org/drawingml/2006/main">
          <a:off x="3688318" y="3015205"/>
          <a:ext cx="92155" cy="20985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pPr algn="ctr" rtl="0">
            <a:defRPr sz="1000"/>
          </a:pPr>
          <a:r>
            <a:rPr lang="en-GB" sz="925" b="0" i="0" u="none" strike="noStrike" baseline="0">
              <a:solidFill>
                <a:srgbClr val="000000"/>
              </a:solidFill>
              <a:latin typeface="Arial"/>
              <a:cs typeface="Arial"/>
            </a:rPr>
            <a:t>  </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5"/>
  <sheetViews>
    <sheetView tabSelected="1" workbookViewId="0">
      <selection activeCell="B3" sqref="B3"/>
    </sheetView>
  </sheetViews>
  <sheetFormatPr defaultRowHeight="12.5" x14ac:dyDescent="0.25"/>
  <cols>
    <col min="1" max="1" width="3.81640625" customWidth="1"/>
    <col min="12" max="12" width="4.26953125" customWidth="1"/>
  </cols>
  <sheetData>
    <row r="1" spans="1:1" ht="15.5" x14ac:dyDescent="0.35">
      <c r="A1" s="2" t="s">
        <v>0</v>
      </c>
    </row>
    <row r="2" spans="1:1" ht="13" x14ac:dyDescent="0.3">
      <c r="A2" s="4" t="s">
        <v>1</v>
      </c>
    </row>
    <row r="25" spans="1:1" ht="13" x14ac:dyDescent="0.3">
      <c r="A25" t="s">
        <v>2</v>
      </c>
    </row>
    <row r="26" spans="1:1" ht="13" x14ac:dyDescent="0.3">
      <c r="A26" t="s">
        <v>3</v>
      </c>
    </row>
    <row r="27" spans="1:1" ht="13" x14ac:dyDescent="0.3">
      <c r="A27" t="s">
        <v>4</v>
      </c>
    </row>
    <row r="28" spans="1:1" ht="13" x14ac:dyDescent="0.3">
      <c r="A28" s="5" t="s">
        <v>84</v>
      </c>
    </row>
    <row r="35" spans="2:3" x14ac:dyDescent="0.25">
      <c r="B35" s="28"/>
    </row>
    <row r="36" spans="2:3" x14ac:dyDescent="0.25">
      <c r="B36" s="28"/>
      <c r="C36" s="11"/>
    </row>
    <row r="37" spans="2:3" x14ac:dyDescent="0.25">
      <c r="B37" s="28"/>
      <c r="C37" s="11"/>
    </row>
    <row r="38" spans="2:3" x14ac:dyDescent="0.25">
      <c r="B38" s="28"/>
      <c r="C38" s="11"/>
    </row>
    <row r="39" spans="2:3" x14ac:dyDescent="0.25">
      <c r="B39" s="28"/>
      <c r="C39" s="11"/>
    </row>
    <row r="40" spans="2:3" x14ac:dyDescent="0.25">
      <c r="B40" s="28"/>
      <c r="C40" s="11"/>
    </row>
    <row r="41" spans="2:3" x14ac:dyDescent="0.25">
      <c r="B41" s="28"/>
      <c r="C41" s="11"/>
    </row>
    <row r="42" spans="2:3" x14ac:dyDescent="0.25">
      <c r="B42" s="28"/>
      <c r="C42" s="11"/>
    </row>
    <row r="43" spans="2:3" x14ac:dyDescent="0.25">
      <c r="B43" s="28"/>
      <c r="C43" s="11"/>
    </row>
    <row r="44" spans="2:3" x14ac:dyDescent="0.25">
      <c r="B44" s="28"/>
      <c r="C44" s="11"/>
    </row>
    <row r="45" spans="2:3" x14ac:dyDescent="0.25">
      <c r="B45" s="28"/>
      <c r="C45" s="11"/>
    </row>
  </sheetData>
  <phoneticPr fontId="19" type="noConversion"/>
  <pageMargins left="0.75" right="0.75" top="1" bottom="1" header="0.5" footer="0.5"/>
  <pageSetup paperSize="9" orientation="landscape"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22"/>
  <sheetViews>
    <sheetView workbookViewId="0">
      <selection activeCell="A2" sqref="A2"/>
    </sheetView>
  </sheetViews>
  <sheetFormatPr defaultRowHeight="12.5" x14ac:dyDescent="0.25"/>
  <cols>
    <col min="1" max="1" width="5.81640625" customWidth="1"/>
    <col min="2" max="2" width="4.7265625" customWidth="1"/>
    <col min="6" max="6" width="4" customWidth="1"/>
    <col min="7" max="7" width="5" customWidth="1"/>
    <col min="8" max="8" width="5.26953125" customWidth="1"/>
    <col min="12" max="12" width="5.1796875" customWidth="1"/>
  </cols>
  <sheetData>
    <row r="1" spans="1:12" ht="15.5" x14ac:dyDescent="0.35">
      <c r="A1" s="43" t="s">
        <v>118</v>
      </c>
    </row>
    <row r="4" spans="1:12" ht="13" x14ac:dyDescent="0.3">
      <c r="B4" s="97" t="s">
        <v>114</v>
      </c>
      <c r="C4" s="97"/>
      <c r="D4" s="97"/>
      <c r="E4" s="97"/>
      <c r="F4" s="97"/>
      <c r="H4" s="91" t="s">
        <v>115</v>
      </c>
      <c r="I4" s="92"/>
      <c r="J4" s="92"/>
      <c r="K4" s="92"/>
      <c r="L4" s="92"/>
    </row>
    <row r="5" spans="1:12" x14ac:dyDescent="0.25">
      <c r="B5" s="90"/>
      <c r="C5" s="90"/>
      <c r="D5" s="90"/>
      <c r="E5" s="90"/>
      <c r="F5" s="90"/>
      <c r="H5" s="93"/>
      <c r="I5" s="93"/>
      <c r="J5" s="93"/>
      <c r="K5" s="93"/>
      <c r="L5" s="93"/>
    </row>
    <row r="6" spans="1:12" x14ac:dyDescent="0.25">
      <c r="B6" s="90"/>
      <c r="C6" s="90"/>
      <c r="D6" s="90"/>
      <c r="E6" s="90"/>
      <c r="F6" s="90"/>
      <c r="H6" s="93"/>
      <c r="I6" s="94">
        <v>60</v>
      </c>
      <c r="J6" s="95" t="s">
        <v>116</v>
      </c>
      <c r="K6" s="95"/>
      <c r="L6" s="93"/>
    </row>
    <row r="7" spans="1:12" x14ac:dyDescent="0.25">
      <c r="B7" s="90"/>
      <c r="C7" s="90"/>
      <c r="D7" s="90"/>
      <c r="E7" s="90"/>
      <c r="F7" s="90"/>
      <c r="H7" s="93"/>
      <c r="I7" s="96" t="s">
        <v>117</v>
      </c>
      <c r="J7" s="93"/>
      <c r="K7" s="93"/>
      <c r="L7" s="93"/>
    </row>
    <row r="8" spans="1:12" x14ac:dyDescent="0.25">
      <c r="B8" s="90"/>
      <c r="C8" s="90"/>
      <c r="D8" s="90"/>
      <c r="E8" s="90"/>
      <c r="F8" s="90"/>
      <c r="H8" s="93"/>
      <c r="I8" s="93"/>
      <c r="J8" s="93"/>
      <c r="K8" s="93"/>
      <c r="L8" s="93"/>
    </row>
    <row r="10" spans="1:12" ht="13" x14ac:dyDescent="0.3">
      <c r="B10" s="98" t="s">
        <v>122</v>
      </c>
      <c r="C10" s="99"/>
      <c r="D10" s="99"/>
      <c r="E10" s="99"/>
      <c r="F10" s="99"/>
      <c r="H10" s="98" t="s">
        <v>121</v>
      </c>
      <c r="I10" s="99"/>
      <c r="J10" s="99"/>
      <c r="K10" s="99"/>
      <c r="L10" s="99"/>
    </row>
    <row r="11" spans="1:12" x14ac:dyDescent="0.25">
      <c r="B11" s="100"/>
      <c r="C11" s="100"/>
      <c r="D11" s="100"/>
      <c r="E11" s="100"/>
      <c r="F11" s="100"/>
      <c r="H11" s="100"/>
      <c r="I11" s="100"/>
      <c r="J11" s="100"/>
      <c r="K11" s="100"/>
      <c r="L11" s="100"/>
    </row>
    <row r="12" spans="1:12" x14ac:dyDescent="0.25">
      <c r="B12" s="100"/>
      <c r="C12" s="104" t="s">
        <v>119</v>
      </c>
      <c r="D12" s="104" t="s">
        <v>21</v>
      </c>
      <c r="E12" s="104" t="s">
        <v>22</v>
      </c>
      <c r="F12" s="100"/>
      <c r="H12" s="100"/>
      <c r="I12" s="104" t="s">
        <v>119</v>
      </c>
      <c r="J12" s="104" t="s">
        <v>21</v>
      </c>
      <c r="K12" s="104" t="s">
        <v>22</v>
      </c>
      <c r="L12" s="100"/>
    </row>
    <row r="13" spans="1:12" x14ac:dyDescent="0.25">
      <c r="B13" s="100"/>
      <c r="C13" s="100"/>
      <c r="D13" s="100"/>
      <c r="E13" s="100"/>
      <c r="F13" s="100"/>
      <c r="H13" s="100"/>
      <c r="I13" s="100"/>
      <c r="J13" s="100"/>
      <c r="K13" s="100"/>
      <c r="L13" s="100"/>
    </row>
    <row r="14" spans="1:12" x14ac:dyDescent="0.25">
      <c r="B14" s="100"/>
      <c r="C14" s="100" t="s">
        <v>110</v>
      </c>
      <c r="D14" s="107">
        <f>Standard!M68</f>
        <v>512.43465834364304</v>
      </c>
      <c r="E14" s="108">
        <f>Standard!O68</f>
        <v>14.653189614825321</v>
      </c>
      <c r="F14" s="103"/>
      <c r="H14" s="100"/>
      <c r="I14" s="100" t="s">
        <v>110</v>
      </c>
      <c r="J14" s="107">
        <f>Simulation!R1007</f>
        <v>514.00195136797322</v>
      </c>
      <c r="K14" s="108">
        <f>Simulation!Q1007</f>
        <v>14.645752722744454</v>
      </c>
      <c r="L14" s="103"/>
    </row>
    <row r="15" spans="1:12" x14ac:dyDescent="0.25">
      <c r="B15" s="100"/>
      <c r="C15" s="100" t="s">
        <v>87</v>
      </c>
      <c r="D15" s="107">
        <f>'NP1'!M68</f>
        <v>610.31181775758273</v>
      </c>
      <c r="E15" s="108">
        <f>'NP1'!O68</f>
        <v>14.697709857306155</v>
      </c>
      <c r="F15" s="103"/>
      <c r="H15" s="100"/>
      <c r="I15" s="100" t="s">
        <v>87</v>
      </c>
      <c r="J15" s="107">
        <f>Simulation!T1007</f>
        <v>612.37758104588511</v>
      </c>
      <c r="K15" s="108">
        <f>Simulation!S1007</f>
        <v>14.690409452157793</v>
      </c>
      <c r="L15" s="103"/>
    </row>
    <row r="16" spans="1:12" x14ac:dyDescent="0.25">
      <c r="B16" s="100"/>
      <c r="C16" s="100" t="s">
        <v>88</v>
      </c>
      <c r="D16" s="107">
        <f>'NP2'!M68</f>
        <v>810.67258994528129</v>
      </c>
      <c r="E16" s="108">
        <f>'NP2'!O68</f>
        <v>14.702135706967953</v>
      </c>
      <c r="F16" s="103"/>
      <c r="H16" s="100"/>
      <c r="I16" s="100" t="s">
        <v>88</v>
      </c>
      <c r="J16" s="107">
        <f>Simulation!V1007</f>
        <v>814.0450435855422</v>
      </c>
      <c r="K16" s="108">
        <f>Simulation!U1007</f>
        <v>14.694291648798991</v>
      </c>
      <c r="L16" s="103"/>
    </row>
    <row r="17" spans="2:12" x14ac:dyDescent="0.25">
      <c r="B17" s="100"/>
      <c r="C17" s="100"/>
      <c r="D17" s="101"/>
      <c r="E17" s="102"/>
      <c r="F17" s="103"/>
      <c r="H17" s="100"/>
      <c r="I17" s="100"/>
      <c r="J17" s="101"/>
      <c r="K17" s="102"/>
      <c r="L17" s="103"/>
    </row>
    <row r="18" spans="2:12" x14ac:dyDescent="0.25">
      <c r="B18" s="100"/>
      <c r="C18" s="100" t="s">
        <v>123</v>
      </c>
      <c r="D18" s="101"/>
      <c r="E18" s="102"/>
      <c r="F18" s="103"/>
      <c r="H18" s="100"/>
      <c r="I18" s="100" t="s">
        <v>123</v>
      </c>
      <c r="J18" s="101"/>
      <c r="K18" s="102"/>
      <c r="L18" s="103"/>
    </row>
    <row r="19" spans="2:12" x14ac:dyDescent="0.25">
      <c r="B19" s="100"/>
      <c r="C19" s="100" t="s">
        <v>124</v>
      </c>
      <c r="D19" s="107">
        <f>(D15-D14)/(E15-E14)</f>
        <v>2198.486664938448</v>
      </c>
      <c r="E19" s="104" t="s">
        <v>120</v>
      </c>
      <c r="F19" s="100"/>
      <c r="H19" s="100"/>
      <c r="I19" s="100" t="s">
        <v>124</v>
      </c>
      <c r="J19" s="107">
        <f>(J15-J14)/(K15-K14)</f>
        <v>2202.9295689649916</v>
      </c>
      <c r="K19" s="104" t="s">
        <v>120</v>
      </c>
      <c r="L19" s="100"/>
    </row>
    <row r="20" spans="2:12" x14ac:dyDescent="0.25">
      <c r="B20" s="100"/>
      <c r="C20" s="100" t="s">
        <v>125</v>
      </c>
      <c r="D20" s="107">
        <f>(D16-D14)/(E16-E14)</f>
        <v>6093.1918881808451</v>
      </c>
      <c r="E20" s="104" t="s">
        <v>120</v>
      </c>
      <c r="F20" s="100"/>
      <c r="H20" s="100"/>
      <c r="I20" s="100" t="s">
        <v>125</v>
      </c>
      <c r="J20" s="107">
        <f>(J16-J14)/(K16-K14)</f>
        <v>6181.4942481514745</v>
      </c>
      <c r="K20" s="104" t="s">
        <v>120</v>
      </c>
      <c r="L20" s="100"/>
    </row>
    <row r="21" spans="2:12" x14ac:dyDescent="0.25">
      <c r="B21" s="100"/>
      <c r="C21" s="100" t="s">
        <v>126</v>
      </c>
      <c r="D21" s="107">
        <f>(D16-D15)/(E16-E15)</f>
        <v>45270.577967687925</v>
      </c>
      <c r="E21" s="104" t="s">
        <v>120</v>
      </c>
      <c r="F21" s="100"/>
      <c r="H21" s="100"/>
      <c r="I21" s="100" t="s">
        <v>126</v>
      </c>
      <c r="J21" s="107">
        <f>(J16-J15)/(K16-K15)</f>
        <v>51946.740770298886</v>
      </c>
      <c r="K21" s="104" t="s">
        <v>120</v>
      </c>
      <c r="L21" s="100"/>
    </row>
    <row r="22" spans="2:12" x14ac:dyDescent="0.25">
      <c r="B22" s="100"/>
      <c r="C22" s="100"/>
      <c r="D22" s="105"/>
      <c r="E22" s="100"/>
      <c r="F22" s="100"/>
      <c r="H22" s="100"/>
      <c r="I22" s="100"/>
      <c r="J22" s="105"/>
      <c r="K22" s="100"/>
      <c r="L22" s="100"/>
    </row>
  </sheetData>
  <phoneticPr fontId="0" type="noConversion"/>
  <conditionalFormatting sqref="I6">
    <cfRule type="cellIs" priority="1" stopIfTrue="1" operator="between">
      <formula>40</formula>
      <formula>90</formula>
    </cfRule>
  </conditionalFormatting>
  <dataValidations count="1">
    <dataValidation type="whole" allowBlank="1" showInputMessage="1" showErrorMessage="1" sqref="I6">
      <formula1>40</formula1>
      <formula2>90</formula2>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49" r:id="rId4" name="Group Box 1">
              <controlPr defaultSize="0" autoFill="0" autoPict="0">
                <anchor moveWithCells="1">
                  <from>
                    <xdr:col>1</xdr:col>
                    <xdr:colOff>387350</xdr:colOff>
                    <xdr:row>4</xdr:row>
                    <xdr:rowOff>25400</xdr:rowOff>
                  </from>
                  <to>
                    <xdr:col>4</xdr:col>
                    <xdr:colOff>355600</xdr:colOff>
                    <xdr:row>7</xdr:row>
                    <xdr:rowOff>82550</xdr:rowOff>
                  </to>
                </anchor>
              </controlPr>
            </control>
          </mc:Choice>
        </mc:AlternateContent>
        <mc:AlternateContent xmlns:mc="http://schemas.openxmlformats.org/markup-compatibility/2006">
          <mc:Choice Requires="x14">
            <control shapeId="27650" r:id="rId5" name="Option Button 2">
              <controlPr defaultSize="0" autoFill="0" autoLine="0" autoPict="0">
                <anchor moveWithCells="1">
                  <from>
                    <xdr:col>1</xdr:col>
                    <xdr:colOff>520700</xdr:colOff>
                    <xdr:row>4</xdr:row>
                    <xdr:rowOff>63500</xdr:rowOff>
                  </from>
                  <to>
                    <xdr:col>3</xdr:col>
                    <xdr:colOff>393700</xdr:colOff>
                    <xdr:row>5</xdr:row>
                    <xdr:rowOff>114300</xdr:rowOff>
                  </to>
                </anchor>
              </controlPr>
            </control>
          </mc:Choice>
        </mc:AlternateContent>
        <mc:AlternateContent xmlns:mc="http://schemas.openxmlformats.org/markup-compatibility/2006">
          <mc:Choice Requires="x14">
            <control shapeId="27651" r:id="rId6" name="Option Button 3">
              <controlPr defaultSize="0" autoFill="0" autoLine="0" autoPict="0">
                <anchor moveWithCells="1">
                  <from>
                    <xdr:col>1</xdr:col>
                    <xdr:colOff>520700</xdr:colOff>
                    <xdr:row>5</xdr:row>
                    <xdr:rowOff>139700</xdr:rowOff>
                  </from>
                  <to>
                    <xdr:col>3</xdr:col>
                    <xdr:colOff>393700</xdr:colOff>
                    <xdr:row>7</xdr:row>
                    <xdr:rowOff>25400</xdr:rowOff>
                  </to>
                </anchor>
              </controlPr>
            </control>
          </mc:Choice>
        </mc:AlternateContent>
        <mc:AlternateContent xmlns:mc="http://schemas.openxmlformats.org/markup-compatibility/2006">
          <mc:Choice Requires="x14">
            <control shapeId="27652" r:id="rId7" name="Button 4">
              <controlPr defaultSize="0" print="0" autoFill="0" autoPict="0" macro="[0]!Analysis">
                <anchor moveWithCells="1" sizeWithCells="1">
                  <from>
                    <xdr:col>9</xdr:col>
                    <xdr:colOff>508000</xdr:colOff>
                    <xdr:row>9</xdr:row>
                    <xdr:rowOff>50800</xdr:rowOff>
                  </from>
                  <to>
                    <xdr:col>11</xdr:col>
                    <xdr:colOff>495300</xdr:colOff>
                    <xdr:row>10</xdr:row>
                    <xdr:rowOff>120650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S43"/>
  <sheetViews>
    <sheetView workbookViewId="0">
      <pane ySplit="6" topLeftCell="A14" activePane="bottomLeft" state="frozen"/>
      <selection pane="bottomLeft" activeCell="A2" sqref="A2"/>
    </sheetView>
  </sheetViews>
  <sheetFormatPr defaultRowHeight="12.5" x14ac:dyDescent="0.25"/>
  <cols>
    <col min="1" max="1" width="14.1796875" customWidth="1"/>
    <col min="2" max="2" width="11" customWidth="1"/>
    <col min="3" max="5" width="12.453125" customWidth="1"/>
    <col min="6" max="6" width="12.453125" style="112" customWidth="1"/>
    <col min="7" max="8" width="12.453125" customWidth="1"/>
    <col min="9" max="9" width="9.54296875" customWidth="1"/>
    <col min="11" max="11" width="10.81640625" customWidth="1"/>
    <col min="13" max="13" width="9.26953125" customWidth="1"/>
    <col min="14" max="14" width="11.453125" bestFit="1" customWidth="1"/>
    <col min="16" max="16" width="2.26953125" customWidth="1"/>
    <col min="18" max="18" width="9.7265625" customWidth="1"/>
    <col min="19" max="19" width="10.453125" bestFit="1" customWidth="1"/>
  </cols>
  <sheetData>
    <row r="1" spans="1:19" ht="15.5" x14ac:dyDescent="0.35">
      <c r="A1" s="6" t="s">
        <v>83</v>
      </c>
      <c r="I1" s="140"/>
      <c r="J1" s="140"/>
      <c r="K1" s="141" t="s">
        <v>31</v>
      </c>
      <c r="L1" s="140"/>
      <c r="M1" s="140"/>
    </row>
    <row r="2" spans="1:19" s="61" customFormat="1" ht="13.5" thickBot="1" x14ac:dyDescent="0.35">
      <c r="A2" s="7"/>
      <c r="F2" s="113"/>
      <c r="I2" s="142"/>
      <c r="J2" s="142"/>
      <c r="K2" s="141" t="s">
        <v>153</v>
      </c>
      <c r="L2" s="142"/>
      <c r="M2" s="142"/>
    </row>
    <row r="3" spans="1:19" s="61" customFormat="1" ht="13.5" thickBot="1" x14ac:dyDescent="0.35">
      <c r="A3" s="7"/>
      <c r="B3" s="48">
        <v>2</v>
      </c>
      <c r="D3" s="111">
        <v>0</v>
      </c>
      <c r="E3" s="109" t="s">
        <v>105</v>
      </c>
      <c r="F3" s="114"/>
      <c r="I3" s="142"/>
      <c r="J3" s="142"/>
      <c r="K3" s="143" t="s">
        <v>5</v>
      </c>
      <c r="L3" s="142"/>
      <c r="M3" s="142"/>
    </row>
    <row r="4" spans="1:19" s="61" customFormat="1" ht="13" x14ac:dyDescent="0.3">
      <c r="A4" s="7"/>
      <c r="F4" s="113"/>
      <c r="I4" s="142"/>
      <c r="J4" s="142"/>
      <c r="K4" s="143" t="s">
        <v>6</v>
      </c>
      <c r="L4" s="142"/>
      <c r="M4" s="142"/>
    </row>
    <row r="5" spans="1:19" ht="15.5" x14ac:dyDescent="0.35">
      <c r="A5" s="6"/>
      <c r="D5" s="148" t="s">
        <v>147</v>
      </c>
      <c r="E5" s="148"/>
      <c r="F5" s="148"/>
      <c r="G5" s="148"/>
      <c r="H5" s="148"/>
      <c r="I5" s="140"/>
      <c r="J5" s="140"/>
      <c r="K5" s="144" t="s">
        <v>32</v>
      </c>
      <c r="L5" s="140"/>
      <c r="M5" s="140"/>
    </row>
    <row r="6" spans="1:19" ht="13" x14ac:dyDescent="0.3">
      <c r="A6" s="7" t="s">
        <v>146</v>
      </c>
      <c r="B6" s="110" t="s">
        <v>33</v>
      </c>
      <c r="C6" s="110" t="s">
        <v>142</v>
      </c>
      <c r="D6" s="110" t="s">
        <v>81</v>
      </c>
      <c r="E6" s="110" t="s">
        <v>141</v>
      </c>
      <c r="F6" s="110" t="s">
        <v>37</v>
      </c>
      <c r="G6" s="110" t="s">
        <v>35</v>
      </c>
      <c r="H6" s="110" t="s">
        <v>36</v>
      </c>
      <c r="I6" s="21" t="s">
        <v>40</v>
      </c>
    </row>
    <row r="7" spans="1:19" x14ac:dyDescent="0.25">
      <c r="N7" s="13"/>
      <c r="O7" s="13"/>
      <c r="P7" s="13"/>
      <c r="Q7" s="12"/>
    </row>
    <row r="8" spans="1:19" ht="13" x14ac:dyDescent="0.3">
      <c r="A8" t="s">
        <v>7</v>
      </c>
      <c r="B8" s="48">
        <f>Analysis!$I$6</f>
        <v>60</v>
      </c>
      <c r="C8" s="48"/>
      <c r="E8" s="16"/>
      <c r="F8" s="115"/>
      <c r="G8" s="16"/>
      <c r="H8" s="16"/>
      <c r="I8" s="22" t="s">
        <v>8</v>
      </c>
      <c r="J8" s="13"/>
      <c r="K8" s="13"/>
      <c r="L8" s="13"/>
      <c r="M8" s="14"/>
      <c r="N8" s="13"/>
      <c r="O8" s="13"/>
      <c r="P8" s="13"/>
      <c r="Q8" s="12"/>
    </row>
    <row r="9" spans="1:19" ht="13" x14ac:dyDescent="0.3">
      <c r="A9" t="s">
        <v>44</v>
      </c>
      <c r="B9" s="48">
        <f>IF(B3=2,0,1)</f>
        <v>0</v>
      </c>
      <c r="E9" s="32"/>
      <c r="F9" s="116"/>
      <c r="G9" s="32"/>
      <c r="H9" s="32"/>
      <c r="I9" s="22" t="s">
        <v>82</v>
      </c>
      <c r="J9" s="13"/>
      <c r="K9" s="13"/>
      <c r="L9" s="13"/>
      <c r="M9" s="14"/>
    </row>
    <row r="10" spans="1:19" ht="13" x14ac:dyDescent="0.3">
      <c r="B10" s="48"/>
      <c r="C10" s="48"/>
      <c r="E10" s="32"/>
      <c r="F10" s="116"/>
      <c r="G10" s="32"/>
      <c r="H10" s="32"/>
      <c r="I10" s="22"/>
      <c r="J10" s="13"/>
      <c r="K10" s="13"/>
      <c r="L10" s="13"/>
      <c r="M10" s="14"/>
    </row>
    <row r="11" spans="1:19" x14ac:dyDescent="0.25">
      <c r="A11" s="22" t="s">
        <v>17</v>
      </c>
      <c r="B11" s="62">
        <v>0.06</v>
      </c>
      <c r="C11" s="10"/>
      <c r="E11" s="10"/>
      <c r="F11" s="117"/>
      <c r="G11" s="10"/>
      <c r="H11" s="10"/>
      <c r="I11" s="22" t="s">
        <v>18</v>
      </c>
      <c r="N11" s="13"/>
      <c r="O11" s="13"/>
      <c r="P11" s="13"/>
      <c r="Q11" s="12"/>
    </row>
    <row r="12" spans="1:19" x14ac:dyDescent="0.25">
      <c r="A12" s="22" t="s">
        <v>19</v>
      </c>
      <c r="B12" s="62">
        <v>1.4999999999999999E-2</v>
      </c>
      <c r="C12" s="10"/>
      <c r="E12" s="10"/>
      <c r="F12" s="117"/>
      <c r="G12" s="10"/>
      <c r="H12" s="10"/>
      <c r="I12" s="22" t="s">
        <v>20</v>
      </c>
      <c r="O12" s="13"/>
      <c r="P12" s="13"/>
      <c r="Q12" s="12"/>
    </row>
    <row r="13" spans="1:19" x14ac:dyDescent="0.25">
      <c r="I13" s="9"/>
      <c r="J13" s="13"/>
      <c r="K13" s="13"/>
      <c r="L13" s="13"/>
      <c r="M13" s="14"/>
      <c r="O13" s="13"/>
      <c r="P13" s="13"/>
      <c r="Q13" s="12"/>
    </row>
    <row r="14" spans="1:19" ht="13" x14ac:dyDescent="0.3">
      <c r="A14" s="15" t="s">
        <v>145</v>
      </c>
      <c r="I14" s="9"/>
      <c r="J14" s="13"/>
      <c r="K14" s="13"/>
      <c r="L14" s="13"/>
      <c r="M14" s="14"/>
      <c r="O14" s="67"/>
      <c r="P14" s="67"/>
      <c r="Q14" s="69"/>
      <c r="R14" s="35"/>
      <c r="S14" s="35"/>
    </row>
    <row r="15" spans="1:19" ht="13" x14ac:dyDescent="0.3">
      <c r="A15" s="15"/>
      <c r="I15" s="9"/>
      <c r="J15" s="13"/>
      <c r="K15" s="13"/>
      <c r="L15" s="13"/>
      <c r="M15" s="14"/>
      <c r="O15" s="67"/>
      <c r="P15" s="67"/>
      <c r="Q15" s="69"/>
      <c r="R15" s="35"/>
      <c r="S15" s="35"/>
    </row>
    <row r="16" spans="1:19" s="35" customFormat="1" x14ac:dyDescent="0.25">
      <c r="A16" s="36" t="s">
        <v>9</v>
      </c>
      <c r="B16" s="122">
        <f>IF($D$3=0,D16,C16)</f>
        <v>0.02</v>
      </c>
      <c r="C16" s="122">
        <f ca="1">BETAINV(RAND(),$G$16,$H$16)</f>
        <v>1.3365137344302031E-4</v>
      </c>
      <c r="D16" s="122">
        <f>G16/(G16+H16)</f>
        <v>0.02</v>
      </c>
      <c r="E16" s="147">
        <f>SQRT(G16*H16/((G16+H16)^2*(G16+H16+1)))</f>
        <v>1.3930520662939847E-2</v>
      </c>
      <c r="F16" s="123" t="s">
        <v>69</v>
      </c>
      <c r="G16" s="125">
        <v>2</v>
      </c>
      <c r="H16" s="125">
        <v>98</v>
      </c>
      <c r="I16" s="35" t="s">
        <v>85</v>
      </c>
      <c r="J16" s="67"/>
      <c r="K16" s="67"/>
      <c r="L16" s="67"/>
      <c r="M16" s="68"/>
      <c r="O16" s="70"/>
      <c r="P16" s="70"/>
      <c r="Q16" s="71"/>
      <c r="R16" s="70"/>
      <c r="S16" s="70"/>
    </row>
    <row r="17" spans="1:19" s="35" customFormat="1" x14ac:dyDescent="0.25">
      <c r="A17" s="36" t="s">
        <v>10</v>
      </c>
      <c r="B17" s="122">
        <f>IF($D$3=0,D17,C17)</f>
        <v>0.02</v>
      </c>
      <c r="C17" s="122">
        <f ca="1">BETAINV(RAND(),$G$17,$H$17)</f>
        <v>1.2326903412832461E-2</v>
      </c>
      <c r="D17" s="122">
        <f>G17/(G17+H17)</f>
        <v>0.02</v>
      </c>
      <c r="E17" s="147">
        <f>SQRT(G17*H17/((G17+H17)^2*(G17+H17+1)))</f>
        <v>1.3930520662939847E-2</v>
      </c>
      <c r="F17" s="123" t="s">
        <v>69</v>
      </c>
      <c r="G17" s="125">
        <v>2</v>
      </c>
      <c r="H17" s="125">
        <v>98</v>
      </c>
      <c r="I17" s="35" t="s">
        <v>86</v>
      </c>
      <c r="J17" s="67"/>
      <c r="K17" s="67"/>
      <c r="L17" s="67"/>
      <c r="M17" s="68"/>
      <c r="N17" s="70"/>
      <c r="O17" s="70"/>
      <c r="P17" s="70"/>
      <c r="Q17" s="70"/>
      <c r="R17" s="70"/>
      <c r="S17" s="70"/>
    </row>
    <row r="18" spans="1:19" s="35" customFormat="1" x14ac:dyDescent="0.25">
      <c r="A18" s="35" t="s">
        <v>11</v>
      </c>
      <c r="B18" s="122">
        <f>IF($D$3=0,D18,C18)</f>
        <v>0.04</v>
      </c>
      <c r="C18" s="122">
        <f ca="1">BETAINV(RAND(),$G$18,$H$18)</f>
        <v>3.7222077177422319E-2</v>
      </c>
      <c r="D18" s="122">
        <f>G18/(G18+H18)</f>
        <v>0.04</v>
      </c>
      <c r="E18" s="147">
        <f>SQRT(G18*H18/((G18+H18)^2*(G18+H18+1)))</f>
        <v>1.9498667128857301E-2</v>
      </c>
      <c r="F18" s="123" t="s">
        <v>69</v>
      </c>
      <c r="G18" s="125">
        <v>4</v>
      </c>
      <c r="H18" s="125">
        <v>96</v>
      </c>
      <c r="I18" s="35" t="s">
        <v>91</v>
      </c>
      <c r="J18" s="67"/>
      <c r="K18" s="67"/>
      <c r="L18" s="67"/>
      <c r="M18" s="68"/>
      <c r="N18" s="70"/>
      <c r="O18" s="70"/>
      <c r="P18" s="70"/>
      <c r="Q18" s="70"/>
      <c r="R18" s="70"/>
      <c r="S18" s="70"/>
    </row>
    <row r="19" spans="1:19" x14ac:dyDescent="0.25">
      <c r="N19" s="13"/>
      <c r="O19" s="13"/>
      <c r="P19" s="13"/>
      <c r="Q19" s="31"/>
      <c r="R19" s="1"/>
      <c r="S19" s="1"/>
    </row>
    <row r="20" spans="1:19" ht="13" x14ac:dyDescent="0.3">
      <c r="A20" s="3" t="s">
        <v>144</v>
      </c>
      <c r="I20" s="9"/>
      <c r="J20" s="13"/>
      <c r="K20" s="13"/>
      <c r="L20" s="13"/>
      <c r="M20" s="14"/>
      <c r="N20" s="67"/>
      <c r="O20" s="67"/>
      <c r="P20" s="67"/>
      <c r="Q20" s="67"/>
      <c r="R20" s="72"/>
      <c r="S20" s="72"/>
    </row>
    <row r="21" spans="1:19" ht="13" x14ac:dyDescent="0.3">
      <c r="A21" s="3"/>
      <c r="I21" s="9"/>
      <c r="J21" s="13"/>
      <c r="K21" s="13"/>
      <c r="L21" s="13"/>
      <c r="M21" s="14"/>
      <c r="N21" s="67"/>
      <c r="O21" s="67"/>
      <c r="P21" s="67"/>
      <c r="Q21" s="67"/>
      <c r="R21" s="72"/>
      <c r="S21" s="72"/>
    </row>
    <row r="22" spans="1:19" s="35" customFormat="1" x14ac:dyDescent="0.25">
      <c r="A22" s="35" t="s">
        <v>95</v>
      </c>
      <c r="B22" s="122">
        <f>IF($D$3=0,D22,C22)</f>
        <v>-5.4909350000000003</v>
      </c>
      <c r="C22" s="122">
        <f ca="1">'Hazard function'!G37</f>
        <v>-5.6721602091002081</v>
      </c>
      <c r="D22" s="122">
        <f>'Hazard function'!C7</f>
        <v>-5.4909350000000003</v>
      </c>
      <c r="E22" s="122">
        <f>'Hazard function'!D7</f>
        <v>0.20789199999999999</v>
      </c>
      <c r="F22" s="123" t="s">
        <v>54</v>
      </c>
      <c r="G22" s="38"/>
      <c r="H22" s="38"/>
      <c r="I22" s="35" t="s">
        <v>96</v>
      </c>
      <c r="J22" s="67"/>
      <c r="K22" s="67"/>
      <c r="L22" s="67"/>
      <c r="M22" s="68"/>
      <c r="N22" s="67"/>
      <c r="O22" s="67"/>
      <c r="P22" s="67"/>
      <c r="Q22" s="67"/>
      <c r="R22" s="72"/>
      <c r="S22" s="72"/>
    </row>
    <row r="23" spans="1:19" s="35" customFormat="1" x14ac:dyDescent="0.25">
      <c r="A23" s="63" t="s">
        <v>50</v>
      </c>
      <c r="B23" s="122">
        <f>IF($D$3=0,D23,C23)</f>
        <v>-3.6702199999999997E-2</v>
      </c>
      <c r="C23" s="122">
        <f ca="1">'Hazard function'!G38</f>
        <v>-3.012912362373333E-2</v>
      </c>
      <c r="D23" s="122">
        <f>'Hazard function'!C8</f>
        <v>-3.6702199999999997E-2</v>
      </c>
      <c r="E23" s="122">
        <f>'Hazard function'!D8</f>
        <v>5.2112E-3</v>
      </c>
      <c r="F23" s="123" t="s">
        <v>54</v>
      </c>
      <c r="G23" s="38"/>
      <c r="H23" s="38"/>
      <c r="I23" s="35" t="s">
        <v>97</v>
      </c>
      <c r="J23" s="67"/>
      <c r="K23" s="67"/>
      <c r="L23" s="67"/>
      <c r="M23" s="68"/>
      <c r="N23" s="73"/>
      <c r="O23" s="73"/>
      <c r="P23" s="73"/>
      <c r="Q23" s="73"/>
      <c r="R23" s="75"/>
      <c r="S23" s="75"/>
    </row>
    <row r="24" spans="1:19" s="35" customFormat="1" x14ac:dyDescent="0.25">
      <c r="A24" s="63" t="s">
        <v>94</v>
      </c>
      <c r="B24" s="122">
        <f>IF($D$3=0,D24,C24)</f>
        <v>0.768536</v>
      </c>
      <c r="C24" s="122">
        <f ca="1">'Hazard function'!G39</f>
        <v>0.61847623236446858</v>
      </c>
      <c r="D24" s="122">
        <f>'Hazard function'!C9</f>
        <v>0.768536</v>
      </c>
      <c r="E24" s="122">
        <f>'Hazard function'!D9</f>
        <v>0.109066</v>
      </c>
      <c r="F24" s="123" t="s">
        <v>54</v>
      </c>
      <c r="G24" s="38"/>
      <c r="H24" s="38"/>
      <c r="I24" s="35" t="s">
        <v>98</v>
      </c>
      <c r="J24" s="67"/>
      <c r="K24" s="67"/>
      <c r="L24" s="67"/>
      <c r="M24" s="68"/>
      <c r="N24" s="67"/>
      <c r="O24" s="67"/>
      <c r="P24" s="67"/>
      <c r="Q24" s="67"/>
      <c r="R24" s="72"/>
      <c r="S24" s="72"/>
    </row>
    <row r="25" spans="1:19" s="66" customFormat="1" x14ac:dyDescent="0.25">
      <c r="A25" s="64" t="s">
        <v>127</v>
      </c>
      <c r="B25" s="145">
        <f>EXP(cons+ageC*age+maleC*male)</f>
        <v>4.5597754184620288E-4</v>
      </c>
      <c r="C25" s="38"/>
      <c r="D25" s="38"/>
      <c r="E25" s="38"/>
      <c r="F25" s="124"/>
      <c r="G25" s="65"/>
      <c r="H25" s="65"/>
      <c r="I25" s="66" t="s">
        <v>128</v>
      </c>
      <c r="J25" s="73"/>
      <c r="K25" s="73"/>
      <c r="L25" s="73"/>
      <c r="M25" s="74"/>
      <c r="N25" s="17"/>
      <c r="O25" s="17"/>
      <c r="P25" s="17"/>
      <c r="Q25" s="18"/>
      <c r="R25" s="19"/>
      <c r="S25" s="19"/>
    </row>
    <row r="26" spans="1:19" s="35" customFormat="1" x14ac:dyDescent="0.25">
      <c r="A26" s="63" t="s">
        <v>129</v>
      </c>
      <c r="B26" s="122">
        <f>EXP(IF($D$3=0,D26,C26))</f>
        <v>1.4536778596632325</v>
      </c>
      <c r="C26" s="122">
        <f ca="1">'Hazard function'!G36</f>
        <v>0.39238003102256669</v>
      </c>
      <c r="D26" s="122">
        <f>'Hazard function'!C6</f>
        <v>0.37409680000000001</v>
      </c>
      <c r="E26" s="122">
        <f>'Hazard function'!D6</f>
        <v>4.7450100000000002E-2</v>
      </c>
      <c r="F26" s="123" t="s">
        <v>54</v>
      </c>
      <c r="G26" s="38"/>
      <c r="H26" s="38"/>
      <c r="I26" s="35" t="s">
        <v>143</v>
      </c>
      <c r="J26" s="67"/>
      <c r="K26" s="67"/>
      <c r="L26" s="67"/>
      <c r="M26" s="68"/>
      <c r="N26" s="17"/>
      <c r="O26" s="17"/>
      <c r="P26" s="17"/>
      <c r="Q26" s="18"/>
      <c r="R26" s="19"/>
      <c r="S26" s="19"/>
    </row>
    <row r="27" spans="1:19" s="35" customFormat="1" x14ac:dyDescent="0.25">
      <c r="A27" s="35" t="s">
        <v>92</v>
      </c>
      <c r="B27" s="122">
        <f>IF($D$3=0,D27,C27)</f>
        <v>0.26067678779517234</v>
      </c>
      <c r="C27" s="122">
        <f ca="1">EXP('Hazard function'!G40)</f>
        <v>0.42923224534862109</v>
      </c>
      <c r="D27" s="122">
        <f>EXP('Hazard function'!C10)</f>
        <v>0.26067678779517234</v>
      </c>
      <c r="E27" s="122">
        <f>'Hazard function'!D10</f>
        <v>0.38258150000000002</v>
      </c>
      <c r="F27" s="123" t="s">
        <v>54</v>
      </c>
      <c r="H27" s="38"/>
      <c r="I27" s="35" t="s">
        <v>89</v>
      </c>
      <c r="J27" s="67"/>
      <c r="K27" s="67"/>
      <c r="L27" s="67"/>
      <c r="M27" s="68"/>
      <c r="N27"/>
      <c r="O27"/>
      <c r="P27"/>
      <c r="Q27"/>
      <c r="R27"/>
      <c r="S27"/>
    </row>
    <row r="28" spans="1:19" s="35" customFormat="1" x14ac:dyDescent="0.25">
      <c r="A28" s="35" t="s">
        <v>93</v>
      </c>
      <c r="B28" s="122">
        <f>IF($D$3=0,D28,C28)</f>
        <v>0.1884919459617998</v>
      </c>
      <c r="C28" s="122">
        <f ca="1">EXP('Hazard function'!G41)</f>
        <v>0.11686616852878137</v>
      </c>
      <c r="D28" s="122">
        <f>EXP('Hazard function'!C11)</f>
        <v>0.1884919459617998</v>
      </c>
      <c r="E28" s="122">
        <f>'Hazard function'!D11</f>
        <v>0.51765300000000003</v>
      </c>
      <c r="F28" s="123" t="s">
        <v>54</v>
      </c>
      <c r="H28" s="38"/>
      <c r="I28" s="35" t="s">
        <v>90</v>
      </c>
      <c r="J28" s="67"/>
      <c r="K28" s="67"/>
      <c r="L28" s="67"/>
      <c r="M28" s="68"/>
      <c r="N28" s="13"/>
      <c r="O28" s="13"/>
      <c r="P28" s="13"/>
      <c r="Q28" s="31"/>
      <c r="R28" s="1"/>
      <c r="S28" s="1"/>
    </row>
    <row r="29" spans="1:19" x14ac:dyDescent="0.25">
      <c r="B29" s="8"/>
      <c r="C29" s="8"/>
      <c r="D29" s="8"/>
      <c r="E29" s="8"/>
      <c r="F29" s="118"/>
      <c r="G29" s="8"/>
      <c r="H29" s="8"/>
      <c r="J29" s="34"/>
      <c r="K29" s="34"/>
      <c r="L29" s="13"/>
      <c r="M29" s="14"/>
    </row>
    <row r="30" spans="1:19" ht="13" x14ac:dyDescent="0.3">
      <c r="A30" s="15" t="s">
        <v>58</v>
      </c>
      <c r="B30" s="8"/>
      <c r="C30" s="8"/>
      <c r="D30" s="8"/>
      <c r="E30" s="8"/>
      <c r="F30" s="118"/>
      <c r="G30" s="8"/>
      <c r="H30" s="8"/>
      <c r="J30" s="34"/>
      <c r="K30" s="34"/>
      <c r="L30" s="13"/>
      <c r="M30" s="14"/>
      <c r="N30" s="70"/>
      <c r="O30" s="70"/>
      <c r="P30" s="70"/>
      <c r="Q30" s="71"/>
      <c r="R30" s="70"/>
      <c r="S30" s="70"/>
    </row>
    <row r="31" spans="1:19" x14ac:dyDescent="0.25">
      <c r="N31" s="70"/>
      <c r="O31" s="70"/>
      <c r="P31" s="70"/>
      <c r="Q31" s="71"/>
      <c r="R31" s="70"/>
      <c r="S31" s="70"/>
    </row>
    <row r="32" spans="1:19" s="35" customFormat="1" x14ac:dyDescent="0.25">
      <c r="A32" s="35" t="s">
        <v>12</v>
      </c>
      <c r="B32" s="51">
        <v>0</v>
      </c>
      <c r="C32" s="37"/>
      <c r="D32" s="37"/>
      <c r="E32" s="39"/>
      <c r="F32" s="119"/>
      <c r="G32" s="39"/>
      <c r="H32" s="39"/>
      <c r="I32" s="35" t="s">
        <v>107</v>
      </c>
      <c r="J32" s="67"/>
      <c r="K32" s="67"/>
      <c r="L32" s="67"/>
      <c r="M32" s="68"/>
    </row>
    <row r="33" spans="1:19" s="35" customFormat="1" x14ac:dyDescent="0.25">
      <c r="A33" s="35" t="s">
        <v>13</v>
      </c>
      <c r="B33" s="126">
        <f>IF($D$3=0,D33,C33)</f>
        <v>5294</v>
      </c>
      <c r="C33" s="125">
        <f ca="1">GAMMAINV(RAND(),G33,H33)</f>
        <v>5764.4413638957294</v>
      </c>
      <c r="D33" s="125">
        <v>5294</v>
      </c>
      <c r="E33" s="125">
        <v>1487</v>
      </c>
      <c r="F33" s="123" t="s">
        <v>39</v>
      </c>
      <c r="G33" s="122">
        <f>(D33/E33)^2</f>
        <v>12.674940721401212</v>
      </c>
      <c r="H33" s="122">
        <f>(E33^2)/D33</f>
        <v>417.67453721193806</v>
      </c>
      <c r="I33" s="35" t="s">
        <v>68</v>
      </c>
      <c r="J33" s="67"/>
      <c r="K33" s="67"/>
      <c r="L33" s="67"/>
      <c r="M33" s="68"/>
      <c r="N33" s="87"/>
      <c r="O33" s="87"/>
      <c r="P33" s="87"/>
      <c r="Q33" s="88"/>
      <c r="R33" s="87"/>
      <c r="S33" s="87"/>
    </row>
    <row r="34" spans="1:19" s="35" customFormat="1" x14ac:dyDescent="0.25">
      <c r="A34" s="35" t="s">
        <v>14</v>
      </c>
      <c r="B34" s="51">
        <f>IF($D$3=0,D34,C34)</f>
        <v>0</v>
      </c>
      <c r="C34" s="37"/>
      <c r="D34" s="37"/>
      <c r="E34" s="37"/>
      <c r="F34" s="119"/>
      <c r="G34" s="37"/>
      <c r="H34" s="37"/>
      <c r="I34" s="35" t="s">
        <v>15</v>
      </c>
      <c r="J34" s="67"/>
      <c r="K34" s="67"/>
      <c r="L34" s="67"/>
      <c r="M34" s="68"/>
      <c r="N34" s="87"/>
      <c r="O34" s="87"/>
      <c r="P34" s="87"/>
      <c r="Q34" s="88"/>
      <c r="R34" s="87"/>
      <c r="S34" s="87"/>
    </row>
    <row r="35" spans="1:19" s="61" customFormat="1" x14ac:dyDescent="0.25">
      <c r="A35" s="61" t="s">
        <v>108</v>
      </c>
      <c r="B35" s="84">
        <v>394</v>
      </c>
      <c r="D35" s="84"/>
      <c r="E35" s="84"/>
      <c r="F35" s="120"/>
      <c r="G35" s="84"/>
      <c r="H35" s="84"/>
      <c r="I35" s="61" t="s">
        <v>109</v>
      </c>
      <c r="J35" s="85"/>
      <c r="K35" s="85"/>
      <c r="L35" s="85"/>
      <c r="M35" s="86"/>
      <c r="N35" s="87"/>
      <c r="O35" s="87"/>
      <c r="P35" s="87"/>
      <c r="Q35" s="88"/>
      <c r="R35" s="87"/>
      <c r="S35" s="87"/>
    </row>
    <row r="36" spans="1:19" s="61" customFormat="1" x14ac:dyDescent="0.25">
      <c r="A36" s="61" t="s">
        <v>99</v>
      </c>
      <c r="B36" s="84">
        <v>579</v>
      </c>
      <c r="D36" s="84"/>
      <c r="E36" s="84"/>
      <c r="F36" s="120"/>
      <c r="G36" s="84"/>
      <c r="H36" s="84"/>
      <c r="I36" s="61" t="s">
        <v>101</v>
      </c>
      <c r="J36" s="85"/>
      <c r="K36" s="85"/>
      <c r="L36" s="85"/>
      <c r="M36" s="86"/>
      <c r="N36" s="17"/>
      <c r="O36" s="17"/>
      <c r="P36" s="17"/>
      <c r="Q36" s="18"/>
      <c r="R36" s="19"/>
      <c r="S36" s="19"/>
    </row>
    <row r="37" spans="1:19" s="61" customFormat="1" x14ac:dyDescent="0.25">
      <c r="A37" s="61" t="s">
        <v>100</v>
      </c>
      <c r="B37" s="84">
        <v>788</v>
      </c>
      <c r="C37" s="84"/>
      <c r="D37" s="84"/>
      <c r="E37" s="84"/>
      <c r="F37" s="120"/>
      <c r="G37" s="84"/>
      <c r="H37" s="84"/>
      <c r="I37" s="61" t="s">
        <v>102</v>
      </c>
      <c r="J37" s="85"/>
      <c r="K37" s="85"/>
      <c r="L37" s="85"/>
      <c r="M37" s="86"/>
      <c r="N37"/>
      <c r="O37"/>
      <c r="P37"/>
      <c r="Q37"/>
      <c r="R37"/>
      <c r="S37"/>
    </row>
    <row r="38" spans="1:19" x14ac:dyDescent="0.25">
      <c r="A38" s="22"/>
      <c r="B38" s="30"/>
      <c r="C38" s="30"/>
      <c r="D38" s="30"/>
      <c r="E38" s="30"/>
      <c r="F38" s="121"/>
      <c r="G38" s="30"/>
      <c r="H38" s="30"/>
      <c r="I38" s="9"/>
      <c r="J38" s="13"/>
      <c r="K38" s="13"/>
      <c r="L38" s="13"/>
      <c r="M38" s="14"/>
    </row>
    <row r="39" spans="1:19" ht="13" x14ac:dyDescent="0.3">
      <c r="A39" s="21" t="s">
        <v>16</v>
      </c>
      <c r="N39" s="35"/>
      <c r="O39" s="35"/>
      <c r="P39" s="35"/>
      <c r="Q39" s="35"/>
      <c r="R39" s="35"/>
      <c r="S39" s="35"/>
    </row>
    <row r="40" spans="1:19" x14ac:dyDescent="0.25">
      <c r="N40" s="35"/>
      <c r="O40" s="35"/>
      <c r="P40" s="35"/>
      <c r="Q40" s="35"/>
      <c r="R40" s="35"/>
      <c r="S40" s="35"/>
    </row>
    <row r="41" spans="1:19" s="35" customFormat="1" x14ac:dyDescent="0.25">
      <c r="A41" s="35" t="s">
        <v>55</v>
      </c>
      <c r="B41" s="122">
        <f>IF($D$3=0,D41,C41)</f>
        <v>0.85</v>
      </c>
      <c r="C41" s="122">
        <f ca="1">BETAINV(RAND(),G41,H41)</f>
        <v>0.8603448682939574</v>
      </c>
      <c r="D41" s="122">
        <v>0.85</v>
      </c>
      <c r="E41" s="122">
        <v>0.03</v>
      </c>
      <c r="F41" s="123" t="s">
        <v>69</v>
      </c>
      <c r="G41" s="122">
        <f>D41*(D41*(1-D41)/(E41^2)-1)</f>
        <v>119.56666666666668</v>
      </c>
      <c r="H41" s="122">
        <f>D41*(1-D41)/(E41^2)-1-G41</f>
        <v>21.100000000000009</v>
      </c>
      <c r="I41" s="35" t="s">
        <v>71</v>
      </c>
    </row>
    <row r="42" spans="1:19" s="35" customFormat="1" x14ac:dyDescent="0.25">
      <c r="A42" s="35" t="s">
        <v>56</v>
      </c>
      <c r="B42" s="122">
        <f>IF($D$3=0,D42,C42)</f>
        <v>0.75</v>
      </c>
      <c r="C42" s="122">
        <f ca="1">BETAINV(RAND(),G42,H42)</f>
        <v>0.77093118380307302</v>
      </c>
      <c r="D42" s="122">
        <v>0.75</v>
      </c>
      <c r="E42" s="122">
        <v>0.04</v>
      </c>
      <c r="F42" s="123" t="s">
        <v>69</v>
      </c>
      <c r="G42" s="122">
        <f>D42*(D42*(1-D42)/(E42^2)-1)</f>
        <v>87.140625</v>
      </c>
      <c r="H42" s="122">
        <f>D42*(1-D42)/(E42^2)-1-G42</f>
        <v>29.046875</v>
      </c>
      <c r="I42" s="35" t="s">
        <v>72</v>
      </c>
      <c r="N42"/>
      <c r="O42"/>
      <c r="P42"/>
      <c r="Q42"/>
      <c r="R42"/>
      <c r="S42"/>
    </row>
    <row r="43" spans="1:19" s="35" customFormat="1" x14ac:dyDescent="0.25">
      <c r="A43" s="35" t="s">
        <v>57</v>
      </c>
      <c r="B43" s="122">
        <f>IF($D$3=0,D43,C43)</f>
        <v>0.3</v>
      </c>
      <c r="C43" s="122">
        <f ca="1">BETAINV(RAND(),G43,H43)</f>
        <v>0.30980728065057517</v>
      </c>
      <c r="D43" s="122">
        <v>0.3</v>
      </c>
      <c r="E43" s="122">
        <v>0.03</v>
      </c>
      <c r="F43" s="123" t="s">
        <v>69</v>
      </c>
      <c r="G43" s="122">
        <f>D43*(D43*(1-D43)/(E43^2)-1)</f>
        <v>69.7</v>
      </c>
      <c r="H43" s="122">
        <f>D43*(1-D43)/(E43^2)-1-G43</f>
        <v>162.63333333333333</v>
      </c>
      <c r="I43" s="35" t="s">
        <v>73</v>
      </c>
      <c r="N43"/>
      <c r="O43"/>
      <c r="P43"/>
      <c r="Q43"/>
      <c r="R43"/>
      <c r="S43"/>
    </row>
  </sheetData>
  <mergeCells count="1">
    <mergeCell ref="D5:H5"/>
  </mergeCells>
  <phoneticPr fontId="19" type="noConversion"/>
  <pageMargins left="0.74803149606299213" right="0.74803149606299213" top="0.54" bottom="0.56000000000000005" header="0.51181102362204722" footer="0.51181102362204722"/>
  <pageSetup paperSize="9" scale="66" orientation="landscape"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T59"/>
  <sheetViews>
    <sheetView workbookViewId="0">
      <selection activeCell="A2" sqref="A2"/>
    </sheetView>
  </sheetViews>
  <sheetFormatPr defaultRowHeight="12.5" x14ac:dyDescent="0.25"/>
  <cols>
    <col min="1" max="1" width="6.81640625" customWidth="1"/>
    <col min="2" max="2" width="12.453125" customWidth="1"/>
  </cols>
  <sheetData>
    <row r="1" spans="1:20" ht="15.5" x14ac:dyDescent="0.35">
      <c r="A1" s="43" t="s">
        <v>75</v>
      </c>
      <c r="G1" s="56"/>
    </row>
    <row r="2" spans="1:20" ht="15.5" x14ac:dyDescent="0.35">
      <c r="A2" s="43"/>
    </row>
    <row r="3" spans="1:20" ht="13" x14ac:dyDescent="0.3">
      <c r="B3" s="80" t="s">
        <v>74</v>
      </c>
      <c r="C3" s="81" t="s">
        <v>66</v>
      </c>
      <c r="D3" s="81" t="s">
        <v>67</v>
      </c>
    </row>
    <row r="4" spans="1:20" ht="13" x14ac:dyDescent="0.3">
      <c r="B4" s="80" t="s">
        <v>60</v>
      </c>
      <c r="C4">
        <v>1.51</v>
      </c>
      <c r="D4">
        <v>0.99</v>
      </c>
      <c r="E4" s="57"/>
      <c r="F4" s="57"/>
      <c r="H4" s="56"/>
      <c r="I4" s="56"/>
      <c r="J4" s="56"/>
      <c r="K4" s="56"/>
      <c r="L4" s="56"/>
      <c r="M4" s="56"/>
      <c r="N4" s="56"/>
      <c r="O4" s="56"/>
    </row>
    <row r="5" spans="1:20" ht="13" x14ac:dyDescent="0.3">
      <c r="B5" s="80" t="s">
        <v>61</v>
      </c>
      <c r="C5">
        <v>3.93</v>
      </c>
      <c r="D5">
        <v>2.6</v>
      </c>
    </row>
    <row r="6" spans="1:20" ht="13" x14ac:dyDescent="0.3">
      <c r="B6" s="80" t="s">
        <v>62</v>
      </c>
      <c r="C6">
        <v>10.9</v>
      </c>
      <c r="D6">
        <v>6.7</v>
      </c>
      <c r="E6" s="57"/>
      <c r="F6" s="57"/>
      <c r="G6" s="56"/>
      <c r="H6" s="56"/>
      <c r="I6" s="56"/>
      <c r="J6" s="56"/>
      <c r="K6" s="56"/>
      <c r="L6" s="56"/>
      <c r="M6" s="56"/>
      <c r="N6" s="56"/>
      <c r="O6" s="56"/>
    </row>
    <row r="7" spans="1:20" ht="13" x14ac:dyDescent="0.3">
      <c r="B7" s="80" t="s">
        <v>63</v>
      </c>
      <c r="C7">
        <v>31.6</v>
      </c>
      <c r="D7">
        <v>19.3</v>
      </c>
      <c r="P7" s="13"/>
      <c r="Q7" s="13"/>
      <c r="R7" s="13"/>
      <c r="S7" s="13"/>
      <c r="T7" s="13"/>
    </row>
    <row r="8" spans="1:20" ht="13" x14ac:dyDescent="0.3">
      <c r="B8" s="80" t="s">
        <v>64</v>
      </c>
      <c r="C8">
        <v>80.099999999999994</v>
      </c>
      <c r="D8">
        <v>53.5</v>
      </c>
      <c r="P8" s="13"/>
      <c r="Q8" s="13"/>
      <c r="R8" s="13"/>
      <c r="S8" s="13"/>
      <c r="T8" s="13"/>
    </row>
    <row r="9" spans="1:20" ht="13" x14ac:dyDescent="0.3">
      <c r="B9" s="80" t="s">
        <v>65</v>
      </c>
      <c r="C9">
        <v>187.9</v>
      </c>
      <c r="D9">
        <v>154.80000000000001</v>
      </c>
      <c r="P9" s="13"/>
      <c r="Q9" s="13"/>
      <c r="R9" s="13"/>
      <c r="S9" s="13"/>
      <c r="T9" s="13"/>
    </row>
    <row r="10" spans="1:20" x14ac:dyDescent="0.25">
      <c r="P10" s="13"/>
      <c r="Q10" s="13"/>
      <c r="R10" s="13"/>
      <c r="S10" s="13"/>
      <c r="T10" s="13"/>
    </row>
    <row r="11" spans="1:20" x14ac:dyDescent="0.25">
      <c r="P11" s="13"/>
      <c r="Q11" s="13"/>
      <c r="R11" s="13"/>
      <c r="S11" s="13"/>
      <c r="T11" s="13"/>
    </row>
    <row r="12" spans="1:20" ht="15.5" x14ac:dyDescent="0.35">
      <c r="A12" s="43" t="s">
        <v>76</v>
      </c>
      <c r="P12" s="13"/>
      <c r="Q12" s="12"/>
    </row>
    <row r="13" spans="1:20" x14ac:dyDescent="0.25">
      <c r="P13" s="13"/>
      <c r="Q13" s="12"/>
    </row>
    <row r="14" spans="1:20" ht="13" x14ac:dyDescent="0.3">
      <c r="B14" s="80" t="s">
        <v>74</v>
      </c>
      <c r="C14" s="81" t="s">
        <v>77</v>
      </c>
      <c r="D14" s="81" t="s">
        <v>66</v>
      </c>
      <c r="E14" s="81" t="s">
        <v>67</v>
      </c>
      <c r="P14" s="13"/>
      <c r="Q14" s="12"/>
    </row>
    <row r="15" spans="1:20" ht="13" x14ac:dyDescent="0.3">
      <c r="B15" s="80" t="s">
        <v>60</v>
      </c>
      <c r="C15">
        <v>35</v>
      </c>
      <c r="D15">
        <f t="shared" ref="D15:E20" si="0">C4/1000</f>
        <v>1.5100000000000001E-3</v>
      </c>
      <c r="E15">
        <f t="shared" si="0"/>
        <v>9.8999999999999999E-4</v>
      </c>
      <c r="P15" s="13"/>
      <c r="Q15" s="12"/>
    </row>
    <row r="16" spans="1:20" ht="13" x14ac:dyDescent="0.3">
      <c r="B16" s="80" t="s">
        <v>61</v>
      </c>
      <c r="C16">
        <v>45</v>
      </c>
      <c r="D16">
        <f t="shared" si="0"/>
        <v>3.9300000000000003E-3</v>
      </c>
      <c r="E16">
        <f t="shared" si="0"/>
        <v>2.5999999999999999E-3</v>
      </c>
      <c r="P16" s="13"/>
      <c r="Q16" s="12"/>
    </row>
    <row r="17" spans="1:17" ht="13" x14ac:dyDescent="0.3">
      <c r="B17" s="80" t="s">
        <v>62</v>
      </c>
      <c r="C17">
        <v>55</v>
      </c>
      <c r="D17">
        <f t="shared" si="0"/>
        <v>1.09E-2</v>
      </c>
      <c r="E17">
        <f t="shared" si="0"/>
        <v>6.7000000000000002E-3</v>
      </c>
      <c r="P17" s="13"/>
      <c r="Q17" s="12"/>
    </row>
    <row r="18" spans="1:17" ht="13" x14ac:dyDescent="0.3">
      <c r="B18" s="80" t="s">
        <v>63</v>
      </c>
      <c r="C18">
        <v>65</v>
      </c>
      <c r="D18">
        <f t="shared" si="0"/>
        <v>3.1600000000000003E-2</v>
      </c>
      <c r="E18">
        <f t="shared" si="0"/>
        <v>1.9300000000000001E-2</v>
      </c>
    </row>
    <row r="19" spans="1:17" ht="13" x14ac:dyDescent="0.3">
      <c r="B19" s="80" t="s">
        <v>64</v>
      </c>
      <c r="C19">
        <v>75</v>
      </c>
      <c r="D19">
        <f t="shared" si="0"/>
        <v>8.0099999999999991E-2</v>
      </c>
      <c r="E19">
        <f t="shared" si="0"/>
        <v>5.3499999999999999E-2</v>
      </c>
    </row>
    <row r="20" spans="1:17" ht="13" x14ac:dyDescent="0.3">
      <c r="B20" s="80" t="s">
        <v>65</v>
      </c>
      <c r="C20">
        <v>85</v>
      </c>
      <c r="D20">
        <f t="shared" si="0"/>
        <v>0.18790000000000001</v>
      </c>
      <c r="E20">
        <f t="shared" si="0"/>
        <v>0.15480000000000002</v>
      </c>
    </row>
    <row r="26" spans="1:17" ht="15.5" x14ac:dyDescent="0.35">
      <c r="A26" s="43"/>
    </row>
    <row r="31" spans="1:17" x14ac:dyDescent="0.25">
      <c r="B31" s="40"/>
      <c r="C31" s="40"/>
      <c r="D31" s="40"/>
      <c r="E31" s="40"/>
      <c r="F31" s="40"/>
      <c r="G31" s="40"/>
      <c r="H31" s="40"/>
      <c r="I31" s="40"/>
      <c r="J31" s="40"/>
      <c r="K31" s="40"/>
      <c r="L31" s="40"/>
      <c r="M31" s="40"/>
      <c r="N31" s="40"/>
      <c r="O31" s="40"/>
    </row>
    <row r="32" spans="1:17" x14ac:dyDescent="0.25">
      <c r="B32" s="40"/>
      <c r="C32" s="40"/>
      <c r="D32" s="40"/>
      <c r="E32" s="40"/>
      <c r="F32" s="40"/>
      <c r="G32" s="40"/>
      <c r="H32" s="40"/>
      <c r="I32" s="40"/>
      <c r="J32" s="40"/>
      <c r="K32" s="40"/>
      <c r="L32" s="40"/>
      <c r="M32" s="40"/>
      <c r="N32" s="40"/>
      <c r="O32" s="40"/>
    </row>
    <row r="33" spans="2:15" x14ac:dyDescent="0.25">
      <c r="B33" s="40"/>
      <c r="C33" s="40"/>
      <c r="D33" s="40"/>
      <c r="E33" s="40"/>
      <c r="F33" s="40"/>
      <c r="G33" s="40"/>
      <c r="H33" s="40"/>
      <c r="I33" s="40"/>
      <c r="J33" s="40"/>
      <c r="K33" s="40"/>
      <c r="L33" s="40"/>
      <c r="M33" s="40"/>
      <c r="N33" s="40"/>
      <c r="O33" s="40"/>
    </row>
    <row r="34" spans="2:15" x14ac:dyDescent="0.25">
      <c r="B34" s="40"/>
      <c r="C34" s="40"/>
      <c r="D34" s="40"/>
      <c r="E34" s="40"/>
      <c r="F34" s="40"/>
      <c r="G34" s="40"/>
      <c r="H34" s="40"/>
      <c r="I34" s="40"/>
      <c r="J34" s="40"/>
      <c r="K34" s="40"/>
      <c r="L34" s="40"/>
      <c r="M34" s="40"/>
      <c r="N34" s="40"/>
      <c r="O34" s="40"/>
    </row>
    <row r="35" spans="2:15" x14ac:dyDescent="0.25">
      <c r="B35" s="40"/>
      <c r="C35" s="40"/>
      <c r="D35" s="40"/>
      <c r="E35" s="40"/>
      <c r="F35" s="40"/>
      <c r="G35" s="40"/>
      <c r="H35" s="40"/>
      <c r="I35" s="40"/>
      <c r="J35" s="40"/>
      <c r="K35" s="40"/>
      <c r="L35" s="40"/>
      <c r="M35" s="40"/>
      <c r="N35" s="40"/>
      <c r="O35" s="40"/>
    </row>
    <row r="36" spans="2:15" x14ac:dyDescent="0.25">
      <c r="B36" s="40"/>
      <c r="C36" s="40"/>
      <c r="D36" s="40"/>
      <c r="E36" s="40"/>
      <c r="F36" s="40"/>
      <c r="G36" s="40"/>
      <c r="H36" s="40"/>
      <c r="I36" s="40"/>
      <c r="J36" s="40"/>
      <c r="K36" s="40"/>
      <c r="L36" s="40"/>
      <c r="M36" s="40"/>
      <c r="N36" s="40"/>
      <c r="O36" s="40"/>
    </row>
    <row r="37" spans="2:15" x14ac:dyDescent="0.25">
      <c r="B37" s="40"/>
      <c r="C37" s="40"/>
      <c r="D37" s="40"/>
      <c r="E37" s="40"/>
      <c r="F37" s="40"/>
      <c r="G37" s="40"/>
      <c r="H37" s="40"/>
      <c r="I37" s="40"/>
      <c r="J37" s="76"/>
      <c r="K37" s="76"/>
      <c r="L37" s="76"/>
      <c r="M37" s="76"/>
      <c r="N37" s="76"/>
      <c r="O37" s="76"/>
    </row>
    <row r="38" spans="2:15" x14ac:dyDescent="0.25">
      <c r="B38" s="40"/>
      <c r="C38" s="40"/>
      <c r="D38" s="40"/>
      <c r="E38" s="40"/>
      <c r="F38" s="40"/>
      <c r="G38" s="40"/>
      <c r="H38" s="40"/>
      <c r="I38" s="40"/>
      <c r="J38" s="40"/>
      <c r="K38" s="40"/>
      <c r="L38" s="40"/>
      <c r="M38" s="40"/>
      <c r="N38" s="40"/>
      <c r="O38" s="40"/>
    </row>
    <row r="39" spans="2:15" x14ac:dyDescent="0.25">
      <c r="B39" s="40"/>
      <c r="C39" s="40"/>
      <c r="D39" s="40"/>
      <c r="E39" s="40"/>
      <c r="F39" s="40"/>
      <c r="G39" s="40"/>
      <c r="H39" s="40"/>
      <c r="I39" s="40"/>
      <c r="J39" s="40"/>
      <c r="K39" s="40"/>
      <c r="L39" s="40"/>
      <c r="M39" s="40"/>
      <c r="N39" s="40"/>
      <c r="O39" s="40"/>
    </row>
    <row r="40" spans="2:15" x14ac:dyDescent="0.25">
      <c r="B40" s="40"/>
      <c r="C40" s="40"/>
      <c r="D40" s="40"/>
      <c r="E40" s="40"/>
      <c r="F40" s="40"/>
      <c r="G40" s="40"/>
      <c r="H40" s="40"/>
      <c r="I40" s="40"/>
      <c r="J40" s="40"/>
      <c r="K40" s="40"/>
      <c r="L40" s="40"/>
      <c r="M40" s="40"/>
      <c r="N40" s="40"/>
      <c r="O40" s="40"/>
    </row>
    <row r="41" spans="2:15" x14ac:dyDescent="0.25">
      <c r="B41" s="40"/>
      <c r="C41" s="40"/>
      <c r="D41" s="40"/>
      <c r="E41" s="40"/>
      <c r="F41" s="40"/>
      <c r="G41" s="40"/>
      <c r="H41" s="40"/>
      <c r="I41" s="40"/>
      <c r="J41" s="40"/>
      <c r="K41" s="40"/>
      <c r="L41" s="40"/>
      <c r="M41" s="40"/>
      <c r="N41" s="40"/>
      <c r="O41" s="40"/>
    </row>
    <row r="42" spans="2:15" x14ac:dyDescent="0.25">
      <c r="B42" s="40"/>
      <c r="C42" s="40"/>
      <c r="D42" s="40"/>
      <c r="E42" s="40"/>
      <c r="F42" s="40"/>
      <c r="G42" s="40"/>
      <c r="H42" s="40"/>
      <c r="I42" s="40"/>
      <c r="J42" s="40"/>
      <c r="K42" s="40"/>
      <c r="L42" s="40"/>
      <c r="M42" s="40"/>
      <c r="N42" s="40"/>
      <c r="O42" s="40"/>
    </row>
    <row r="43" spans="2:15" x14ac:dyDescent="0.25">
      <c r="B43" s="40"/>
      <c r="C43" s="40"/>
      <c r="D43" s="40"/>
      <c r="E43" s="40"/>
      <c r="F43" s="40"/>
      <c r="G43" s="40"/>
      <c r="H43" s="40"/>
      <c r="I43" s="40"/>
      <c r="J43" s="40"/>
      <c r="K43" s="40"/>
      <c r="L43" s="40"/>
      <c r="M43" s="40"/>
      <c r="N43" s="40"/>
      <c r="O43" s="40"/>
    </row>
    <row r="44" spans="2:15" x14ac:dyDescent="0.25">
      <c r="B44" s="40"/>
      <c r="C44" s="40"/>
      <c r="D44" s="40"/>
      <c r="E44" s="40"/>
      <c r="F44" s="40"/>
      <c r="G44" s="40"/>
      <c r="H44" s="40"/>
      <c r="I44" s="40"/>
      <c r="J44" s="40"/>
      <c r="K44" s="40"/>
      <c r="L44" s="40"/>
      <c r="M44" s="40"/>
      <c r="N44" s="40"/>
      <c r="O44" s="40"/>
    </row>
    <row r="45" spans="2:15" x14ac:dyDescent="0.25">
      <c r="B45" s="40"/>
      <c r="C45" s="40"/>
      <c r="D45" s="40"/>
      <c r="E45" s="40"/>
      <c r="F45" s="40"/>
      <c r="G45" s="40"/>
      <c r="H45" s="40"/>
      <c r="I45" s="40"/>
      <c r="J45" s="40"/>
      <c r="K45" s="40"/>
      <c r="L45" s="40"/>
      <c r="M45" s="40"/>
      <c r="N45" s="40"/>
      <c r="O45" s="40"/>
    </row>
    <row r="46" spans="2:15" x14ac:dyDescent="0.25">
      <c r="B46" s="40"/>
      <c r="C46" s="40"/>
      <c r="D46" s="40"/>
      <c r="E46" s="40"/>
      <c r="F46" s="40"/>
      <c r="G46" s="40"/>
      <c r="H46" s="40"/>
      <c r="I46" s="40"/>
      <c r="J46" s="76"/>
      <c r="K46" s="76"/>
      <c r="L46" s="76"/>
      <c r="M46" s="76"/>
      <c r="N46" s="76"/>
      <c r="O46" s="76"/>
    </row>
    <row r="49" spans="1:15" ht="13" x14ac:dyDescent="0.3">
      <c r="A49" s="44"/>
    </row>
    <row r="51" spans="1:15" ht="13" x14ac:dyDescent="0.3">
      <c r="A51" s="44"/>
    </row>
    <row r="52" spans="1:15" x14ac:dyDescent="0.25">
      <c r="A52" s="58"/>
      <c r="B52" s="42"/>
      <c r="C52" s="42"/>
      <c r="D52" s="42"/>
      <c r="E52" s="42"/>
      <c r="F52" s="42"/>
      <c r="G52" s="42"/>
      <c r="H52" s="42"/>
      <c r="I52" s="42"/>
      <c r="J52" s="42"/>
      <c r="K52" s="42"/>
      <c r="L52" s="42"/>
      <c r="M52" s="42"/>
      <c r="N52" s="42"/>
      <c r="O52" s="42"/>
    </row>
    <row r="53" spans="1:15" x14ac:dyDescent="0.25">
      <c r="A53" s="58"/>
      <c r="B53" s="42"/>
      <c r="C53" s="42"/>
      <c r="D53" s="42"/>
      <c r="E53" s="42"/>
      <c r="F53" s="42"/>
      <c r="G53" s="42"/>
      <c r="H53" s="42"/>
      <c r="I53" s="42"/>
      <c r="J53" s="42"/>
      <c r="K53" s="42"/>
      <c r="L53" s="42"/>
      <c r="M53" s="42"/>
      <c r="N53" s="42"/>
      <c r="O53" s="42"/>
    </row>
    <row r="54" spans="1:15" x14ac:dyDescent="0.25">
      <c r="A54" s="58"/>
      <c r="B54" s="42"/>
      <c r="C54" s="42"/>
      <c r="D54" s="42"/>
      <c r="E54" s="42"/>
      <c r="F54" s="42"/>
      <c r="G54" s="42"/>
      <c r="H54" s="42"/>
      <c r="I54" s="42"/>
      <c r="J54" s="42"/>
      <c r="K54" s="42"/>
      <c r="L54" s="42"/>
      <c r="M54" s="42"/>
      <c r="N54" s="42"/>
      <c r="O54" s="42"/>
    </row>
    <row r="56" spans="1:15" ht="13" x14ac:dyDescent="0.3">
      <c r="A56" s="44"/>
    </row>
    <row r="57" spans="1:15" x14ac:dyDescent="0.25">
      <c r="A57" s="58"/>
      <c r="B57" s="42"/>
      <c r="C57" s="42"/>
      <c r="D57" s="42"/>
      <c r="E57" s="42"/>
      <c r="F57" s="42"/>
      <c r="G57" s="42"/>
      <c r="H57" s="42"/>
      <c r="I57" s="42"/>
      <c r="J57" s="42"/>
      <c r="K57" s="42"/>
      <c r="L57" s="42"/>
      <c r="M57" s="42"/>
      <c r="N57" s="42"/>
      <c r="O57" s="42"/>
    </row>
    <row r="58" spans="1:15" x14ac:dyDescent="0.25">
      <c r="A58" s="58"/>
      <c r="B58" s="42"/>
      <c r="C58" s="42"/>
      <c r="D58" s="42"/>
      <c r="E58" s="42"/>
      <c r="F58" s="42"/>
      <c r="G58" s="42"/>
      <c r="H58" s="42"/>
      <c r="I58" s="42"/>
      <c r="J58" s="42"/>
      <c r="K58" s="42"/>
      <c r="L58" s="42"/>
      <c r="M58" s="42"/>
      <c r="N58" s="42"/>
      <c r="O58" s="42"/>
    </row>
    <row r="59" spans="1:15" x14ac:dyDescent="0.25">
      <c r="A59" s="58"/>
      <c r="B59" s="42"/>
      <c r="C59" s="42"/>
      <c r="D59" s="42"/>
      <c r="E59" s="42"/>
      <c r="F59" s="42"/>
      <c r="G59" s="42"/>
      <c r="H59" s="42"/>
      <c r="I59" s="42"/>
      <c r="J59" s="42"/>
      <c r="K59" s="42"/>
      <c r="L59" s="42"/>
      <c r="M59" s="42"/>
      <c r="N59" s="42"/>
      <c r="O59" s="42"/>
    </row>
  </sheetData>
  <phoneticPr fontId="0" type="noConversion"/>
  <pageMargins left="0.75" right="0.75" top="1" bottom="1" header="0.5" footer="0.5"/>
  <pageSetup scale="65"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54"/>
  <sheetViews>
    <sheetView workbookViewId="0">
      <selection activeCell="H33" sqref="H33"/>
    </sheetView>
  </sheetViews>
  <sheetFormatPr defaultRowHeight="12.5" x14ac:dyDescent="0.25"/>
  <cols>
    <col min="2" max="2" width="20.453125" customWidth="1"/>
    <col min="3" max="3" width="10.54296875" style="42" customWidth="1"/>
    <col min="4" max="7" width="10.54296875" customWidth="1"/>
    <col min="8" max="8" width="10.26953125" customWidth="1"/>
    <col min="9" max="9" width="9.54296875" bestFit="1" customWidth="1"/>
    <col min="11" max="11" width="10.81640625" customWidth="1"/>
  </cols>
  <sheetData>
    <row r="1" spans="1:16" s="43" customFormat="1" ht="15.5" x14ac:dyDescent="0.35">
      <c r="A1" s="43" t="s">
        <v>104</v>
      </c>
      <c r="C1" s="45"/>
      <c r="F1" s="61"/>
      <c r="G1" s="61"/>
    </row>
    <row r="4" spans="1:16" s="44" customFormat="1" ht="13" x14ac:dyDescent="0.3">
      <c r="B4" s="44" t="s">
        <v>45</v>
      </c>
      <c r="C4" s="83" t="s">
        <v>47</v>
      </c>
      <c r="D4" s="56" t="s">
        <v>34</v>
      </c>
      <c r="E4" s="56" t="s">
        <v>46</v>
      </c>
      <c r="F4" s="60"/>
    </row>
    <row r="5" spans="1:16" x14ac:dyDescent="0.25">
      <c r="D5" s="40"/>
      <c r="E5" s="40"/>
      <c r="F5" s="42"/>
      <c r="G5" s="40"/>
      <c r="H5" s="40"/>
      <c r="I5" s="40"/>
      <c r="J5" s="40"/>
    </row>
    <row r="6" spans="1:16" x14ac:dyDescent="0.25">
      <c r="B6" s="58" t="s">
        <v>103</v>
      </c>
      <c r="C6" s="11">
        <v>0.37409680000000001</v>
      </c>
      <c r="D6" s="11">
        <v>4.7450100000000002E-2</v>
      </c>
      <c r="E6" s="40">
        <f t="shared" ref="E6:E11" si="0">EXP(C6)</f>
        <v>1.4536778596632325</v>
      </c>
      <c r="I6" s="40"/>
      <c r="J6" s="40"/>
    </row>
    <row r="7" spans="1:16" x14ac:dyDescent="0.25">
      <c r="B7" s="58" t="s">
        <v>95</v>
      </c>
      <c r="C7" s="11">
        <v>-5.4909350000000003</v>
      </c>
      <c r="D7" s="11">
        <v>0.20789199999999999</v>
      </c>
      <c r="E7" s="40">
        <f t="shared" si="0"/>
        <v>4.1239864437225739E-3</v>
      </c>
      <c r="I7" s="40"/>
      <c r="J7" s="40"/>
    </row>
    <row r="8" spans="1:16" x14ac:dyDescent="0.25">
      <c r="B8" s="58" t="s">
        <v>7</v>
      </c>
      <c r="C8" s="11">
        <v>-3.6702199999999997E-2</v>
      </c>
      <c r="D8" s="11">
        <v>5.2112E-3</v>
      </c>
      <c r="E8" s="40">
        <f t="shared" si="0"/>
        <v>0.96396316083813449</v>
      </c>
      <c r="I8" s="40"/>
      <c r="J8" s="40"/>
    </row>
    <row r="9" spans="1:16" x14ac:dyDescent="0.25">
      <c r="B9" s="58" t="s">
        <v>44</v>
      </c>
      <c r="C9" s="11">
        <v>0.768536</v>
      </c>
      <c r="D9" s="11">
        <v>0.109066</v>
      </c>
      <c r="E9" s="40">
        <f t="shared" si="0"/>
        <v>2.1566066693694932</v>
      </c>
      <c r="I9" s="40"/>
      <c r="J9" s="40"/>
    </row>
    <row r="10" spans="1:16" x14ac:dyDescent="0.25">
      <c r="B10" s="58" t="s">
        <v>87</v>
      </c>
      <c r="C10" s="11">
        <v>-1.3444739999999999</v>
      </c>
      <c r="D10" s="11">
        <v>0.38258150000000002</v>
      </c>
      <c r="E10" s="40">
        <f t="shared" si="0"/>
        <v>0.26067678779517234</v>
      </c>
      <c r="I10" s="40"/>
      <c r="J10" s="40"/>
    </row>
    <row r="11" spans="1:16" x14ac:dyDescent="0.25">
      <c r="B11" s="58" t="s">
        <v>88</v>
      </c>
      <c r="C11" s="11">
        <v>-1.6687000000000001</v>
      </c>
      <c r="D11" s="11">
        <v>0.51765300000000003</v>
      </c>
      <c r="E11" s="40">
        <f t="shared" si="0"/>
        <v>0.1884919459617998</v>
      </c>
      <c r="F11" s="40"/>
      <c r="G11" s="40"/>
      <c r="H11" s="40"/>
      <c r="I11" s="40"/>
      <c r="J11" s="40"/>
      <c r="K11" s="42"/>
      <c r="L11" s="40"/>
      <c r="M11" s="40"/>
      <c r="N11" s="40"/>
      <c r="O11" s="40"/>
    </row>
    <row r="12" spans="1:16" ht="13" x14ac:dyDescent="0.3">
      <c r="B12" s="44"/>
      <c r="K12" s="42"/>
    </row>
    <row r="13" spans="1:16" ht="13" x14ac:dyDescent="0.3">
      <c r="B13" s="44" t="s">
        <v>49</v>
      </c>
      <c r="J13" s="44" t="s">
        <v>152</v>
      </c>
      <c r="K13" s="42"/>
    </row>
    <row r="14" spans="1:16" x14ac:dyDescent="0.25">
      <c r="K14" s="42"/>
    </row>
    <row r="15" spans="1:16" x14ac:dyDescent="0.25">
      <c r="C15" t="s">
        <v>103</v>
      </c>
      <c r="D15" t="s">
        <v>95</v>
      </c>
      <c r="E15" t="s">
        <v>7</v>
      </c>
      <c r="F15" t="s">
        <v>44</v>
      </c>
      <c r="G15" t="s">
        <v>87</v>
      </c>
      <c r="H15" t="s">
        <v>88</v>
      </c>
      <c r="K15" t="s">
        <v>103</v>
      </c>
      <c r="L15" t="s">
        <v>95</v>
      </c>
      <c r="M15" t="s">
        <v>7</v>
      </c>
      <c r="N15" t="s">
        <v>44</v>
      </c>
      <c r="O15" t="s">
        <v>87</v>
      </c>
      <c r="P15" t="s">
        <v>88</v>
      </c>
    </row>
    <row r="16" spans="1:16" x14ac:dyDescent="0.25">
      <c r="B16" s="58" t="s">
        <v>103</v>
      </c>
      <c r="C16" s="42">
        <f>D6^2</f>
        <v>2.2515119900100001E-3</v>
      </c>
      <c r="J16" s="58" t="s">
        <v>103</v>
      </c>
      <c r="K16">
        <f>C16/(SQRT(C$16)*SQRT(C16))</f>
        <v>1</v>
      </c>
    </row>
    <row r="17" spans="2:16" x14ac:dyDescent="0.25">
      <c r="B17" s="58" t="s">
        <v>95</v>
      </c>
      <c r="C17" s="42">
        <v>-5.6909999999999999E-3</v>
      </c>
      <c r="D17" s="42">
        <f>D7^2</f>
        <v>4.3219083663999999E-2</v>
      </c>
      <c r="J17" s="58" t="s">
        <v>95</v>
      </c>
      <c r="K17" s="40">
        <f>C17/(SQRT(C$16)*SQRT(D17))</f>
        <v>-0.5769174513170483</v>
      </c>
      <c r="L17">
        <f>D17/(SQRT(D$17)*SQRT(D17))</f>
        <v>1</v>
      </c>
    </row>
    <row r="18" spans="2:16" x14ac:dyDescent="0.25">
      <c r="B18" s="58" t="s">
        <v>7</v>
      </c>
      <c r="C18" s="42">
        <v>2.7999999999999999E-8</v>
      </c>
      <c r="D18" s="42">
        <v>-7.8299999999999995E-4</v>
      </c>
      <c r="E18" s="42">
        <f>D8^2</f>
        <v>2.715660544E-5</v>
      </c>
      <c r="J18" s="58" t="s">
        <v>7</v>
      </c>
      <c r="K18" s="40">
        <f>C18/(SQRT(C$16)*SQRT(E18))</f>
        <v>1.1323564496830159E-4</v>
      </c>
      <c r="L18" s="40">
        <f>D18/(SQRT(D$17)*SQRT(E18))</f>
        <v>-0.72274690985395751</v>
      </c>
      <c r="M18">
        <f>E18/(SQRT(E$18)*SQRT(E18))</f>
        <v>1</v>
      </c>
    </row>
    <row r="19" spans="2:16" x14ac:dyDescent="0.25">
      <c r="B19" s="58" t="s">
        <v>44</v>
      </c>
      <c r="C19" s="42">
        <v>5.1000000000000003E-6</v>
      </c>
      <c r="D19" s="42">
        <v>-7.247E-3</v>
      </c>
      <c r="E19" s="42">
        <v>3.3000000000000003E-5</v>
      </c>
      <c r="F19" s="42">
        <f>D9^2</f>
        <v>1.1895392356E-2</v>
      </c>
      <c r="J19" s="58" t="s">
        <v>44</v>
      </c>
      <c r="K19" s="40">
        <f>C19/(SQRT(C$16)*SQRT(F19))</f>
        <v>9.8547056847621381E-4</v>
      </c>
      <c r="L19" s="40">
        <f>D19/(SQRT(D$17)*SQRT(F19))</f>
        <v>-0.31961790338820517</v>
      </c>
      <c r="M19" s="40">
        <f>E19/(SQRT(E$18)*SQRT(F19))</f>
        <v>5.8061307685007078E-2</v>
      </c>
      <c r="N19">
        <f>F19/(SQRT(F$19)*SQRT(F19))</f>
        <v>1</v>
      </c>
    </row>
    <row r="20" spans="2:16" x14ac:dyDescent="0.25">
      <c r="B20" s="58" t="s">
        <v>87</v>
      </c>
      <c r="C20" s="42">
        <v>2.5900000000000001E-4</v>
      </c>
      <c r="D20" s="42">
        <v>-6.4199999999999999E-4</v>
      </c>
      <c r="E20" s="42">
        <v>-1.11E-4</v>
      </c>
      <c r="F20" s="42">
        <v>1.84E-4</v>
      </c>
      <c r="G20" s="42">
        <f>D10^2</f>
        <v>0.14636860414225</v>
      </c>
      <c r="J20" s="58" t="s">
        <v>87</v>
      </c>
      <c r="K20" s="40">
        <f>C20/(SQRT(C$16)*SQRT(G20))</f>
        <v>1.4267197278995515E-2</v>
      </c>
      <c r="L20" s="40">
        <f>D20/(SQRT(D$17)*SQRT(G20))</f>
        <v>-8.0718537614678058E-3</v>
      </c>
      <c r="M20" s="40">
        <f>E20/(SQRT(E$18)*SQRT(G20))</f>
        <v>-5.5675134129353133E-2</v>
      </c>
      <c r="N20" s="40">
        <f>F20/(SQRT(F$19)*SQRT(G20))</f>
        <v>4.4096535688349092E-3</v>
      </c>
      <c r="O20">
        <f>G20/(SQRT(G$20)*SQRT(G20))</f>
        <v>1</v>
      </c>
    </row>
    <row r="21" spans="2:16" x14ac:dyDescent="0.25">
      <c r="B21" s="58" t="s">
        <v>88</v>
      </c>
      <c r="C21" s="42">
        <v>3.5100000000000002E-4</v>
      </c>
      <c r="D21" s="42">
        <v>-5.3700000000000004E-4</v>
      </c>
      <c r="E21" s="42">
        <v>-2.99E-4</v>
      </c>
      <c r="F21" s="42">
        <v>9.7999999999999997E-5</v>
      </c>
      <c r="G21" s="42">
        <v>3.5468000000000001E-4</v>
      </c>
      <c r="H21" s="42">
        <f>D11^2</f>
        <v>0.26796462840900004</v>
      </c>
      <c r="J21" s="58" t="s">
        <v>88</v>
      </c>
      <c r="K21" s="40">
        <f>C21/(SQRT(C$16)*SQRT(H21))</f>
        <v>1.4289967766855092E-2</v>
      </c>
      <c r="L21" s="40">
        <f>D21/(SQRT(D$17)*SQRT(H21))</f>
        <v>-4.9899681440690154E-3</v>
      </c>
      <c r="M21" s="40">
        <f>E21/(SQRT(E$18)*SQRT(H21))</f>
        <v>-0.11083953926360296</v>
      </c>
      <c r="N21" s="40">
        <f>F21/(SQRT(F$19)*SQRT(H21))</f>
        <v>1.7357930884667543E-3</v>
      </c>
      <c r="O21" s="40">
        <f>G21/(SQRT(G$20)*SQRT(H21))</f>
        <v>1.790910979362836E-3</v>
      </c>
      <c r="P21">
        <f>H21/(SQRT(H$21)*SQRT(H21))</f>
        <v>1</v>
      </c>
    </row>
    <row r="22" spans="2:16" x14ac:dyDescent="0.25">
      <c r="C22"/>
    </row>
    <row r="23" spans="2:16" x14ac:dyDescent="0.25">
      <c r="C23"/>
      <c r="L23" s="46"/>
    </row>
    <row r="24" spans="2:16" ht="13" x14ac:dyDescent="0.3">
      <c r="B24" s="44" t="s">
        <v>51</v>
      </c>
      <c r="C24"/>
      <c r="L24" s="46"/>
    </row>
    <row r="25" spans="2:16" ht="13" x14ac:dyDescent="0.3">
      <c r="B25" s="44"/>
      <c r="C25"/>
      <c r="L25" s="46"/>
    </row>
    <row r="26" spans="2:16" x14ac:dyDescent="0.25">
      <c r="C26" t="s">
        <v>103</v>
      </c>
      <c r="D26" t="s">
        <v>95</v>
      </c>
      <c r="E26" t="s">
        <v>7</v>
      </c>
      <c r="F26" t="s">
        <v>44</v>
      </c>
      <c r="G26" t="s">
        <v>87</v>
      </c>
      <c r="H26" t="s">
        <v>88</v>
      </c>
      <c r="L26" s="46"/>
    </row>
    <row r="27" spans="2:16" x14ac:dyDescent="0.25">
      <c r="B27" s="58" t="s">
        <v>103</v>
      </c>
      <c r="C27" s="128">
        <f>SQRT(C16)</f>
        <v>4.7450100000000002E-2</v>
      </c>
      <c r="L27" s="46"/>
    </row>
    <row r="28" spans="2:16" x14ac:dyDescent="0.25">
      <c r="B28" s="58" t="s">
        <v>95</v>
      </c>
      <c r="C28" s="128">
        <f>C17/a</f>
        <v>-0.1199365227892038</v>
      </c>
      <c r="D28" s="128">
        <f>SQRT(D17-b^2)</f>
        <v>0.16980669646758575</v>
      </c>
      <c r="L28" s="46"/>
    </row>
    <row r="29" spans="2:16" x14ac:dyDescent="0.25">
      <c r="B29" s="58" t="s">
        <v>7</v>
      </c>
      <c r="C29" s="128">
        <f>C18/a</f>
        <v>5.9009359305881333E-7</v>
      </c>
      <c r="D29" s="128">
        <f>(D18-b*d)/c_</f>
        <v>-4.6107087795314418E-3</v>
      </c>
      <c r="E29" s="128">
        <f>SQRT(E18-d^2-e^2)</f>
        <v>2.428573581784426E-3</v>
      </c>
      <c r="L29" s="46"/>
    </row>
    <row r="30" spans="2:16" x14ac:dyDescent="0.25">
      <c r="B30" s="58" t="s">
        <v>44</v>
      </c>
      <c r="C30" s="128">
        <f>C19/a</f>
        <v>1.0748133302142672E-4</v>
      </c>
      <c r="D30" s="128">
        <f>(D19-b*g)/c_</f>
        <v>-4.2602024614698128E-2</v>
      </c>
      <c r="E30" s="128">
        <f>(E19-d*g-e*h)/f</f>
        <v>-6.729283130090305E-2</v>
      </c>
      <c r="F30" s="128">
        <f>SQRT(F19-g^2-h^2-i^2)</f>
        <v>7.4512570469685901E-2</v>
      </c>
    </row>
    <row r="31" spans="2:16" x14ac:dyDescent="0.25">
      <c r="B31" s="58" t="s">
        <v>87</v>
      </c>
      <c r="C31" s="128">
        <f>C20/a</f>
        <v>5.4583657357940235E-3</v>
      </c>
      <c r="D31" s="128">
        <f>(D20-k*b)/c_</f>
        <v>7.4540090150598305E-5</v>
      </c>
      <c r="E31" s="128">
        <f>(E20-d*k-e*l)/f</f>
        <v>-4.5565651841298668E-2</v>
      </c>
      <c r="F31" s="128">
        <f>(F20-g*k-h*l-i*m)/j</f>
        <v>-3.8646537329077281E-2</v>
      </c>
      <c r="G31" s="128">
        <f>SQRT(G20-k^2-l^2-m^2-n^2)</f>
        <v>0.37784788123564894</v>
      </c>
    </row>
    <row r="32" spans="2:16" x14ac:dyDescent="0.25">
      <c r="B32" s="58" t="s">
        <v>88</v>
      </c>
      <c r="C32" s="128">
        <f>C21/a</f>
        <v>7.397244684415839E-3</v>
      </c>
      <c r="D32" s="128">
        <f>(D21-C32*b)/c_</f>
        <v>2.0623439060697248E-3</v>
      </c>
      <c r="E32" s="128">
        <f>(E21-d*p-e*q)/f</f>
        <v>-0.11920392286399456</v>
      </c>
      <c r="F32" s="128">
        <f>(F21-g*p-h*q-i*r_)/j</f>
        <v>-0.10517023452774049</v>
      </c>
      <c r="G32" s="128">
        <f>(G21-k*p-l*q-m*r_-n*s)/o</f>
        <v>-2.4300574099080121E-2</v>
      </c>
      <c r="H32" s="128">
        <f>SQRT(H21-p^2-q^2-r_^2-s^2-t^2)/o</f>
        <v>1.3020596281147054</v>
      </c>
    </row>
    <row r="34" spans="2:7" ht="13" x14ac:dyDescent="0.3">
      <c r="B34" s="44" t="s">
        <v>53</v>
      </c>
    </row>
    <row r="35" spans="2:7" x14ac:dyDescent="0.25">
      <c r="C35" s="112" t="s">
        <v>48</v>
      </c>
      <c r="D35" s="112"/>
      <c r="E35" s="112" t="s">
        <v>52</v>
      </c>
      <c r="F35" s="112"/>
      <c r="G35" s="112" t="s">
        <v>70</v>
      </c>
    </row>
    <row r="36" spans="2:7" x14ac:dyDescent="0.25">
      <c r="B36" s="58" t="s">
        <v>103</v>
      </c>
      <c r="C36" s="128">
        <f t="shared" ref="C36:C41" ca="1" si="1">NORMINV(RAND(),0,1)</f>
        <v>0.38531491024395492</v>
      </c>
      <c r="E36" s="128">
        <f ca="1">a*C36</f>
        <v>1.8283231022566685E-2</v>
      </c>
      <c r="G36" s="128">
        <f t="shared" ref="G36:G41" ca="1" si="2">C6+E36</f>
        <v>0.39238003102256669</v>
      </c>
    </row>
    <row r="37" spans="2:7" x14ac:dyDescent="0.25">
      <c r="B37" s="58" t="s">
        <v>95</v>
      </c>
      <c r="C37" s="128">
        <f t="shared" ca="1" si="1"/>
        <v>-0.79509160354277086</v>
      </c>
      <c r="E37" s="128">
        <f ca="1">b*C36+c_*C37</f>
        <v>-0.18122520910020745</v>
      </c>
      <c r="G37" s="128">
        <f t="shared" ca="1" si="2"/>
        <v>-5.6721602091002081</v>
      </c>
    </row>
    <row r="38" spans="2:7" x14ac:dyDescent="0.25">
      <c r="B38" s="58" t="s">
        <v>7</v>
      </c>
      <c r="C38" s="128">
        <f t="shared" ca="1" si="1"/>
        <v>1.1969631841603685</v>
      </c>
      <c r="E38" s="128">
        <f ca="1">d*C36+e*C37+f*C38</f>
        <v>6.5730763762666686E-3</v>
      </c>
      <c r="G38" s="128">
        <f t="shared" ca="1" si="2"/>
        <v>-3.012912362373333E-2</v>
      </c>
    </row>
    <row r="39" spans="2:7" x14ac:dyDescent="0.25">
      <c r="B39" s="58" t="s">
        <v>44</v>
      </c>
      <c r="C39" s="128">
        <f t="shared" ca="1" si="1"/>
        <v>-1.3880430051432491</v>
      </c>
      <c r="E39" s="128">
        <f ca="1">g*C36+h*C37+i*C38+j*C39</f>
        <v>-0.15005976763553139</v>
      </c>
      <c r="G39" s="128">
        <f t="shared" ca="1" si="2"/>
        <v>0.61847623236446858</v>
      </c>
    </row>
    <row r="40" spans="2:7" x14ac:dyDescent="0.25">
      <c r="B40" s="58" t="s">
        <v>87</v>
      </c>
      <c r="C40" s="128">
        <f t="shared" ca="1" si="1"/>
        <v>1.3168534508722238</v>
      </c>
      <c r="E40" s="128">
        <f ca="1">k*C36+l*C37+m*C38+n*C39+o*C40</f>
        <v>0.49871685791001219</v>
      </c>
      <c r="G40" s="128">
        <f t="shared" ca="1" si="2"/>
        <v>-0.84575714208998776</v>
      </c>
    </row>
    <row r="41" spans="2:7" x14ac:dyDescent="0.25">
      <c r="B41" s="58" t="s">
        <v>88</v>
      </c>
      <c r="C41" s="128">
        <f t="shared" ca="1" si="1"/>
        <v>-0.34601655000112991</v>
      </c>
      <c r="E41" s="128">
        <f ca="1">p*C36+q*C37+r_*C38+s*C39+t*C40+u*C41</f>
        <v>-0.47802585761844851</v>
      </c>
      <c r="G41" s="128">
        <f t="shared" ca="1" si="2"/>
        <v>-2.1467258576184487</v>
      </c>
    </row>
    <row r="43" spans="2:7" ht="13" x14ac:dyDescent="0.3">
      <c r="B43" s="44"/>
    </row>
    <row r="54" spans="2:2" x14ac:dyDescent="0.25">
      <c r="B54" t="s">
        <v>38</v>
      </c>
    </row>
  </sheetData>
  <phoneticPr fontId="0" type="noConversion"/>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69"/>
  <sheetViews>
    <sheetView workbookViewId="0">
      <selection activeCell="A2" sqref="A2"/>
    </sheetView>
  </sheetViews>
  <sheetFormatPr defaultRowHeight="12.5" x14ac:dyDescent="0.25"/>
  <cols>
    <col min="2" max="2" width="4.7265625" customWidth="1"/>
    <col min="3" max="3" width="8.81640625" style="26" customWidth="1"/>
    <col min="4" max="4" width="4.7265625" style="26" customWidth="1"/>
    <col min="5" max="5" width="8.81640625" style="26" customWidth="1"/>
    <col min="7" max="15" width="12.7265625" customWidth="1"/>
    <col min="16" max="17" width="4.7265625" customWidth="1"/>
  </cols>
  <sheetData>
    <row r="1" spans="1:17" ht="15.5" x14ac:dyDescent="0.35">
      <c r="A1" s="6" t="s">
        <v>78</v>
      </c>
      <c r="B1" s="6"/>
    </row>
    <row r="2" spans="1:17" ht="15.5" x14ac:dyDescent="0.35">
      <c r="A2" s="6"/>
      <c r="B2" s="6"/>
    </row>
    <row r="3" spans="1:17" ht="13" x14ac:dyDescent="0.3">
      <c r="D3" s="47"/>
      <c r="G3" s="23" t="s">
        <v>80</v>
      </c>
      <c r="H3" s="23"/>
      <c r="I3" s="24"/>
      <c r="J3" s="24"/>
      <c r="K3" s="23"/>
      <c r="L3" s="23"/>
      <c r="M3" s="24"/>
      <c r="N3" s="24"/>
      <c r="O3" s="24"/>
    </row>
    <row r="4" spans="1:17" ht="13" x14ac:dyDescent="0.3">
      <c r="A4" s="20" t="s">
        <v>23</v>
      </c>
      <c r="B4" s="20"/>
      <c r="C4" s="82" t="s">
        <v>79</v>
      </c>
      <c r="D4" s="27"/>
      <c r="E4" s="27" t="s">
        <v>24</v>
      </c>
      <c r="G4" s="20" t="s">
        <v>25</v>
      </c>
      <c r="H4" s="20" t="s">
        <v>26</v>
      </c>
      <c r="I4" s="20" t="s">
        <v>27</v>
      </c>
      <c r="J4" s="20" t="s">
        <v>28</v>
      </c>
      <c r="K4" s="20" t="s">
        <v>29</v>
      </c>
      <c r="L4" s="20" t="s">
        <v>106</v>
      </c>
      <c r="M4" s="20" t="s">
        <v>21</v>
      </c>
      <c r="N4" s="20" t="s">
        <v>30</v>
      </c>
      <c r="O4" s="20" t="s">
        <v>22</v>
      </c>
    </row>
    <row r="5" spans="1:17" x14ac:dyDescent="0.25">
      <c r="C5"/>
      <c r="D5"/>
      <c r="E5" s="33"/>
    </row>
    <row r="6" spans="1:17" x14ac:dyDescent="0.25">
      <c r="A6">
        <v>0</v>
      </c>
      <c r="G6" s="25">
        <v>1000</v>
      </c>
      <c r="H6" s="25"/>
      <c r="I6" s="25"/>
      <c r="J6" s="25"/>
      <c r="K6" s="25"/>
      <c r="L6" s="131">
        <f>SUM(G6:K6)</f>
        <v>1000</v>
      </c>
      <c r="M6" s="132">
        <f>(cStandard+cPrimary)*G6</f>
        <v>394000</v>
      </c>
      <c r="N6" s="29"/>
      <c r="O6" s="28"/>
      <c r="P6" s="29"/>
      <c r="Q6" s="29"/>
    </row>
    <row r="7" spans="1:17" x14ac:dyDescent="0.25">
      <c r="A7">
        <v>1</v>
      </c>
      <c r="C7" s="135">
        <f>1-EXP(lambda*(A6^gamma-A7^gamma))</f>
        <v>4.5587359988585874E-4</v>
      </c>
      <c r="E7" s="135">
        <f>IF(male=0,VLOOKUP(cycle+age,lifetable,3,1),IF(male=1,VLOOKUP(cycle+age,lifetable,2,1),"error"))</f>
        <v>6.7000000000000002E-3</v>
      </c>
      <c r="G7" s="25"/>
      <c r="H7" s="131">
        <f>G6*(1-omrPTHR)+H6*(1-standardRR-mr)</f>
        <v>980</v>
      </c>
      <c r="I7" s="131">
        <f>H6*standardRR+J6*rrr</f>
        <v>0</v>
      </c>
      <c r="J7" s="131">
        <f>I6*(1-mr-omrRTHR)+J6*(1-mr-rrr)</f>
        <v>0</v>
      </c>
      <c r="K7" s="131">
        <f>H6*mr+(I6+J6)*mr+G6*omrPTHR+I6*omrRTHR+K6</f>
        <v>20</v>
      </c>
      <c r="L7" s="131">
        <f t="shared" ref="L7:L66" si="0">SUM(G7:K7)</f>
        <v>1000</v>
      </c>
      <c r="M7" s="132">
        <f>(cPrimary*G7+cSuccess*H7+cRevision*I7+cSuccess*J7)/(1+cDR)^cycle</f>
        <v>0</v>
      </c>
      <c r="N7" s="133">
        <f>(J7+I7+H7)</f>
        <v>980</v>
      </c>
      <c r="O7" s="134">
        <f>(uSuccessP*H7+uRevision*Standard!I7+uSuccessR*Standard!J7)/(1+oDR)^cycle</f>
        <v>820.68965517241384</v>
      </c>
      <c r="P7" s="29"/>
      <c r="Q7" s="29"/>
    </row>
    <row r="8" spans="1:17" x14ac:dyDescent="0.25">
      <c r="A8">
        <v>2</v>
      </c>
      <c r="C8" s="135">
        <f t="shared" ref="C8:C66" si="1">1-EXP(lambda*(A7^gamma-A8^gamma))</f>
        <v>7.9265538125916635E-4</v>
      </c>
      <c r="E8" s="135">
        <f t="shared" ref="E8:E66" si="2">IF(male=0,VLOOKUP(cycle+age,lifetable,3,1),IF(male=1,VLOOKUP(cycle+age,lifetable,2,1),"error"))</f>
        <v>6.7000000000000002E-3</v>
      </c>
      <c r="G8" s="49"/>
      <c r="H8" s="131">
        <f t="shared" ref="H8:H66" si="3">G7*(1-omrPTHR)+H7*(1-standardRR-mr)</f>
        <v>972.65719772636601</v>
      </c>
      <c r="I8" s="131">
        <f t="shared" ref="I8:I66" si="4">H7*standardRR+J7*rrr</f>
        <v>0.77680227363398302</v>
      </c>
      <c r="J8" s="131">
        <f>I7*(1-mr-omrRTHR)+J7*(1-mr-rrr)</f>
        <v>0</v>
      </c>
      <c r="K8" s="131">
        <f t="shared" ref="K8:K66" si="5">H7*mr+(I7+J7)*mr+G7*omrPTHR+I7*omrRTHR+K7</f>
        <v>26.565999999999999</v>
      </c>
      <c r="L8" s="131">
        <f t="shared" si="0"/>
        <v>1000</v>
      </c>
      <c r="M8" s="132">
        <f t="shared" ref="M8:M63" si="6">(cPrimary*G8+cSuccess*H8+cRevision*I8+cSuccess*J8)/(1+cDR)^cycle</f>
        <v>3660.0135605360497</v>
      </c>
      <c r="N8" s="133">
        <f t="shared" ref="N8:N23" si="7">(J8+I8+H8)</f>
        <v>973.43399999999997</v>
      </c>
      <c r="O8" s="134">
        <f>(uSuccessP*H8+uRevision*Standard!I8+uSuccessR*Standard!J8)/(1+oDR)^cycle</f>
        <v>802.72916959839017</v>
      </c>
      <c r="P8" s="29"/>
      <c r="Q8" s="29"/>
    </row>
    <row r="9" spans="1:17" x14ac:dyDescent="0.25">
      <c r="A9">
        <v>3</v>
      </c>
      <c r="C9" s="135">
        <f t="shared" si="1"/>
        <v>1.0023202487118299E-3</v>
      </c>
      <c r="E9" s="135">
        <f t="shared" si="2"/>
        <v>6.7000000000000002E-3</v>
      </c>
      <c r="G9" s="25"/>
      <c r="H9" s="131">
        <f t="shared" si="3"/>
        <v>965.16548049726282</v>
      </c>
      <c r="I9" s="131">
        <f t="shared" si="4"/>
        <v>0.97491400433644271</v>
      </c>
      <c r="J9" s="131">
        <f t="shared" ref="J9:J66" si="8">I8*(1-mr-omrRTHR)+J8*(1-mr-rrr)</f>
        <v>0.75606165292795557</v>
      </c>
      <c r="K9" s="131">
        <f t="shared" si="5"/>
        <v>33.103543845472679</v>
      </c>
      <c r="L9" s="131">
        <f t="shared" si="0"/>
        <v>1000</v>
      </c>
      <c r="M9" s="132">
        <f t="shared" si="6"/>
        <v>4333.438626313271</v>
      </c>
      <c r="N9" s="133">
        <f t="shared" si="7"/>
        <v>966.89645615452719</v>
      </c>
      <c r="O9" s="134">
        <f>(uSuccessP*H9+uRevision*Standard!I9+uSuccessR*Standard!J9)/(1+oDR)^cycle</f>
        <v>785.3755021601844</v>
      </c>
      <c r="P9" s="29"/>
      <c r="Q9" s="29"/>
    </row>
    <row r="10" spans="1:17" x14ac:dyDescent="0.25">
      <c r="A10">
        <v>4</v>
      </c>
      <c r="C10" s="135">
        <f t="shared" si="1"/>
        <v>1.1684809383689654E-3</v>
      </c>
      <c r="E10" s="135">
        <f t="shared" si="2"/>
        <v>6.7000000000000002E-3</v>
      </c>
      <c r="G10" s="25"/>
      <c r="H10" s="131">
        <f t="shared" si="3"/>
        <v>957.57109431159836</v>
      </c>
      <c r="I10" s="131">
        <f t="shared" si="4"/>
        <v>1.1580199324498932</v>
      </c>
      <c r="J10" s="131">
        <f t="shared" si="8"/>
        <v>1.6696373741568795</v>
      </c>
      <c r="K10" s="131">
        <f t="shared" si="5"/>
        <v>39.60124838179474</v>
      </c>
      <c r="L10" s="131">
        <f t="shared" si="0"/>
        <v>999.99999999999989</v>
      </c>
      <c r="M10" s="132">
        <f t="shared" si="6"/>
        <v>4855.975765601087</v>
      </c>
      <c r="N10" s="133">
        <f t="shared" si="7"/>
        <v>960.3987516182051</v>
      </c>
      <c r="O10" s="134">
        <f>(uSuccessP*H10+uRevision*Standard!I10+uSuccessR*Standard!J10)/(1+oDR)^cycle</f>
        <v>768.38427671175577</v>
      </c>
      <c r="P10" s="29"/>
      <c r="Q10" s="29"/>
    </row>
    <row r="11" spans="1:17" x14ac:dyDescent="0.25">
      <c r="A11">
        <v>5</v>
      </c>
      <c r="C11" s="135">
        <f t="shared" si="1"/>
        <v>1.309944799567142E-3</v>
      </c>
      <c r="E11" s="135">
        <f t="shared" si="2"/>
        <v>1.9300000000000001E-2</v>
      </c>
      <c r="G11" s="25"/>
      <c r="H11" s="131">
        <f t="shared" si="3"/>
        <v>937.83560691617527</v>
      </c>
      <c r="I11" s="131">
        <f t="shared" si="4"/>
        <v>1.3211507701755707</v>
      </c>
      <c r="J11" s="131">
        <f t="shared" si="8"/>
        <v>2.6831376269739886</v>
      </c>
      <c r="K11" s="131">
        <f t="shared" si="5"/>
        <v>58.160104686675098</v>
      </c>
      <c r="L11" s="131">
        <f t="shared" si="0"/>
        <v>1000</v>
      </c>
      <c r="M11" s="132">
        <f t="shared" si="6"/>
        <v>5226.4523219268867</v>
      </c>
      <c r="N11" s="133">
        <f t="shared" si="7"/>
        <v>941.83989531332486</v>
      </c>
      <c r="O11" s="134">
        <f>(uSuccessP*H11+uRevision*Standard!I11+uSuccessR*Standard!J11)/(1+oDR)^cycle</f>
        <v>742.20814701324616</v>
      </c>
      <c r="P11" s="29"/>
      <c r="Q11" s="29"/>
    </row>
    <row r="12" spans="1:17" x14ac:dyDescent="0.25">
      <c r="A12">
        <v>6</v>
      </c>
      <c r="C12" s="135">
        <f t="shared" si="1"/>
        <v>1.4349523261396602E-3</v>
      </c>
      <c r="E12" s="135">
        <f t="shared" si="2"/>
        <v>1.9300000000000001E-2</v>
      </c>
      <c r="G12" s="25"/>
      <c r="H12" s="131">
        <f t="shared" si="3"/>
        <v>918.38963031701212</v>
      </c>
      <c r="I12" s="131">
        <f t="shared" si="4"/>
        <v>1.4530748907599254</v>
      </c>
      <c r="J12" s="131">
        <f t="shared" si="8"/>
        <v>3.7932571106021018</v>
      </c>
      <c r="K12" s="131">
        <f t="shared" si="5"/>
        <v>76.364037681625774</v>
      </c>
      <c r="L12" s="131">
        <f t="shared" si="0"/>
        <v>999.99999999999989</v>
      </c>
      <c r="M12" s="132">
        <f t="shared" si="6"/>
        <v>5422.964276772298</v>
      </c>
      <c r="N12" s="133">
        <f t="shared" si="7"/>
        <v>923.63596231837414</v>
      </c>
      <c r="O12" s="134">
        <f>(uSuccessP*H12+uRevision*Standard!I12+uSuccessR*Standard!J12)/(1+oDR)^cycle</f>
        <v>716.92064592641054</v>
      </c>
      <c r="P12" s="29"/>
      <c r="Q12" s="29"/>
    </row>
    <row r="13" spans="1:17" x14ac:dyDescent="0.25">
      <c r="A13">
        <v>7</v>
      </c>
      <c r="C13" s="135">
        <f t="shared" si="1"/>
        <v>1.5479957647099862E-3</v>
      </c>
      <c r="E13" s="135">
        <f t="shared" si="2"/>
        <v>1.9300000000000001E-2</v>
      </c>
      <c r="G13" s="25"/>
      <c r="H13" s="131">
        <f t="shared" si="3"/>
        <v>899.2430471938095</v>
      </c>
      <c r="I13" s="131">
        <f t="shared" si="4"/>
        <v>1.5733935425083887</v>
      </c>
      <c r="J13" s="131">
        <f t="shared" si="8"/>
        <v>4.9642860114964575</v>
      </c>
      <c r="K13" s="131">
        <f t="shared" si="5"/>
        <v>94.219273252185587</v>
      </c>
      <c r="L13" s="131">
        <f t="shared" si="0"/>
        <v>1000</v>
      </c>
      <c r="M13" s="132">
        <f t="shared" si="6"/>
        <v>5539.6234308472158</v>
      </c>
      <c r="N13" s="133">
        <f t="shared" si="7"/>
        <v>905.78072674781436</v>
      </c>
      <c r="O13" s="134">
        <f>(uSuccessP*H13+uRevision*Standard!I13+uSuccessR*Standard!J13)/(1+oDR)^cycle</f>
        <v>692.48578224922642</v>
      </c>
      <c r="P13" s="29"/>
      <c r="Q13" s="29"/>
    </row>
    <row r="14" spans="1:17" x14ac:dyDescent="0.25">
      <c r="A14">
        <v>8</v>
      </c>
      <c r="C14" s="135">
        <f t="shared" si="1"/>
        <v>1.6518431162551028E-3</v>
      </c>
      <c r="E14" s="135">
        <f t="shared" si="2"/>
        <v>1.9300000000000001E-2</v>
      </c>
      <c r="G14" s="25"/>
      <c r="H14" s="131">
        <f t="shared" si="3"/>
        <v>880.40224794562164</v>
      </c>
      <c r="I14" s="131">
        <f t="shared" si="4"/>
        <v>1.6839798778072153</v>
      </c>
      <c r="J14" s="131">
        <f>I13*(1-mr-omrRTHR)+J13*(1-mr-rrr)</f>
        <v>6.1814630273025273</v>
      </c>
      <c r="K14" s="131">
        <f t="shared" si="5"/>
        <v>111.73230914926857</v>
      </c>
      <c r="L14" s="131">
        <f t="shared" si="0"/>
        <v>1000</v>
      </c>
      <c r="M14" s="132">
        <f t="shared" si="6"/>
        <v>5593.3746858122431</v>
      </c>
      <c r="N14" s="133">
        <f t="shared" si="7"/>
        <v>888.26769085073136</v>
      </c>
      <c r="O14" s="134">
        <f>(uSuccessP*H14+uRevision*Standard!I14+uSuccessR*Standard!J14)/(1+oDR)^cycle</f>
        <v>668.87542000157657</v>
      </c>
      <c r="P14" s="29"/>
      <c r="Q14" s="29"/>
    </row>
    <row r="15" spans="1:17" x14ac:dyDescent="0.25">
      <c r="A15">
        <v>9</v>
      </c>
      <c r="C15" s="135">
        <f t="shared" si="1"/>
        <v>1.7483419148011103E-3</v>
      </c>
      <c r="E15" s="135">
        <f t="shared" si="2"/>
        <v>1.9300000000000001E-2</v>
      </c>
      <c r="G15" s="25"/>
      <c r="H15" s="131">
        <f t="shared" si="3"/>
        <v>861.8712404083027</v>
      </c>
      <c r="I15" s="131">
        <f t="shared" si="4"/>
        <v>1.7865026730605511</v>
      </c>
      <c r="J15" s="131">
        <f t="shared" si="8"/>
        <v>7.4327017383928791</v>
      </c>
      <c r="K15" s="131">
        <f t="shared" si="5"/>
        <v>128.90955518024384</v>
      </c>
      <c r="L15" s="131">
        <f t="shared" si="0"/>
        <v>1000</v>
      </c>
      <c r="M15" s="132">
        <f t="shared" si="6"/>
        <v>5598.0248234435003</v>
      </c>
      <c r="N15" s="133">
        <f t="shared" si="7"/>
        <v>871.09044481975616</v>
      </c>
      <c r="O15" s="134">
        <f>(uSuccessP*H15+uRevision*Standard!I15+uSuccessR*Standard!J15)/(1+oDR)^cycle</f>
        <v>646.06218993486425</v>
      </c>
      <c r="P15" s="29"/>
      <c r="Q15" s="29"/>
    </row>
    <row r="16" spans="1:17" x14ac:dyDescent="0.25">
      <c r="A16">
        <v>10</v>
      </c>
      <c r="C16" s="135">
        <f t="shared" si="1"/>
        <v>1.8387973086411158E-3</v>
      </c>
      <c r="E16" s="135">
        <f t="shared" si="2"/>
        <v>1.9300000000000001E-2</v>
      </c>
      <c r="G16" s="25"/>
      <c r="H16" s="131">
        <f t="shared" si="3"/>
        <v>843.65231895116449</v>
      </c>
      <c r="I16" s="131">
        <f t="shared" si="4"/>
        <v>1.8821145867936822</v>
      </c>
      <c r="J16" s="131">
        <f t="shared" si="8"/>
        <v>8.7082356433154526</v>
      </c>
      <c r="K16" s="131">
        <f t="shared" si="5"/>
        <v>145.75733081872636</v>
      </c>
      <c r="L16" s="131">
        <f t="shared" si="0"/>
        <v>1000</v>
      </c>
      <c r="M16" s="132">
        <f t="shared" si="6"/>
        <v>5563.797882824214</v>
      </c>
      <c r="N16" s="133">
        <f t="shared" si="7"/>
        <v>854.24266918127364</v>
      </c>
      <c r="O16" s="134">
        <f>(uSuccessP*H16+uRevision*Standard!I16+uSuccessR*Standard!J16)/(1+oDR)^cycle</f>
        <v>624.01965239035974</v>
      </c>
      <c r="P16" s="29"/>
      <c r="Q16" s="29"/>
    </row>
    <row r="17" spans="1:17" x14ac:dyDescent="0.25">
      <c r="A17">
        <v>11</v>
      </c>
      <c r="C17" s="135">
        <f t="shared" si="1"/>
        <v>1.9241713306532571E-3</v>
      </c>
      <c r="E17" s="135">
        <f t="shared" si="2"/>
        <v>1.9300000000000001E-2</v>
      </c>
      <c r="G17" s="25"/>
      <c r="H17" s="131">
        <f t="shared" si="3"/>
        <v>825.74649759024203</v>
      </c>
      <c r="I17" s="131">
        <f t="shared" si="4"/>
        <v>1.9716610308975864</v>
      </c>
      <c r="J17" s="131">
        <f t="shared" si="8"/>
        <v>9.9999847531995378</v>
      </c>
      <c r="K17" s="131">
        <f t="shared" si="5"/>
        <v>162.28185662566082</v>
      </c>
      <c r="L17" s="131">
        <f t="shared" si="0"/>
        <v>1000</v>
      </c>
      <c r="M17" s="132">
        <f t="shared" si="6"/>
        <v>5498.5942288891783</v>
      </c>
      <c r="N17" s="133">
        <f t="shared" si="7"/>
        <v>837.71814337433921</v>
      </c>
      <c r="O17" s="134">
        <f>(uSuccessP*H17+uRevision*Standard!I17+uSuccessR*Standard!J17)/(1+oDR)^cycle</f>
        <v>602.72222953283153</v>
      </c>
      <c r="P17" s="29"/>
      <c r="Q17" s="29"/>
    </row>
    <row r="18" spans="1:17" x14ac:dyDescent="0.25">
      <c r="A18">
        <v>12</v>
      </c>
      <c r="C18" s="135">
        <f t="shared" si="1"/>
        <v>2.0051969719669938E-3</v>
      </c>
      <c r="E18" s="135">
        <f t="shared" si="2"/>
        <v>1.9300000000000001E-2</v>
      </c>
      <c r="G18" s="25"/>
      <c r="H18" s="131">
        <f t="shared" si="3"/>
        <v>808.15380581017007</v>
      </c>
      <c r="I18" s="131">
        <f t="shared" si="4"/>
        <v>2.0557837667082852</v>
      </c>
      <c r="J18" s="131">
        <f>I17*(1-mr-omrRTHR)+J17*(1-mr-rrr)</f>
        <v>11.301160409718117</v>
      </c>
      <c r="K18" s="131">
        <f t="shared" si="5"/>
        <v>178.48925001340353</v>
      </c>
      <c r="L18" s="131">
        <f t="shared" si="0"/>
        <v>1000</v>
      </c>
      <c r="M18" s="132">
        <f t="shared" si="6"/>
        <v>5408.676246721453</v>
      </c>
      <c r="N18" s="133">
        <f t="shared" si="7"/>
        <v>821.51074998659647</v>
      </c>
      <c r="O18" s="134">
        <f>(uSuccessP*H18+uRevision*Standard!I18+uSuccessR*Standard!J18)/(1+oDR)^cycle</f>
        <v>582.14516723605914</v>
      </c>
      <c r="P18" s="29"/>
      <c r="Q18" s="29"/>
    </row>
    <row r="19" spans="1:17" x14ac:dyDescent="0.25">
      <c r="A19">
        <v>13</v>
      </c>
      <c r="C19" s="135">
        <f t="shared" si="1"/>
        <v>2.0824477370303685E-3</v>
      </c>
      <c r="E19" s="135">
        <f t="shared" si="2"/>
        <v>1.9300000000000001E-2</v>
      </c>
      <c r="G19" s="25"/>
      <c r="H19" s="131">
        <f t="shared" si="3"/>
        <v>790.87349929395191</v>
      </c>
      <c r="I19" s="131">
        <f t="shared" si="4"/>
        <v>2.1349844804705933</v>
      </c>
      <c r="J19" s="131">
        <f t="shared" si="8"/>
        <v>12.605993062098483</v>
      </c>
      <c r="K19" s="131">
        <f t="shared" si="5"/>
        <v>194.38552316347901</v>
      </c>
      <c r="L19" s="131">
        <f t="shared" si="0"/>
        <v>1000</v>
      </c>
      <c r="M19" s="132">
        <f t="shared" si="6"/>
        <v>5299.1036083132585</v>
      </c>
      <c r="N19" s="133">
        <f t="shared" si="7"/>
        <v>805.61447683652102</v>
      </c>
      <c r="O19" s="134">
        <f>(uSuccessP*H19+uRevision*Standard!I19+uSuccessR*Standard!J19)/(1+oDR)^cycle</f>
        <v>562.26450525096789</v>
      </c>
      <c r="P19" s="29"/>
      <c r="Q19" s="29"/>
    </row>
    <row r="20" spans="1:17" x14ac:dyDescent="0.25">
      <c r="A20">
        <v>14</v>
      </c>
      <c r="C20" s="135">
        <f t="shared" si="1"/>
        <v>2.1563822245680431E-3</v>
      </c>
      <c r="E20" s="135">
        <f t="shared" si="2"/>
        <v>1.9300000000000001E-2</v>
      </c>
      <c r="G20" s="25"/>
      <c r="H20" s="131">
        <f t="shared" si="3"/>
        <v>773.90421520181928</v>
      </c>
      <c r="I20" s="131">
        <f t="shared" si="4"/>
        <v>2.2096652782433441</v>
      </c>
      <c r="J20" s="131">
        <f t="shared" si="8"/>
        <v>13.909537263904141</v>
      </c>
      <c r="K20" s="131">
        <f t="shared" si="5"/>
        <v>209.97658225603328</v>
      </c>
      <c r="L20" s="131">
        <f t="shared" si="0"/>
        <v>1000</v>
      </c>
      <c r="M20" s="132">
        <f t="shared" si="6"/>
        <v>5174.0225201723997</v>
      </c>
      <c r="N20" s="133">
        <f t="shared" si="7"/>
        <v>790.02341774396677</v>
      </c>
      <c r="O20" s="134">
        <f>(uSuccessP*H20+uRevision*Standard!I20+uSuccessR*Standard!J20)/(1+oDR)^cycle</f>
        <v>543.0570516413095</v>
      </c>
      <c r="P20" s="29"/>
      <c r="Q20" s="29"/>
    </row>
    <row r="21" spans="1:17" x14ac:dyDescent="0.25">
      <c r="A21">
        <v>15</v>
      </c>
      <c r="C21" s="135">
        <f t="shared" si="1"/>
        <v>2.2273738841613877E-3</v>
      </c>
      <c r="E21" s="135">
        <f t="shared" si="2"/>
        <v>5.3499999999999999E-2</v>
      </c>
      <c r="G21" s="25"/>
      <c r="H21" s="131">
        <f t="shared" si="3"/>
        <v>730.77656565073903</v>
      </c>
      <c r="I21" s="131">
        <f t="shared" si="4"/>
        <v>2.2801555283391126</v>
      </c>
      <c r="J21" s="131">
        <f t="shared" si="8"/>
        <v>14.656250410021562</v>
      </c>
      <c r="K21" s="131">
        <f t="shared" si="5"/>
        <v>252.28702841090038</v>
      </c>
      <c r="L21" s="131">
        <f t="shared" si="0"/>
        <v>1000.0000000000001</v>
      </c>
      <c r="M21" s="132">
        <f t="shared" si="6"/>
        <v>5036.866370190045</v>
      </c>
      <c r="N21" s="133">
        <f t="shared" si="7"/>
        <v>747.71297158909965</v>
      </c>
      <c r="O21" s="134">
        <f>(uSuccessP*H21+uRevision*Standard!I21+uSuccessR*Standard!J21)/(1+oDR)^cycle</f>
        <v>506.17507912960684</v>
      </c>
      <c r="P21" s="29"/>
      <c r="Q21" s="29"/>
    </row>
    <row r="22" spans="1:17" x14ac:dyDescent="0.25">
      <c r="A22">
        <v>16</v>
      </c>
      <c r="C22" s="135">
        <f t="shared" si="1"/>
        <v>2.295731557633518E-3</v>
      </c>
      <c r="E22" s="135">
        <f t="shared" si="2"/>
        <v>5.3499999999999999E-2</v>
      </c>
      <c r="G22" s="25"/>
      <c r="H22" s="131">
        <f t="shared" si="3"/>
        <v>690.00235256508108</v>
      </c>
      <c r="I22" s="131">
        <f t="shared" si="4"/>
        <v>2.2639168397443066</v>
      </c>
      <c r="J22" s="131">
        <f>I21*(1-mr-omrRTHR)+J21*(1-mr-rrr)</f>
        <v>15.398455093690732</v>
      </c>
      <c r="K22" s="131">
        <f t="shared" si="5"/>
        <v>292.33527550148398</v>
      </c>
      <c r="L22" s="131">
        <f t="shared" si="0"/>
        <v>1000</v>
      </c>
      <c r="M22" s="132">
        <f t="shared" si="6"/>
        <v>4717.9198934770038</v>
      </c>
      <c r="N22" s="133">
        <f t="shared" si="7"/>
        <v>707.66472449851608</v>
      </c>
      <c r="O22" s="134">
        <f>(uSuccessP*H22+uRevision*Standard!I22+uSuccessR*Standard!J22)/(1+oDR)^cycle</f>
        <v>471.81783682194714</v>
      </c>
      <c r="P22" s="29"/>
      <c r="Q22" s="29"/>
    </row>
    <row r="23" spans="1:17" x14ac:dyDescent="0.25">
      <c r="A23">
        <v>17</v>
      </c>
      <c r="C23" s="135">
        <f t="shared" si="1"/>
        <v>2.361714067431353E-3</v>
      </c>
      <c r="E23" s="135">
        <f t="shared" si="2"/>
        <v>5.3499999999999999E-2</v>
      </c>
      <c r="G23" s="25"/>
      <c r="H23" s="131">
        <f t="shared" si="3"/>
        <v>651.45763844023554</v>
      </c>
      <c r="I23" s="131">
        <f t="shared" si="4"/>
        <v>2.2455264663613095</v>
      </c>
      <c r="J23" s="131">
        <f t="shared" si="8"/>
        <v>16.056218494453748</v>
      </c>
      <c r="K23" s="131">
        <f t="shared" si="5"/>
        <v>330.24061659894949</v>
      </c>
      <c r="L23" s="131">
        <f t="shared" si="0"/>
        <v>1000.0000000000001</v>
      </c>
      <c r="M23" s="132">
        <f t="shared" si="6"/>
        <v>4414.7122905252882</v>
      </c>
      <c r="N23" s="133">
        <f t="shared" si="7"/>
        <v>669.75938340105063</v>
      </c>
      <c r="O23" s="134">
        <f>(uSuccessP*H23+uRevision*Standard!I23+uSuccessR*Standard!J23)/(1+oDR)^cycle</f>
        <v>439.7871686565507</v>
      </c>
      <c r="P23" s="29"/>
      <c r="Q23" s="29"/>
    </row>
    <row r="24" spans="1:17" x14ac:dyDescent="0.25">
      <c r="A24">
        <v>18</v>
      </c>
      <c r="C24" s="135">
        <f t="shared" si="1"/>
        <v>2.425540832006079E-3</v>
      </c>
      <c r="E24" s="135">
        <f t="shared" si="2"/>
        <v>5.3499999999999999E-2</v>
      </c>
      <c r="G24" s="25"/>
      <c r="H24" s="131">
        <f t="shared" si="3"/>
        <v>615.02451768132391</v>
      </c>
      <c r="I24" s="131">
        <f t="shared" si="4"/>
        <v>2.2223858421371943</v>
      </c>
      <c r="J24" s="131">
        <f t="shared" si="8"/>
        <v>16.635442336306077</v>
      </c>
      <c r="K24" s="131">
        <f t="shared" si="5"/>
        <v>366.1176541402329</v>
      </c>
      <c r="L24" s="131">
        <f t="shared" si="0"/>
        <v>1000</v>
      </c>
      <c r="M24" s="132">
        <f t="shared" si="6"/>
        <v>4121.9035363292169</v>
      </c>
      <c r="N24" s="133">
        <f t="shared" ref="N24:N39" si="9">(J24+I24+H24)</f>
        <v>633.88234585976716</v>
      </c>
      <c r="O24" s="134">
        <f>(uSuccessP*H24+uRevision*Standard!I24+uSuccessR*Standard!J24)/(1+oDR)^cycle</f>
        <v>409.92693323031659</v>
      </c>
      <c r="P24" s="29"/>
      <c r="Q24" s="29"/>
    </row>
    <row r="25" spans="1:17" x14ac:dyDescent="0.25">
      <c r="A25">
        <v>19</v>
      </c>
      <c r="C25" s="135">
        <f t="shared" si="1"/>
        <v>2.4873997543983783E-3</v>
      </c>
      <c r="E25" s="135">
        <f t="shared" si="2"/>
        <v>5.3499999999999999E-2</v>
      </c>
      <c r="G25" s="25"/>
      <c r="H25" s="131">
        <f t="shared" si="3"/>
        <v>580.59089415114363</v>
      </c>
      <c r="I25" s="131">
        <f t="shared" si="4"/>
        <v>2.1952295276817493</v>
      </c>
      <c r="J25" s="131">
        <f t="shared" si="8"/>
        <v>17.13906896060157</v>
      </c>
      <c r="K25" s="131">
        <f t="shared" si="5"/>
        <v>400.07480736057317</v>
      </c>
      <c r="L25" s="131">
        <f t="shared" si="0"/>
        <v>1000</v>
      </c>
      <c r="M25" s="132">
        <f t="shared" si="6"/>
        <v>3841.0718641143972</v>
      </c>
      <c r="N25" s="133">
        <f t="shared" si="9"/>
        <v>599.925192639427</v>
      </c>
      <c r="O25" s="134">
        <f>(uSuccessP*H25+uRevision*Standard!I25+uSuccessR*Standard!J25)/(1+oDR)^cycle</f>
        <v>382.09039210874522</v>
      </c>
      <c r="P25" s="29"/>
      <c r="Q25" s="29"/>
    </row>
    <row r="26" spans="1:17" x14ac:dyDescent="0.25">
      <c r="A26">
        <v>20</v>
      </c>
      <c r="C26" s="135">
        <f t="shared" si="1"/>
        <v>2.5474531933036282E-3</v>
      </c>
      <c r="E26" s="135">
        <f t="shared" si="2"/>
        <v>5.3499999999999999E-2</v>
      </c>
      <c r="G26" s="25"/>
      <c r="H26" s="131">
        <f t="shared" si="3"/>
        <v>548.05025318674916</v>
      </c>
      <c r="I26" s="131">
        <f t="shared" si="4"/>
        <v>2.1645908857324025</v>
      </c>
      <c r="J26" s="131">
        <f t="shared" si="8"/>
        <v>17.570446170182464</v>
      </c>
      <c r="K26" s="131">
        <f t="shared" si="5"/>
        <v>432.21470975733615</v>
      </c>
      <c r="L26" s="131">
        <f t="shared" si="0"/>
        <v>1000.0000000000002</v>
      </c>
      <c r="M26" s="132">
        <f t="shared" si="6"/>
        <v>3573.0776726935896</v>
      </c>
      <c r="N26" s="133">
        <f t="shared" si="9"/>
        <v>567.78529024266402</v>
      </c>
      <c r="O26" s="134">
        <f>(uSuccessP*H26+uRevision*Standard!I26+uSuccessR*Standard!J26)/(1+oDR)^cycle</f>
        <v>356.14073138485799</v>
      </c>
      <c r="P26" s="29"/>
      <c r="Q26" s="29"/>
    </row>
    <row r="27" spans="1:17" x14ac:dyDescent="0.25">
      <c r="A27">
        <v>21</v>
      </c>
      <c r="C27" s="135">
        <f t="shared" si="1"/>
        <v>2.6058425566612975E-3</v>
      </c>
      <c r="E27" s="135">
        <f t="shared" si="2"/>
        <v>5.3499999999999999E-2</v>
      </c>
      <c r="G27" s="25"/>
      <c r="H27" s="131">
        <f t="shared" si="3"/>
        <v>517.301431968315</v>
      </c>
      <c r="I27" s="131">
        <f t="shared" si="4"/>
        <v>2.1309505197503285</v>
      </c>
      <c r="J27" s="131">
        <f t="shared" si="8"/>
        <v>17.933102908901475</v>
      </c>
      <c r="K27" s="131">
        <f t="shared" si="5"/>
        <v>462.63451460303332</v>
      </c>
      <c r="L27" s="131">
        <f t="shared" si="0"/>
        <v>1000</v>
      </c>
      <c r="M27" s="132">
        <f t="shared" si="6"/>
        <v>3318.4412404426357</v>
      </c>
      <c r="N27" s="133">
        <f t="shared" si="9"/>
        <v>537.36548539696685</v>
      </c>
      <c r="O27" s="134">
        <f>(uSuccessP*H27+uRevision*Standard!I27+uSuccessR*Standard!J27)/(1+oDR)^cycle</f>
        <v>331.95035279781411</v>
      </c>
      <c r="P27" s="29"/>
      <c r="Q27" s="29"/>
    </row>
    <row r="28" spans="1:17" x14ac:dyDescent="0.25">
      <c r="A28">
        <v>22</v>
      </c>
      <c r="C28" s="135">
        <f t="shared" si="1"/>
        <v>2.6626918868932758E-3</v>
      </c>
      <c r="E28" s="135">
        <f t="shared" si="2"/>
        <v>5.3499999999999999E-2</v>
      </c>
      <c r="G28" s="25"/>
      <c r="H28" s="131">
        <f t="shared" si="3"/>
        <v>488.24839103202987</v>
      </c>
      <c r="I28" s="131">
        <f t="shared" si="4"/>
        <v>2.0947384423363653</v>
      </c>
      <c r="J28" s="131">
        <f t="shared" si="8"/>
        <v>18.230683443467864</v>
      </c>
      <c r="K28" s="131">
        <f t="shared" si="5"/>
        <v>491.42618708216605</v>
      </c>
      <c r="L28" s="131">
        <f t="shared" si="0"/>
        <v>1000.0000000000002</v>
      </c>
      <c r="M28" s="132">
        <f t="shared" si="6"/>
        <v>3077.405346954466</v>
      </c>
      <c r="N28" s="133">
        <f t="shared" si="9"/>
        <v>508.57381291783412</v>
      </c>
      <c r="O28" s="134">
        <f>(uSuccessP*H28+uRevision*Standard!I28+uSuccessR*Standard!J28)/(1+oDR)^cycle</f>
        <v>309.4002579945431</v>
      </c>
      <c r="P28" s="29"/>
      <c r="Q28" s="29"/>
    </row>
    <row r="29" spans="1:17" x14ac:dyDescent="0.25">
      <c r="A29">
        <v>23</v>
      </c>
      <c r="C29" s="135">
        <f t="shared" si="1"/>
        <v>2.7181106954937695E-3</v>
      </c>
      <c r="E29" s="135">
        <f t="shared" si="2"/>
        <v>5.3499999999999999E-2</v>
      </c>
      <c r="G29" s="25"/>
      <c r="H29" s="131">
        <f t="shared" si="3"/>
        <v>460.79998893809449</v>
      </c>
      <c r="I29" s="131">
        <f t="shared" si="4"/>
        <v>2.0563405114604993</v>
      </c>
      <c r="J29" s="131">
        <f t="shared" si="8"/>
        <v>18.46688970832826</v>
      </c>
      <c r="K29" s="131">
        <f t="shared" si="5"/>
        <v>518.67678084211695</v>
      </c>
      <c r="L29" s="131">
        <f t="shared" si="0"/>
        <v>1000.0000000000002</v>
      </c>
      <c r="M29" s="132">
        <f t="shared" si="6"/>
        <v>2849.9947986614061</v>
      </c>
      <c r="N29" s="133">
        <f t="shared" si="9"/>
        <v>481.32321915788327</v>
      </c>
      <c r="O29" s="134">
        <f>(uSuccessP*H29+uRevision*Standard!I29+uSuccessR*Standard!J29)/(1+oDR)^cycle</f>
        <v>288.37947186424606</v>
      </c>
      <c r="P29" s="29"/>
      <c r="Q29" s="29"/>
    </row>
    <row r="30" spans="1:17" x14ac:dyDescent="0.25">
      <c r="A30">
        <v>24</v>
      </c>
      <c r="C30" s="135">
        <f t="shared" si="1"/>
        <v>2.7721962303374204E-3</v>
      </c>
      <c r="E30" s="135">
        <f t="shared" si="2"/>
        <v>5.3499999999999999E-2</v>
      </c>
      <c r="G30" s="25"/>
      <c r="H30" s="131">
        <f t="shared" si="3"/>
        <v>434.86976153763271</v>
      </c>
      <c r="I30" s="131">
        <f t="shared" si="4"/>
        <v>2.016103580606841</v>
      </c>
      <c r="J30" s="131">
        <f t="shared" si="8"/>
        <v>18.645435004467721</v>
      </c>
      <c r="K30" s="131">
        <f t="shared" si="5"/>
        <v>544.46869987729292</v>
      </c>
      <c r="L30" s="131">
        <f t="shared" si="0"/>
        <v>1000.0000000000002</v>
      </c>
      <c r="M30" s="132">
        <f t="shared" si="6"/>
        <v>2636.0643728226637</v>
      </c>
      <c r="N30" s="133">
        <f t="shared" si="9"/>
        <v>455.53130012270725</v>
      </c>
      <c r="O30" s="134">
        <f>(uSuccessP*H30+uRevision*Standard!I30+uSuccessR*Standard!J30)/(1+oDR)^cycle</f>
        <v>268.78450425433573</v>
      </c>
      <c r="P30" s="29"/>
      <c r="Q30" s="29"/>
    </row>
    <row r="31" spans="1:17" x14ac:dyDescent="0.25">
      <c r="A31">
        <v>25</v>
      </c>
      <c r="C31" s="135">
        <f t="shared" si="1"/>
        <v>2.8250353084126045E-3</v>
      </c>
      <c r="E31" s="135">
        <f t="shared" si="2"/>
        <v>0.15480000000000002</v>
      </c>
      <c r="G31" s="25"/>
      <c r="H31" s="131">
        <f t="shared" si="3"/>
        <v>366.32340002070237</v>
      </c>
      <c r="I31" s="131">
        <f t="shared" si="4"/>
        <v>1.974339831083491</v>
      </c>
      <c r="J31" s="131">
        <f t="shared" si="8"/>
        <v>16.676992940314172</v>
      </c>
      <c r="K31" s="131">
        <f t="shared" si="5"/>
        <v>615.02526720790013</v>
      </c>
      <c r="L31" s="131">
        <f t="shared" si="0"/>
        <v>1000.0000000000002</v>
      </c>
      <c r="M31" s="132">
        <f t="shared" si="6"/>
        <v>2435.3378161354999</v>
      </c>
      <c r="N31" s="133">
        <f t="shared" si="9"/>
        <v>384.97473279210004</v>
      </c>
      <c r="O31" s="134">
        <f>(uSuccessP*H31+uRevision*Standard!I31+uSuccessR*Standard!J31)/(1+oDR)^cycle</f>
        <v>223.63001870021876</v>
      </c>
      <c r="P31" s="29"/>
      <c r="Q31" s="29"/>
    </row>
    <row r="32" spans="1:17" x14ac:dyDescent="0.25">
      <c r="A32">
        <v>26</v>
      </c>
      <c r="C32" s="135">
        <f t="shared" si="1"/>
        <v>2.8767058115199973E-3</v>
      </c>
      <c r="E32" s="135">
        <f t="shared" si="2"/>
        <v>0.15480000000000002</v>
      </c>
      <c r="G32" s="25"/>
      <c r="H32" s="131">
        <f t="shared" si="3"/>
        <v>308.56273304376231</v>
      </c>
      <c r="I32" s="131">
        <f t="shared" si="4"/>
        <v>1.7208843713478861</v>
      </c>
      <c r="J32" s="131">
        <f t="shared" si="8"/>
        <v>15.057539944151065</v>
      </c>
      <c r="K32" s="131">
        <f t="shared" si="5"/>
        <v>674.65884264073884</v>
      </c>
      <c r="L32" s="131">
        <f t="shared" si="0"/>
        <v>1000.0000000000001</v>
      </c>
      <c r="M32" s="132">
        <f t="shared" si="6"/>
        <v>2002.548903038941</v>
      </c>
      <c r="N32" s="133">
        <f t="shared" si="9"/>
        <v>325.34115735926127</v>
      </c>
      <c r="O32" s="134">
        <f>(uSuccessP*H32+uRevision*Standard!I32+uSuccessR*Standard!J32)/(1+oDR)^cycle</f>
        <v>186.11120316046524</v>
      </c>
      <c r="P32" s="29"/>
      <c r="Q32" s="29"/>
    </row>
    <row r="33" spans="1:17" x14ac:dyDescent="0.25">
      <c r="A33">
        <v>27</v>
      </c>
      <c r="C33" s="135">
        <f t="shared" si="1"/>
        <v>2.9272779176283681E-3</v>
      </c>
      <c r="E33" s="135">
        <f t="shared" si="2"/>
        <v>0.15480000000000002</v>
      </c>
      <c r="G33" s="25"/>
      <c r="H33" s="131">
        <f t="shared" si="3"/>
        <v>259.89397309394582</v>
      </c>
      <c r="I33" s="131">
        <f t="shared" si="4"/>
        <v>1.5055504724081052</v>
      </c>
      <c r="J33" s="131">
        <f t="shared" si="8"/>
        <v>13.544404946266713</v>
      </c>
      <c r="K33" s="131">
        <f t="shared" si="5"/>
        <v>725.05607148737943</v>
      </c>
      <c r="L33" s="131">
        <f t="shared" si="0"/>
        <v>1000</v>
      </c>
      <c r="M33" s="132">
        <f t="shared" si="6"/>
        <v>1652.8022458225576</v>
      </c>
      <c r="N33" s="133">
        <f t="shared" si="9"/>
        <v>274.94392851262063</v>
      </c>
      <c r="O33" s="134">
        <f>(uSuccessP*H33+uRevision*Standard!I33+uSuccessR*Standard!J33)/(1+oDR)^cycle</f>
        <v>154.8834750464226</v>
      </c>
      <c r="P33" s="29"/>
      <c r="Q33" s="29"/>
    </row>
    <row r="34" spans="1:17" x14ac:dyDescent="0.25">
      <c r="A34">
        <v>28</v>
      </c>
      <c r="C34" s="135">
        <f t="shared" si="1"/>
        <v>2.9768151227684836E-3</v>
      </c>
      <c r="E34" s="135">
        <f t="shared" si="2"/>
        <v>0.15480000000000002</v>
      </c>
      <c r="G34" s="25"/>
      <c r="H34" s="131">
        <f t="shared" si="3"/>
        <v>218.88872974958056</v>
      </c>
      <c r="I34" s="131">
        <f t="shared" si="4"/>
        <v>1.3154325072731119</v>
      </c>
      <c r="J34" s="131">
        <f t="shared" si="8"/>
        <v>12.148335112565125</v>
      </c>
      <c r="K34" s="131">
        <f t="shared" si="5"/>
        <v>767.64750263058124</v>
      </c>
      <c r="L34" s="131">
        <f t="shared" si="0"/>
        <v>1000</v>
      </c>
      <c r="M34" s="132">
        <f t="shared" si="6"/>
        <v>1362.348693512844</v>
      </c>
      <c r="N34" s="133">
        <f t="shared" si="9"/>
        <v>232.35249736941881</v>
      </c>
      <c r="O34" s="134">
        <f>(uSuccessP*H34+uRevision*Standard!I34+uSuccessR*Standard!J34)/(1+oDR)^cycle</f>
        <v>128.89430693742838</v>
      </c>
      <c r="P34" s="29"/>
      <c r="Q34" s="29"/>
    </row>
    <row r="35" spans="1:17" x14ac:dyDescent="0.25">
      <c r="A35">
        <v>29</v>
      </c>
      <c r="C35" s="135">
        <f t="shared" si="1"/>
        <v>3.0253750953738168E-3</v>
      </c>
      <c r="E35" s="135">
        <f t="shared" si="2"/>
        <v>0.15480000000000002</v>
      </c>
      <c r="G35" s="25"/>
      <c r="H35" s="131">
        <f t="shared" si="3"/>
        <v>184.34253387270309</v>
      </c>
      <c r="I35" s="131">
        <f t="shared" si="4"/>
        <v>1.1481539161449958</v>
      </c>
      <c r="J35" s="131">
        <f t="shared" si="8"/>
        <v>10.867334337639209</v>
      </c>
      <c r="K35" s="131">
        <f t="shared" si="5"/>
        <v>803.6419778735127</v>
      </c>
      <c r="L35" s="131">
        <f t="shared" si="0"/>
        <v>1000</v>
      </c>
      <c r="M35" s="132">
        <f t="shared" si="6"/>
        <v>1121.796177276585</v>
      </c>
      <c r="N35" s="133">
        <f t="shared" si="9"/>
        <v>196.3580221264873</v>
      </c>
      <c r="O35" s="134">
        <f>(uSuccessP*H35+uRevision*Standard!I35+uSuccessR*Standard!J35)/(1+oDR)^cycle</f>
        <v>107.26505910107261</v>
      </c>
      <c r="P35" s="29"/>
      <c r="Q35" s="29"/>
    </row>
    <row r="36" spans="1:17" x14ac:dyDescent="0.25">
      <c r="A36">
        <v>30</v>
      </c>
      <c r="C36" s="135">
        <f t="shared" si="1"/>
        <v>3.0730103954259569E-3</v>
      </c>
      <c r="E36" s="135">
        <f t="shared" si="2"/>
        <v>0.15480000000000002</v>
      </c>
      <c r="G36" s="25"/>
      <c r="H36" s="131">
        <f t="shared" si="3"/>
        <v>155.23982310629867</v>
      </c>
      <c r="I36" s="131">
        <f t="shared" si="4"/>
        <v>1.0011798964155465</v>
      </c>
      <c r="J36" s="131">
        <f t="shared" si="8"/>
        <v>9.6978342202699412</v>
      </c>
      <c r="K36" s="131">
        <f t="shared" si="5"/>
        <v>834.06116277701585</v>
      </c>
      <c r="L36" s="131">
        <f t="shared" si="0"/>
        <v>1000</v>
      </c>
      <c r="M36" s="132">
        <f t="shared" si="6"/>
        <v>922.82658962205221</v>
      </c>
      <c r="N36" s="133">
        <f t="shared" si="9"/>
        <v>165.93883722298415</v>
      </c>
      <c r="O36" s="134">
        <f>(uSuccessP*H36+uRevision*Standard!I36+uSuccessR*Standard!J36)/(1+oDR)^cycle</f>
        <v>89.264503155612545</v>
      </c>
      <c r="P36" s="29"/>
      <c r="Q36" s="29"/>
    </row>
    <row r="37" spans="1:17" x14ac:dyDescent="0.25">
      <c r="A37">
        <v>31</v>
      </c>
      <c r="C37" s="135">
        <f t="shared" si="1"/>
        <v>3.1197690836320957E-3</v>
      </c>
      <c r="E37" s="135">
        <f t="shared" si="2"/>
        <v>0.15480000000000002</v>
      </c>
      <c r="G37" s="25"/>
      <c r="H37" s="131">
        <f t="shared" si="3"/>
        <v>130.72438608876809</v>
      </c>
      <c r="I37" s="131">
        <f t="shared" si="4"/>
        <v>0.87222576948634367</v>
      </c>
      <c r="J37" s="131">
        <f t="shared" si="8"/>
        <v>8.6348697646834651</v>
      </c>
      <c r="K37" s="131">
        <f t="shared" si="5"/>
        <v>859.76851837706215</v>
      </c>
      <c r="L37" s="131">
        <f t="shared" si="0"/>
        <v>1000</v>
      </c>
      <c r="M37" s="132">
        <f t="shared" si="6"/>
        <v>758.45711071669371</v>
      </c>
      <c r="N37" s="133">
        <f t="shared" si="9"/>
        <v>140.23148162293791</v>
      </c>
      <c r="O37" s="134">
        <f>(uSuccessP*H37+uRevision*Standard!I37+uSuccessR*Standard!J37)/(1+oDR)^cycle</f>
        <v>74.28401220552314</v>
      </c>
      <c r="P37" s="29"/>
      <c r="Q37" s="29"/>
    </row>
    <row r="38" spans="1:17" x14ac:dyDescent="0.25">
      <c r="A38">
        <v>32</v>
      </c>
      <c r="C38" s="135">
        <f t="shared" si="1"/>
        <v>3.1656952404857108E-3</v>
      </c>
      <c r="E38" s="135">
        <f t="shared" si="2"/>
        <v>0.15480000000000002</v>
      </c>
      <c r="G38" s="25"/>
      <c r="H38" s="131">
        <f t="shared" si="3"/>
        <v>110.07441755537015</v>
      </c>
      <c r="I38" s="131">
        <f t="shared" si="4"/>
        <v>0.75922835744396822</v>
      </c>
      <c r="J38" s="131">
        <f t="shared" si="8"/>
        <v>7.6725578395032565</v>
      </c>
      <c r="K38" s="131">
        <f t="shared" si="5"/>
        <v>881.49379624768267</v>
      </c>
      <c r="L38" s="131">
        <f t="shared" si="0"/>
        <v>1000</v>
      </c>
      <c r="M38" s="132">
        <f t="shared" si="6"/>
        <v>622.82877540729123</v>
      </c>
      <c r="N38" s="133">
        <f t="shared" si="9"/>
        <v>118.50620375231738</v>
      </c>
      <c r="O38" s="134">
        <f>(uSuccessP*H38+uRevision*Standard!I38+uSuccessR*Standard!J38)/(1+oDR)^cycle</f>
        <v>61.817014475277986</v>
      </c>
      <c r="P38" s="29"/>
      <c r="Q38" s="29"/>
    </row>
    <row r="39" spans="1:17" x14ac:dyDescent="0.25">
      <c r="A39">
        <v>33</v>
      </c>
      <c r="C39" s="135">
        <f t="shared" si="1"/>
        <v>3.2108294109639557E-3</v>
      </c>
      <c r="E39" s="135">
        <f t="shared" si="2"/>
        <v>0.15480000000000002</v>
      </c>
      <c r="G39" s="25"/>
      <c r="H39" s="131">
        <f t="shared" si="3"/>
        <v>92.681467540517332</v>
      </c>
      <c r="I39" s="131">
        <f t="shared" si="4"/>
        <v>0.66033249086163992</v>
      </c>
      <c r="J39" s="131">
        <f t="shared" si="8"/>
        <v>6.8044588129307844</v>
      </c>
      <c r="K39" s="131">
        <f t="shared" si="5"/>
        <v>899.85374115569027</v>
      </c>
      <c r="L39" s="131">
        <f t="shared" si="0"/>
        <v>1000</v>
      </c>
      <c r="M39" s="132">
        <f t="shared" si="6"/>
        <v>511.03782956089213</v>
      </c>
      <c r="N39" s="133">
        <f t="shared" si="9"/>
        <v>100.14625884430976</v>
      </c>
      <c r="O39" s="134">
        <f>(uSuccessP*H39+uRevision*Standard!I39+uSuccessR*Standard!J39)/(1+oDR)^cycle</f>
        <v>51.441885611153843</v>
      </c>
      <c r="P39" s="29"/>
      <c r="Q39" s="29"/>
    </row>
    <row r="40" spans="1:17" x14ac:dyDescent="0.25">
      <c r="A40">
        <v>34</v>
      </c>
      <c r="C40" s="135">
        <f t="shared" si="1"/>
        <v>3.2552089874650081E-3</v>
      </c>
      <c r="E40" s="135">
        <f t="shared" si="2"/>
        <v>0.15480000000000002</v>
      </c>
      <c r="G40" s="25"/>
      <c r="H40" s="131">
        <f t="shared" si="3"/>
        <v>78.03267881913591</v>
      </c>
      <c r="I40" s="131">
        <f t="shared" si="4"/>
        <v>0.57387589862656974</v>
      </c>
      <c r="J40" s="131">
        <f t="shared" si="8"/>
        <v>6.0238566076308926</v>
      </c>
      <c r="K40" s="131">
        <f t="shared" si="5"/>
        <v>915.36958867460669</v>
      </c>
      <c r="L40" s="131">
        <f t="shared" si="0"/>
        <v>1000</v>
      </c>
      <c r="M40" s="132">
        <f t="shared" si="6"/>
        <v>418.9888866451318</v>
      </c>
      <c r="N40" s="133">
        <f t="shared" ref="N40:N55" si="10">(J40+I40+H40)</f>
        <v>84.630411325393368</v>
      </c>
      <c r="O40" s="134">
        <f>(uSuccessP*H40+uRevision*Standard!I40+uSuccessR*Standard!J40)/(1+oDR)^cycle</f>
        <v>42.807707954557713</v>
      </c>
      <c r="P40" s="29"/>
      <c r="Q40" s="29"/>
    </row>
    <row r="41" spans="1:17" x14ac:dyDescent="0.25">
      <c r="A41">
        <v>35</v>
      </c>
      <c r="C41" s="135">
        <f t="shared" si="1"/>
        <v>3.2988685411393659E-3</v>
      </c>
      <c r="E41" s="135">
        <f t="shared" si="2"/>
        <v>0.15480000000000002</v>
      </c>
      <c r="G41" s="25"/>
      <c r="H41" s="131">
        <f t="shared" si="3"/>
        <v>65.695800588596384</v>
      </c>
      <c r="I41" s="131">
        <f t="shared" si="4"/>
        <v>0.49837381364251526</v>
      </c>
      <c r="J41" s="131">
        <f t="shared" si="8"/>
        <v>5.3239717320110396</v>
      </c>
      <c r="K41" s="131">
        <f t="shared" si="5"/>
        <v>928.48185386575017</v>
      </c>
      <c r="L41" s="131">
        <f t="shared" si="0"/>
        <v>1000.0000000000001</v>
      </c>
      <c r="M41" s="132">
        <f t="shared" si="6"/>
        <v>343.26843304220858</v>
      </c>
      <c r="N41" s="133">
        <f t="shared" si="10"/>
        <v>71.518146134249946</v>
      </c>
      <c r="O41" s="134">
        <f>(uSuccessP*H41+uRevision*Standard!I41+uSuccessR*Standard!J41)/(1+oDR)^cycle</f>
        <v>35.622416372640792</v>
      </c>
      <c r="P41" s="29"/>
      <c r="Q41" s="29"/>
    </row>
    <row r="42" spans="1:17" x14ac:dyDescent="0.25">
      <c r="A42">
        <v>36</v>
      </c>
      <c r="C42" s="135">
        <f t="shared" si="1"/>
        <v>3.3418401098594952E-3</v>
      </c>
      <c r="E42" s="135">
        <f t="shared" si="2"/>
        <v>0.15480000000000002</v>
      </c>
      <c r="G42" s="25"/>
      <c r="H42" s="131">
        <f t="shared" si="3"/>
        <v>55.306545796025361</v>
      </c>
      <c r="I42" s="131">
        <f t="shared" si="4"/>
        <v>0.43250373073674397</v>
      </c>
      <c r="J42" s="131">
        <f t="shared" si="8"/>
        <v>4.6981201096330922</v>
      </c>
      <c r="K42" s="131">
        <f t="shared" si="5"/>
        <v>939.56283036360492</v>
      </c>
      <c r="L42" s="131">
        <f t="shared" si="0"/>
        <v>1000.0000000000001</v>
      </c>
      <c r="M42" s="132">
        <f t="shared" si="6"/>
        <v>281.0364464683517</v>
      </c>
      <c r="N42" s="133">
        <f t="shared" si="10"/>
        <v>60.437169636395197</v>
      </c>
      <c r="O42" s="134">
        <f>(uSuccessP*H42+uRevision*Standard!I42+uSuccessR*Standard!J42)/(1+oDR)^cycle</f>
        <v>29.642930842532195</v>
      </c>
      <c r="P42" s="29"/>
      <c r="Q42" s="29"/>
    </row>
    <row r="43" spans="1:17" x14ac:dyDescent="0.25">
      <c r="A43">
        <v>37</v>
      </c>
      <c r="C43" s="135">
        <f t="shared" si="1"/>
        <v>3.3841534495534509E-3</v>
      </c>
      <c r="E43" s="135">
        <f t="shared" si="2"/>
        <v>0.15480000000000002</v>
      </c>
      <c r="G43" s="25"/>
      <c r="H43" s="131">
        <f t="shared" si="3"/>
        <v>46.557926669062127</v>
      </c>
      <c r="I43" s="131">
        <f t="shared" si="4"/>
        <v>0.37509064212382881</v>
      </c>
      <c r="J43" s="131">
        <f t="shared" si="8"/>
        <v>4.1398283908805267</v>
      </c>
      <c r="K43" s="131">
        <f t="shared" si="5"/>
        <v>948.92715429793361</v>
      </c>
      <c r="L43" s="131">
        <f t="shared" si="0"/>
        <v>1000.0000000000001</v>
      </c>
      <c r="M43" s="132">
        <f t="shared" si="6"/>
        <v>229.93397725703386</v>
      </c>
      <c r="N43" s="133">
        <f t="shared" si="10"/>
        <v>51.072845702066481</v>
      </c>
      <c r="O43" s="134">
        <f>(uSuccessP*H43+uRevision*Standard!I43+uSuccessR*Standard!J43)/(1+oDR)^cycle</f>
        <v>24.666942928358868</v>
      </c>
      <c r="P43" s="29"/>
      <c r="Q43" s="29"/>
    </row>
    <row r="44" spans="1:17" x14ac:dyDescent="0.25">
      <c r="A44">
        <v>38</v>
      </c>
      <c r="C44" s="135">
        <f t="shared" si="1"/>
        <v>3.4258362544402621E-3</v>
      </c>
      <c r="E44" s="135">
        <f t="shared" si="2"/>
        <v>0.15480000000000002</v>
      </c>
      <c r="G44" s="25"/>
      <c r="H44" s="131">
        <f t="shared" si="3"/>
        <v>39.191259787576861</v>
      </c>
      <c r="I44" s="131">
        <f t="shared" si="4"/>
        <v>0.32509296874966526</v>
      </c>
      <c r="J44" s="131">
        <f t="shared" si="8"/>
        <v>3.6429146182175831</v>
      </c>
      <c r="K44" s="131">
        <f t="shared" si="5"/>
        <v>956.84073262545598</v>
      </c>
      <c r="L44" s="131">
        <f t="shared" si="0"/>
        <v>1000.0000000000001</v>
      </c>
      <c r="M44" s="132">
        <f t="shared" si="6"/>
        <v>188.00466835706101</v>
      </c>
      <c r="N44" s="133">
        <f t="shared" si="10"/>
        <v>43.159267374544108</v>
      </c>
      <c r="O44" s="134">
        <f>(uSuccessP*H44+uRevision*Standard!I44+uSuccessR*Standard!J44)/(1+oDR)^cycle</f>
        <v>20.526079035390421</v>
      </c>
      <c r="P44" s="29"/>
      <c r="Q44" s="29"/>
    </row>
    <row r="45" spans="1:17" x14ac:dyDescent="0.25">
      <c r="A45">
        <v>39</v>
      </c>
      <c r="C45" s="135">
        <f t="shared" si="1"/>
        <v>3.4669143507320976E-3</v>
      </c>
      <c r="E45" s="135">
        <f t="shared" si="2"/>
        <v>0.15480000000000002</v>
      </c>
      <c r="G45" s="25"/>
      <c r="H45" s="131">
        <f t="shared" si="3"/>
        <v>32.988580031479138</v>
      </c>
      <c r="I45" s="131">
        <f t="shared" si="4"/>
        <v>0.28158932570952333</v>
      </c>
      <c r="J45" s="131">
        <f t="shared" si="8"/>
        <v>3.2015415684010211</v>
      </c>
      <c r="K45" s="131">
        <f t="shared" si="5"/>
        <v>963.5282890744104</v>
      </c>
      <c r="L45" s="131">
        <f t="shared" si="0"/>
        <v>1000.0000000000001</v>
      </c>
      <c r="M45" s="132">
        <f t="shared" si="6"/>
        <v>153.62835471318866</v>
      </c>
      <c r="N45" s="133">
        <f t="shared" si="10"/>
        <v>36.471710925589683</v>
      </c>
      <c r="O45" s="134">
        <f>(uSuccessP*H45+uRevision*Standard!I45+uSuccessR*Standard!J45)/(1+oDR)^cycle</f>
        <v>17.080209739170844</v>
      </c>
      <c r="P45" s="29"/>
      <c r="Q45" s="29"/>
    </row>
    <row r="46" spans="1:17" x14ac:dyDescent="0.25">
      <c r="A46">
        <v>40</v>
      </c>
      <c r="C46" s="135">
        <f t="shared" si="1"/>
        <v>3.5074118676067245E-3</v>
      </c>
      <c r="E46" s="135">
        <f t="shared" si="2"/>
        <v>0.15480000000000002</v>
      </c>
      <c r="G46" s="25"/>
      <c r="H46" s="131">
        <f t="shared" si="3"/>
        <v>27.766243305508262</v>
      </c>
      <c r="I46" s="131">
        <f t="shared" si="4"/>
        <v>0.24376619983394499</v>
      </c>
      <c r="J46" s="131">
        <f t="shared" si="8"/>
        <v>2.8102487824520006</v>
      </c>
      <c r="K46" s="131">
        <f t="shared" si="5"/>
        <v>969.1797417122059</v>
      </c>
      <c r="L46" s="131">
        <f t="shared" si="0"/>
        <v>1000.0000000000001</v>
      </c>
      <c r="M46" s="132">
        <f t="shared" si="6"/>
        <v>125.46506425797442</v>
      </c>
      <c r="N46" s="133">
        <f t="shared" si="10"/>
        <v>30.820258287794207</v>
      </c>
      <c r="O46" s="134">
        <f>(uSuccessP*H46+uRevision*Standard!I46+uSuccessR*Standard!J46)/(1+oDR)^cycle</f>
        <v>14.212713130838159</v>
      </c>
      <c r="P46" s="29"/>
      <c r="Q46" s="29"/>
    </row>
    <row r="47" spans="1:17" x14ac:dyDescent="0.25">
      <c r="A47">
        <v>41</v>
      </c>
      <c r="C47" s="135">
        <f t="shared" si="1"/>
        <v>3.5473513886211672E-3</v>
      </c>
      <c r="E47" s="135">
        <f t="shared" si="2"/>
        <v>0.15480000000000002</v>
      </c>
      <c r="G47" s="25"/>
      <c r="H47" s="131">
        <f t="shared" si="3"/>
        <v>23.369532220068994</v>
      </c>
      <c r="I47" s="131">
        <f t="shared" si="4"/>
        <v>0.21090657304466795</v>
      </c>
      <c r="J47" s="131">
        <f t="shared" si="8"/>
        <v>2.4639681877333217</v>
      </c>
      <c r="K47" s="131">
        <f t="shared" si="5"/>
        <v>973.95559301915307</v>
      </c>
      <c r="L47" s="131">
        <f t="shared" si="0"/>
        <v>1000</v>
      </c>
      <c r="M47" s="132">
        <f t="shared" si="6"/>
        <v>102.40792727073836</v>
      </c>
      <c r="N47" s="133">
        <f t="shared" si="10"/>
        <v>26.044406980846983</v>
      </c>
      <c r="O47" s="134">
        <f>(uSuccessP*H47+uRevision*Standard!I47+uSuccessR*Standard!J47)/(1+oDR)^cycle</f>
        <v>11.8265322931081</v>
      </c>
      <c r="P47" s="29"/>
      <c r="Q47" s="29"/>
    </row>
    <row r="48" spans="1:17" x14ac:dyDescent="0.25">
      <c r="A48">
        <v>42</v>
      </c>
      <c r="C48" s="135">
        <f t="shared" si="1"/>
        <v>3.5867540862291047E-3</v>
      </c>
      <c r="E48" s="135">
        <f t="shared" si="2"/>
        <v>0.15480000000000002</v>
      </c>
      <c r="G48" s="25"/>
      <c r="H48" s="131">
        <f t="shared" si="3"/>
        <v>19.668107867218716</v>
      </c>
      <c r="I48" s="131">
        <f t="shared" si="4"/>
        <v>0.18237949269292805</v>
      </c>
      <c r="J48" s="131">
        <f t="shared" si="8"/>
        <v>2.1580272888393304</v>
      </c>
      <c r="K48" s="131">
        <f t="shared" si="5"/>
        <v>977.99148535124903</v>
      </c>
      <c r="L48" s="131">
        <f t="shared" si="0"/>
        <v>1000</v>
      </c>
      <c r="M48" s="132">
        <f t="shared" si="6"/>
        <v>83.543679553279546</v>
      </c>
      <c r="N48" s="133">
        <f t="shared" si="10"/>
        <v>22.008514648750975</v>
      </c>
      <c r="O48" s="134">
        <f>(uSuccessP*H48+uRevision*Standard!I48+uSuccessR*Standard!J48)/(1+oDR)^cycle</f>
        <v>9.8408938073433454</v>
      </c>
      <c r="P48" s="29"/>
      <c r="Q48" s="29"/>
    </row>
    <row r="49" spans="1:17" x14ac:dyDescent="0.25">
      <c r="A49">
        <v>43</v>
      </c>
      <c r="C49" s="135">
        <f t="shared" si="1"/>
        <v>3.6256398416483204E-3</v>
      </c>
      <c r="E49" s="135">
        <f t="shared" si="2"/>
        <v>0.15480000000000002</v>
      </c>
      <c r="G49" s="25"/>
      <c r="H49" s="131">
        <f t="shared" si="3"/>
        <v>16.552175293880033</v>
      </c>
      <c r="I49" s="131">
        <f t="shared" si="4"/>
        <v>0.15763056704679818</v>
      </c>
      <c r="J49" s="131">
        <f t="shared" si="8"/>
        <v>1.8881431303436327</v>
      </c>
      <c r="K49" s="131">
        <f t="shared" si="5"/>
        <v>981.40205100872959</v>
      </c>
      <c r="L49" s="131">
        <f t="shared" si="0"/>
        <v>1000</v>
      </c>
      <c r="M49" s="132">
        <f t="shared" si="6"/>
        <v>68.119612441855011</v>
      </c>
      <c r="N49" s="133">
        <f t="shared" si="10"/>
        <v>18.597948991270464</v>
      </c>
      <c r="O49" s="134">
        <f>(uSuccessP*H49+uRevision*Standard!I49+uSuccessR*Standard!J49)/(1+oDR)^cycle</f>
        <v>8.1885764923972477</v>
      </c>
      <c r="P49" s="29"/>
      <c r="Q49" s="29"/>
    </row>
    <row r="50" spans="1:17" x14ac:dyDescent="0.25">
      <c r="A50">
        <v>44</v>
      </c>
      <c r="C50" s="135">
        <f t="shared" si="1"/>
        <v>3.6640273519783495E-3</v>
      </c>
      <c r="E50" s="135">
        <f t="shared" si="2"/>
        <v>0.15480000000000002</v>
      </c>
      <c r="G50" s="25"/>
      <c r="H50" s="131">
        <f t="shared" si="3"/>
        <v>13.929250935375887</v>
      </c>
      <c r="I50" s="131">
        <f t="shared" si="4"/>
        <v>0.13617334822526203</v>
      </c>
      <c r="J50" s="131">
        <f t="shared" si="8"/>
        <v>1.6504095924797106</v>
      </c>
      <c r="K50" s="131">
        <f t="shared" si="5"/>
        <v>984.28416612391914</v>
      </c>
      <c r="L50" s="131">
        <f t="shared" si="0"/>
        <v>1000</v>
      </c>
      <c r="M50" s="132">
        <f t="shared" si="6"/>
        <v>55.515976253494493</v>
      </c>
      <c r="N50" s="133">
        <f t="shared" si="10"/>
        <v>15.715833876080859</v>
      </c>
      <c r="O50" s="134">
        <f>(uSuccessP*H50+uRevision*Standard!I50+uSuccessR*Standard!J50)/(1+oDR)^cycle</f>
        <v>6.8136381413464555</v>
      </c>
      <c r="P50" s="29"/>
      <c r="Q50" s="29"/>
    </row>
    <row r="51" spans="1:17" x14ac:dyDescent="0.25">
      <c r="A51">
        <v>45</v>
      </c>
      <c r="C51" s="135">
        <f t="shared" si="1"/>
        <v>3.701934226185033E-3</v>
      </c>
      <c r="E51" s="135">
        <f t="shared" si="2"/>
        <v>0.15480000000000002</v>
      </c>
      <c r="G51" s="25"/>
      <c r="H51" s="131">
        <f t="shared" si="3"/>
        <v>11.72143771979691</v>
      </c>
      <c r="I51" s="131">
        <f t="shared" si="4"/>
        <v>0.1175815544819763</v>
      </c>
      <c r="J51" s="131">
        <f t="shared" si="8"/>
        <v>1.4412800508201491</v>
      </c>
      <c r="K51" s="131">
        <f t="shared" si="5"/>
        <v>986.71970067490099</v>
      </c>
      <c r="L51" s="131">
        <f t="shared" si="0"/>
        <v>1000</v>
      </c>
      <c r="M51" s="132">
        <f t="shared" si="6"/>
        <v>45.222982126499154</v>
      </c>
      <c r="N51" s="133">
        <f t="shared" si="10"/>
        <v>13.280299325099035</v>
      </c>
      <c r="O51" s="134">
        <f>(uSuccessP*H51+uRevision*Standard!I51+uSuccessR*Standard!J51)/(1+oDR)^cycle</f>
        <v>5.6695234780366786</v>
      </c>
      <c r="P51" s="29"/>
      <c r="Q51" s="29"/>
    </row>
    <row r="52" spans="1:17" x14ac:dyDescent="0.25">
      <c r="A52">
        <v>46</v>
      </c>
      <c r="C52" s="135">
        <f t="shared" si="1"/>
        <v>3.7393770713346486E-3</v>
      </c>
      <c r="E52" s="135">
        <f t="shared" si="2"/>
        <v>0.15480000000000002</v>
      </c>
      <c r="G52" s="25"/>
      <c r="H52" s="131">
        <f t="shared" si="3"/>
        <v>9.8631282853198616</v>
      </c>
      <c r="I52" s="131">
        <f t="shared" si="4"/>
        <v>0.10148207748529162</v>
      </c>
      <c r="J52" s="131">
        <f t="shared" si="8"/>
        <v>1.2575469956789109</v>
      </c>
      <c r="K52" s="131">
        <f t="shared" si="5"/>
        <v>988.77784264151592</v>
      </c>
      <c r="L52" s="131">
        <f t="shared" si="0"/>
        <v>1000</v>
      </c>
      <c r="M52" s="132">
        <f t="shared" si="6"/>
        <v>36.821670218408435</v>
      </c>
      <c r="N52" s="133">
        <f t="shared" si="10"/>
        <v>11.222157358484065</v>
      </c>
      <c r="O52" s="134">
        <f>(uSuccessP*H52+uRevision*Standard!I52+uSuccessR*Standard!J52)/(1+oDR)^cycle</f>
        <v>4.7174894221772217</v>
      </c>
      <c r="P52" s="29"/>
      <c r="Q52" s="29"/>
    </row>
    <row r="53" spans="1:17" x14ac:dyDescent="0.25">
      <c r="A53">
        <v>47</v>
      </c>
      <c r="C53" s="135">
        <f t="shared" si="1"/>
        <v>3.7763715702551215E-3</v>
      </c>
      <c r="E53" s="135">
        <f t="shared" si="2"/>
        <v>0.15480000000000002</v>
      </c>
      <c r="G53" s="25"/>
      <c r="H53" s="131">
        <f t="shared" si="3"/>
        <v>8.2990691895018855</v>
      </c>
      <c r="I53" s="131">
        <f t="shared" si="4"/>
        <v>8.7548717077617508E-2</v>
      </c>
      <c r="J53" s="131">
        <f t="shared" si="8"/>
        <v>1.0963198512615218</v>
      </c>
      <c r="K53" s="131">
        <f t="shared" si="5"/>
        <v>990.517062242159</v>
      </c>
      <c r="L53" s="131">
        <f t="shared" si="0"/>
        <v>1000</v>
      </c>
      <c r="M53" s="132">
        <f t="shared" si="6"/>
        <v>29.96802041733142</v>
      </c>
      <c r="N53" s="133">
        <f t="shared" si="10"/>
        <v>9.4829377578410252</v>
      </c>
      <c r="O53" s="134">
        <f>(uSuccessP*H53+uRevision*Standard!I53+uSuccessR*Standard!J53)/(1+oDR)^cycle</f>
        <v>3.925294463031701</v>
      </c>
      <c r="P53" s="29"/>
      <c r="Q53" s="29"/>
    </row>
    <row r="54" spans="1:17" x14ac:dyDescent="0.25">
      <c r="A54">
        <v>48</v>
      </c>
      <c r="C54" s="135">
        <f t="shared" si="1"/>
        <v>3.8129325516462753E-3</v>
      </c>
      <c r="E54" s="135">
        <f t="shared" si="2"/>
        <v>0.15480000000000002</v>
      </c>
      <c r="G54" s="25"/>
      <c r="H54" s="131">
        <f t="shared" si="3"/>
        <v>6.9827294879059769</v>
      </c>
      <c r="I54" s="131">
        <f t="shared" si="4"/>
        <v>7.5496585111477277E-2</v>
      </c>
      <c r="J54" s="131">
        <f t="shared" si="8"/>
        <v>0.95500194556822715</v>
      </c>
      <c r="K54" s="131">
        <f t="shared" si="5"/>
        <v>991.98677198141434</v>
      </c>
      <c r="L54" s="131">
        <f t="shared" si="0"/>
        <v>1000</v>
      </c>
      <c r="M54" s="132">
        <f t="shared" si="6"/>
        <v>24.379776063937232</v>
      </c>
      <c r="N54" s="133">
        <f t="shared" si="10"/>
        <v>8.0132280185856821</v>
      </c>
      <c r="O54" s="134">
        <f>(uSuccessP*H54+uRevision*Standard!I54+uSuccessR*Standard!J54)/(1+oDR)^cycle</f>
        <v>3.266107858514899</v>
      </c>
      <c r="P54" s="29"/>
      <c r="Q54" s="29"/>
    </row>
    <row r="55" spans="1:17" x14ac:dyDescent="0.25">
      <c r="A55">
        <v>49</v>
      </c>
      <c r="C55" s="135">
        <f t="shared" si="1"/>
        <v>3.8490740535132018E-3</v>
      </c>
      <c r="E55" s="135">
        <f t="shared" si="2"/>
        <v>0.15480000000000002</v>
      </c>
      <c r="G55" s="25"/>
      <c r="H55" s="131">
        <f t="shared" si="3"/>
        <v>5.8749259202835313</v>
      </c>
      <c r="I55" s="131">
        <f t="shared" si="4"/>
        <v>6.5077120717329504E-2</v>
      </c>
      <c r="J55" s="131">
        <f t="shared" si="8"/>
        <v>0.83126734860552742</v>
      </c>
      <c r="K55" s="131">
        <f t="shared" si="5"/>
        <v>993.22872961039366</v>
      </c>
      <c r="L55" s="131">
        <f t="shared" si="0"/>
        <v>1000</v>
      </c>
      <c r="M55" s="132">
        <f t="shared" si="6"/>
        <v>19.82553285115543</v>
      </c>
      <c r="N55" s="133">
        <f t="shared" si="10"/>
        <v>6.7712703896063884</v>
      </c>
      <c r="O55" s="134">
        <f>(uSuccessP*H55+uRevision*Standard!I55+uSuccessR*Standard!J55)/(1+oDR)^cycle</f>
        <v>2.7176017992541524</v>
      </c>
      <c r="P55" s="29"/>
      <c r="Q55" s="29"/>
    </row>
    <row r="56" spans="1:17" x14ac:dyDescent="0.25">
      <c r="A56">
        <v>50</v>
      </c>
      <c r="C56" s="135">
        <f t="shared" si="1"/>
        <v>3.8848093806849171E-3</v>
      </c>
      <c r="E56" s="135">
        <f t="shared" si="2"/>
        <v>0.15480000000000002</v>
      </c>
      <c r="G56" s="25"/>
      <c r="H56" s="131">
        <f t="shared" si="3"/>
        <v>4.9426644204976942</v>
      </c>
      <c r="I56" s="131">
        <f t="shared" si="4"/>
        <v>5.6073661270167524E-2</v>
      </c>
      <c r="J56" s="131">
        <f t="shared" si="8"/>
        <v>0.72303810911311084</v>
      </c>
      <c r="K56" s="131">
        <f t="shared" si="5"/>
        <v>994.27822380911903</v>
      </c>
      <c r="L56" s="131">
        <f t="shared" si="0"/>
        <v>1000</v>
      </c>
      <c r="M56" s="132">
        <f t="shared" si="6"/>
        <v>16.115715337264952</v>
      </c>
      <c r="N56" s="133">
        <f t="shared" ref="N56:N63" si="11">(J56+I56+H56)</f>
        <v>5.7217761908809726</v>
      </c>
      <c r="O56" s="134">
        <f>(uSuccessP*H56+uRevision*Standard!I56+uSuccessR*Standard!J56)/(1+oDR)^cycle</f>
        <v>2.2611958561358159</v>
      </c>
      <c r="P56" s="29"/>
      <c r="Q56" s="29"/>
    </row>
    <row r="57" spans="1:17" x14ac:dyDescent="0.25">
      <c r="A57">
        <v>51</v>
      </c>
      <c r="C57" s="135">
        <f t="shared" si="1"/>
        <v>3.9201511570746694E-3</v>
      </c>
      <c r="E57" s="135">
        <f t="shared" si="2"/>
        <v>0.15480000000000002</v>
      </c>
      <c r="G57" s="25"/>
      <c r="H57" s="131">
        <f t="shared" si="3"/>
        <v>4.1581639765576046</v>
      </c>
      <c r="I57" s="131">
        <f t="shared" si="4"/>
        <v>4.8297516011570271E-2</v>
      </c>
      <c r="J57" s="131">
        <f t="shared" si="8"/>
        <v>0.62846227073801897</v>
      </c>
      <c r="K57" s="131">
        <f t="shared" si="5"/>
        <v>995.16507623669281</v>
      </c>
      <c r="L57" s="131">
        <f t="shared" si="0"/>
        <v>1000</v>
      </c>
      <c r="M57" s="132">
        <f t="shared" si="6"/>
        <v>13.095123650470052</v>
      </c>
      <c r="N57" s="133">
        <f t="shared" si="11"/>
        <v>4.8349237633071942</v>
      </c>
      <c r="O57" s="134">
        <f>(uSuccessP*H57+uRevision*Standard!I57+uSuccessR*Standard!J57)/(1+oDR)^cycle</f>
        <v>1.8814281733689937</v>
      </c>
      <c r="P57" s="29"/>
      <c r="Q57" s="29"/>
    </row>
    <row r="58" spans="1:17" x14ac:dyDescent="0.25">
      <c r="A58">
        <v>52</v>
      </c>
      <c r="C58" s="135">
        <f t="shared" si="1"/>
        <v>3.9551113732601006E-3</v>
      </c>
      <c r="E58" s="135">
        <f t="shared" si="2"/>
        <v>0.15480000000000002</v>
      </c>
      <c r="G58" s="25"/>
      <c r="H58" s="131">
        <f t="shared" si="3"/>
        <v>3.4980341913509236</v>
      </c>
      <c r="I58" s="131">
        <f t="shared" si="4"/>
        <v>4.1584492465084194E-2</v>
      </c>
      <c r="J58" s="131">
        <f t="shared" si="8"/>
        <v>0.54589293061100064</v>
      </c>
      <c r="K58" s="131">
        <f t="shared" si="5"/>
        <v>995.91448838557301</v>
      </c>
      <c r="L58" s="131">
        <f t="shared" si="0"/>
        <v>1000</v>
      </c>
      <c r="M58" s="132">
        <f t="shared" si="6"/>
        <v>10.6367842048546</v>
      </c>
      <c r="N58" s="133">
        <f t="shared" si="11"/>
        <v>4.0855116144270083</v>
      </c>
      <c r="O58" s="134">
        <f>(uSuccessP*H58+uRevision*Standard!I58+uSuccessR*Standard!J58)/(1+oDR)^cycle</f>
        <v>1.5654321506143591</v>
      </c>
      <c r="P58" s="29"/>
      <c r="Q58" s="29"/>
    </row>
    <row r="59" spans="1:17" x14ac:dyDescent="0.25">
      <c r="A59">
        <v>53</v>
      </c>
      <c r="C59" s="135">
        <f t="shared" si="1"/>
        <v>3.9897014298826416E-3</v>
      </c>
      <c r="E59" s="135">
        <f t="shared" si="2"/>
        <v>0.15480000000000002</v>
      </c>
      <c r="G59" s="25"/>
      <c r="H59" s="131">
        <f t="shared" si="3"/>
        <v>2.9425823865147893</v>
      </c>
      <c r="I59" s="131">
        <f t="shared" si="4"/>
        <v>3.5791829239451178E-2</v>
      </c>
      <c r="J59" s="131">
        <f t="shared" si="8"/>
        <v>0.47386851091016513</v>
      </c>
      <c r="K59" s="131">
        <f t="shared" si="5"/>
        <v>996.54775727333561</v>
      </c>
      <c r="L59" s="131">
        <f t="shared" si="0"/>
        <v>1000</v>
      </c>
      <c r="M59" s="132">
        <f t="shared" si="6"/>
        <v>8.6368817322835607</v>
      </c>
      <c r="N59" s="133">
        <f t="shared" si="11"/>
        <v>3.4522427266644056</v>
      </c>
      <c r="O59" s="134">
        <f>(uSuccessP*H59+uRevision*Standard!I59+uSuccessR*Standard!J59)/(1+oDR)^cycle</f>
        <v>1.3025009216554113</v>
      </c>
      <c r="P59" s="29"/>
      <c r="Q59" s="29"/>
    </row>
    <row r="60" spans="1:17" x14ac:dyDescent="0.25">
      <c r="A60">
        <v>54</v>
      </c>
      <c r="C60" s="135">
        <f t="shared" si="1"/>
        <v>4.0239321773068992E-3</v>
      </c>
      <c r="E60" s="135">
        <f t="shared" si="2"/>
        <v>0.15480000000000002</v>
      </c>
      <c r="G60" s="25"/>
      <c r="H60" s="131">
        <f t="shared" si="3"/>
        <v>2.4752298811328264</v>
      </c>
      <c r="I60" s="131">
        <f t="shared" si="4"/>
        <v>3.0795492385879995E-2</v>
      </c>
      <c r="J60" s="131">
        <f t="shared" si="8"/>
        <v>0.41109434247326004</v>
      </c>
      <c r="K60" s="131">
        <f t="shared" si="5"/>
        <v>997.08288028400807</v>
      </c>
      <c r="L60" s="131">
        <f t="shared" si="0"/>
        <v>1000</v>
      </c>
      <c r="M60" s="132">
        <f t="shared" si="6"/>
        <v>7.0105867070489056</v>
      </c>
      <c r="N60" s="133">
        <f t="shared" si="11"/>
        <v>2.9171197159919666</v>
      </c>
      <c r="O60" s="134">
        <f>(uSuccessP*H60+uRevision*Standard!I60+uSuccessR*Standard!J60)/(1+oDR)^cycle</f>
        <v>1.0837249036595995</v>
      </c>
      <c r="P60" s="29"/>
      <c r="Q60" s="29"/>
    </row>
    <row r="61" spans="1:17" x14ac:dyDescent="0.25">
      <c r="A61">
        <v>55</v>
      </c>
      <c r="C61" s="135">
        <f t="shared" si="1"/>
        <v>4.0578139519237277E-3</v>
      </c>
      <c r="E61" s="135">
        <f t="shared" si="2"/>
        <v>0.15480000000000002</v>
      </c>
      <c r="G61" s="25"/>
      <c r="H61" s="131">
        <f t="shared" si="3"/>
        <v>2.0820202731875854</v>
      </c>
      <c r="I61" s="131">
        <f t="shared" si="4"/>
        <v>2.6487796044809695E-2</v>
      </c>
      <c r="J61" s="131">
        <f t="shared" si="8"/>
        <v>0.3564256048762971</v>
      </c>
      <c r="K61" s="131">
        <f t="shared" si="5"/>
        <v>997.53506632589131</v>
      </c>
      <c r="L61" s="131">
        <f t="shared" si="0"/>
        <v>1000</v>
      </c>
      <c r="M61" s="132">
        <f t="shared" si="6"/>
        <v>5.6886232386763504</v>
      </c>
      <c r="N61" s="133">
        <f t="shared" si="11"/>
        <v>2.4649336741086922</v>
      </c>
      <c r="O61" s="134">
        <f>(uSuccessP*H61+uRevision*Standard!I61+uSuccessR*Standard!J61)/(1+oDR)^cycle</f>
        <v>0.90169016037865601</v>
      </c>
      <c r="P61" s="29"/>
      <c r="Q61" s="29"/>
    </row>
    <row r="62" spans="1:17" x14ac:dyDescent="0.25">
      <c r="A62">
        <v>56</v>
      </c>
      <c r="C62" s="135">
        <f t="shared" si="1"/>
        <v>4.0913566094415987E-3</v>
      </c>
      <c r="E62" s="135">
        <f t="shared" si="2"/>
        <v>0.15480000000000002</v>
      </c>
      <c r="G62" s="25"/>
      <c r="H62" s="131">
        <f t="shared" si="3"/>
        <v>1.7512052474924498</v>
      </c>
      <c r="I62" s="131">
        <f t="shared" si="4"/>
        <v>2.2775311600749314E-2</v>
      </c>
      <c r="J62" s="131">
        <f t="shared" si="8"/>
        <v>0.30885162634257135</v>
      </c>
      <c r="K62" s="131">
        <f t="shared" si="5"/>
        <v>997.91716781456421</v>
      </c>
      <c r="L62" s="131">
        <f t="shared" si="0"/>
        <v>1000</v>
      </c>
      <c r="M62" s="132">
        <f t="shared" si="6"/>
        <v>4.6144485665740174</v>
      </c>
      <c r="N62" s="133">
        <f t="shared" si="11"/>
        <v>2.0828321854357705</v>
      </c>
      <c r="O62" s="134">
        <f>(uSuccessP*H62+uRevision*Standard!I62+uSuccessR*Standard!J62)/(1+oDR)^cycle</f>
        <v>0.75022737799799544</v>
      </c>
      <c r="P62" s="29"/>
      <c r="Q62" s="29"/>
    </row>
    <row r="63" spans="1:17" x14ac:dyDescent="0.25">
      <c r="A63">
        <v>57</v>
      </c>
      <c r="C63" s="135">
        <f t="shared" si="1"/>
        <v>4.1245695554602557E-3</v>
      </c>
      <c r="E63" s="135">
        <f t="shared" si="2"/>
        <v>0.15480000000000002</v>
      </c>
      <c r="G63" s="25"/>
      <c r="H63" s="131">
        <f t="shared" si="3"/>
        <v>1.4728957073314488</v>
      </c>
      <c r="I63" s="131">
        <f t="shared" si="4"/>
        <v>1.9577032902872455E-2</v>
      </c>
      <c r="J63" s="131">
        <f t="shared" si="8"/>
        <v>0.26748151666397674</v>
      </c>
      <c r="K63" s="131">
        <f t="shared" si="5"/>
        <v>998.24004574310163</v>
      </c>
      <c r="L63" s="131">
        <f t="shared" si="0"/>
        <v>999.99999999999989</v>
      </c>
      <c r="M63" s="132">
        <f t="shared" si="6"/>
        <v>3.7419371400530386</v>
      </c>
      <c r="N63" s="133">
        <f t="shared" si="11"/>
        <v>1.759954256898298</v>
      </c>
      <c r="O63" s="134">
        <f>(uSuccessP*H63+uRevision*Standard!I63+uSuccessR*Standard!J63)/(1+oDR)^cycle</f>
        <v>0.62420296313295209</v>
      </c>
      <c r="P63" s="29"/>
      <c r="Q63" s="29"/>
    </row>
    <row r="64" spans="1:17" x14ac:dyDescent="0.25">
      <c r="A64">
        <v>58</v>
      </c>
      <c r="C64" s="135">
        <f t="shared" si="1"/>
        <v>4.1574617735983255E-3</v>
      </c>
      <c r="E64" s="135">
        <f t="shared" si="2"/>
        <v>0.15480000000000002</v>
      </c>
      <c r="G64" s="25"/>
      <c r="H64" s="131">
        <f t="shared" si="3"/>
        <v>1.2387679442368129</v>
      </c>
      <c r="I64" s="131">
        <f t="shared" si="4"/>
        <v>1.6822768266286637E-2</v>
      </c>
      <c r="J64" s="131">
        <f t="shared" si="8"/>
        <v>0.23153108476928438</v>
      </c>
      <c r="K64" s="131">
        <f t="shared" si="5"/>
        <v>998.51287820272751</v>
      </c>
      <c r="L64" s="131">
        <f t="shared" si="0"/>
        <v>999.99999999999989</v>
      </c>
      <c r="M64" s="132">
        <f>(cPrimary*G64+cSuccess*H64+cRevision*I64+cSuccess*J64)/(1+cDR)^cycle</f>
        <v>3.0334805463518855</v>
      </c>
      <c r="N64" s="133">
        <f>(J64+I64+H64)</f>
        <v>1.487121797272384</v>
      </c>
      <c r="O64" s="134">
        <f>(uSuccessP*H64+uRevision*Standard!I64+uSuccessR*Standard!J64)/(1+oDR)^cycle</f>
        <v>0.51934519643302579</v>
      </c>
      <c r="P64" s="29"/>
      <c r="Q64" s="29"/>
    </row>
    <row r="65" spans="1:17" x14ac:dyDescent="0.25">
      <c r="A65">
        <v>59</v>
      </c>
      <c r="C65" s="135">
        <f t="shared" si="1"/>
        <v>4.1900418514030369E-3</v>
      </c>
      <c r="E65" s="135">
        <f t="shared" si="2"/>
        <v>0.15480000000000002</v>
      </c>
      <c r="G65" s="25"/>
      <c r="H65" s="131">
        <f t="shared" si="3"/>
        <v>1.0418161769384255</v>
      </c>
      <c r="I65" s="131">
        <f t="shared" si="4"/>
        <v>1.4451732921300125E-2</v>
      </c>
      <c r="J65" s="131">
        <f t="shared" si="8"/>
        <v>0.2003109778295675</v>
      </c>
      <c r="K65" s="131">
        <f t="shared" si="5"/>
        <v>998.74342111231056</v>
      </c>
      <c r="L65" s="131">
        <f t="shared" si="0"/>
        <v>999.99999999999989</v>
      </c>
      <c r="M65" s="132">
        <f>(cPrimary*G65+cSuccess*H65+cRevision*I65+cSuccess*J65)/(1+cDR)^cycle</f>
        <v>2.458429809199326</v>
      </c>
      <c r="N65" s="133">
        <f>(J65+I65+H65)</f>
        <v>1.2565788876892932</v>
      </c>
      <c r="O65" s="134">
        <f>(uSuccessP*H65+uRevision*Standard!I65+uSuccessR*Standard!J65)/(1+oDR)^cycle</f>
        <v>0.4320995604674539</v>
      </c>
      <c r="P65" s="29"/>
      <c r="Q65" s="29"/>
    </row>
    <row r="66" spans="1:17" x14ac:dyDescent="0.25">
      <c r="A66">
        <v>60</v>
      </c>
      <c r="C66" s="135">
        <f t="shared" si="1"/>
        <v>4.2223180042564312E-3</v>
      </c>
      <c r="E66" s="135">
        <f t="shared" si="2"/>
        <v>0.15480000000000002</v>
      </c>
      <c r="G66" s="25"/>
      <c r="H66" s="131">
        <f t="shared" si="3"/>
        <v>0.87614415354734454</v>
      </c>
      <c r="I66" s="131">
        <f t="shared" si="4"/>
        <v>1.2411318314195419E-2</v>
      </c>
      <c r="J66" s="131">
        <f t="shared" si="8"/>
        <v>0.17321596935502459</v>
      </c>
      <c r="K66" s="131">
        <f t="shared" si="5"/>
        <v>998.93822855878329</v>
      </c>
      <c r="L66" s="131">
        <f t="shared" si="0"/>
        <v>999.99999999999989</v>
      </c>
      <c r="M66" s="132">
        <f>(cPrimary*G66+cSuccess*H66+cRevision*I66+cSuccess*J66)/(1+cDR)^cycle</f>
        <v>1.9918192954907228</v>
      </c>
      <c r="N66" s="133">
        <f>(J66+I66+H66)</f>
        <v>1.0617714412165646</v>
      </c>
      <c r="O66" s="134">
        <f>(uSuccessP*H66+uRevision*Standard!I66+uSuccessR*Standard!J66)/(1+oDR)^cycle</f>
        <v>0.35950834704495993</v>
      </c>
      <c r="P66" s="29"/>
      <c r="Q66" s="29"/>
    </row>
    <row r="67" spans="1:17" x14ac:dyDescent="0.25">
      <c r="M67" s="58" t="s">
        <v>132</v>
      </c>
      <c r="N67" s="58" t="s">
        <v>133</v>
      </c>
      <c r="O67" s="58" t="s">
        <v>134</v>
      </c>
    </row>
    <row r="68" spans="1:17" x14ac:dyDescent="0.25">
      <c r="I68" s="29"/>
      <c r="M68" s="129">
        <f>SUM(M6:M66)/1000</f>
        <v>512.43465834364304</v>
      </c>
      <c r="N68" s="130">
        <f>SUM(N6:N66)/1000</f>
        <v>20.90914140336028</v>
      </c>
      <c r="O68" s="108">
        <f>SUM(O6:O66)/1000</f>
        <v>14.653189614825321</v>
      </c>
    </row>
    <row r="69" spans="1:17" x14ac:dyDescent="0.25">
      <c r="I69" s="29"/>
    </row>
  </sheetData>
  <phoneticPr fontId="19" type="noConversion"/>
  <pageMargins left="0.75" right="0.75" top="1" bottom="1" header="0.5" footer="0.5"/>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69"/>
  <sheetViews>
    <sheetView workbookViewId="0">
      <selection activeCell="A2" sqref="A2"/>
    </sheetView>
  </sheetViews>
  <sheetFormatPr defaultRowHeight="12.5" x14ac:dyDescent="0.25"/>
  <cols>
    <col min="2" max="2" width="4.7265625" customWidth="1"/>
    <col min="3" max="3" width="8.81640625" style="26" customWidth="1"/>
    <col min="4" max="4" width="4.7265625" style="26" customWidth="1"/>
    <col min="5" max="5" width="8.81640625" style="26" customWidth="1"/>
    <col min="7" max="15" width="12.7265625" customWidth="1"/>
    <col min="16" max="17" width="4.7265625" customWidth="1"/>
  </cols>
  <sheetData>
    <row r="1" spans="1:17" ht="15.5" x14ac:dyDescent="0.35">
      <c r="A1" s="6" t="s">
        <v>148</v>
      </c>
      <c r="B1" s="6"/>
    </row>
    <row r="2" spans="1:17" ht="15.5" x14ac:dyDescent="0.35">
      <c r="A2" s="6"/>
      <c r="B2" s="6"/>
    </row>
    <row r="3" spans="1:17" ht="13" x14ac:dyDescent="0.3">
      <c r="D3" s="47"/>
      <c r="G3" s="23" t="s">
        <v>151</v>
      </c>
      <c r="H3" s="23"/>
      <c r="I3" s="24"/>
      <c r="J3" s="24"/>
      <c r="K3" s="23"/>
      <c r="L3" s="23"/>
      <c r="M3" s="24"/>
      <c r="N3" s="24"/>
      <c r="O3" s="24"/>
    </row>
    <row r="4" spans="1:17" ht="13" x14ac:dyDescent="0.3">
      <c r="A4" s="20" t="s">
        <v>23</v>
      </c>
      <c r="B4" s="20"/>
      <c r="C4" s="82" t="s">
        <v>79</v>
      </c>
      <c r="D4" s="27"/>
      <c r="E4" s="27" t="s">
        <v>24</v>
      </c>
      <c r="G4" s="20" t="s">
        <v>25</v>
      </c>
      <c r="H4" s="20" t="s">
        <v>26</v>
      </c>
      <c r="I4" s="20" t="s">
        <v>27</v>
      </c>
      <c r="J4" s="20" t="s">
        <v>28</v>
      </c>
      <c r="K4" s="20" t="s">
        <v>29</v>
      </c>
      <c r="L4" s="20" t="s">
        <v>106</v>
      </c>
      <c r="M4" s="20" t="s">
        <v>21</v>
      </c>
      <c r="N4" s="20" t="s">
        <v>30</v>
      </c>
      <c r="O4" s="20" t="s">
        <v>22</v>
      </c>
    </row>
    <row r="5" spans="1:17" x14ac:dyDescent="0.25">
      <c r="C5"/>
      <c r="D5"/>
      <c r="E5" s="33"/>
    </row>
    <row r="6" spans="1:17" x14ac:dyDescent="0.25">
      <c r="A6">
        <v>0</v>
      </c>
      <c r="G6" s="25">
        <v>1000</v>
      </c>
      <c r="H6" s="25"/>
      <c r="I6" s="25"/>
      <c r="J6" s="25"/>
      <c r="K6" s="25"/>
      <c r="L6" s="131">
        <f t="shared" ref="L6:L37" si="0">SUM(G6:K6)</f>
        <v>1000</v>
      </c>
      <c r="M6" s="132">
        <f>(_cNP1+cPrimary)*G6</f>
        <v>579000</v>
      </c>
      <c r="N6" s="29"/>
      <c r="O6" s="28"/>
      <c r="P6" s="29"/>
      <c r="Q6" s="29"/>
    </row>
    <row r="7" spans="1:17" x14ac:dyDescent="0.25">
      <c r="A7">
        <v>1</v>
      </c>
      <c r="C7" s="135">
        <f>1-EXP(lambda*rrNP1*(A6^gamma-A7^gamma))</f>
        <v>1.1885569701708398E-4</v>
      </c>
      <c r="E7" s="135">
        <f t="shared" ref="E7:E38" si="1">IF(male=0,VLOOKUP(cycle+age,lifetable,3,1),IF(male=1,VLOOKUP(cycle+age,lifetable,2,1),"error"))</f>
        <v>6.7000000000000002E-3</v>
      </c>
      <c r="G7" s="25"/>
      <c r="H7" s="131">
        <f>G6*(1-omrPTHR)+H6*(1-np1RR-mr)</f>
        <v>980</v>
      </c>
      <c r="I7" s="131">
        <f>H6*np1RR+J6*rrr</f>
        <v>0</v>
      </c>
      <c r="J7" s="131">
        <f t="shared" ref="J7:J38" si="2">I6*(1-mr-omrRTHR)+J6*(1-mr-rrr)</f>
        <v>0</v>
      </c>
      <c r="K7" s="131">
        <f t="shared" ref="K7:K38" si="3">H6*mr+(I6+J6)*mr+G6*omrPTHR+I6*omrRTHR+K6</f>
        <v>20</v>
      </c>
      <c r="L7" s="131">
        <f t="shared" si="0"/>
        <v>1000</v>
      </c>
      <c r="M7" s="132">
        <f t="shared" ref="M7:M38" si="4">(cPrimary*G7+cSuccess*H7+cRevision*I7+cSuccess*J7)/(1+cDR)^cycle</f>
        <v>0</v>
      </c>
      <c r="N7" s="133">
        <f t="shared" ref="N7:N38" si="5">(J7+I7+H7)</f>
        <v>980</v>
      </c>
      <c r="O7" s="134">
        <f>(uSuccessP*H7+uRevision*'NP1'!I7+uSuccessR*'NP1'!J7)/(1+oDR)^cycle</f>
        <v>820.68965517241384</v>
      </c>
      <c r="P7" s="29"/>
      <c r="Q7" s="29"/>
    </row>
    <row r="8" spans="1:17" x14ac:dyDescent="0.25">
      <c r="A8">
        <v>2</v>
      </c>
      <c r="C8" s="135">
        <f t="shared" ref="C8:C66" si="6">1-EXP(lambda*rrNP1*(A7^gamma-A8^gamma))</f>
        <v>2.0668743107066234E-4</v>
      </c>
      <c r="E8" s="135">
        <f t="shared" si="1"/>
        <v>6.7000000000000002E-3</v>
      </c>
      <c r="G8" s="49"/>
      <c r="H8" s="131">
        <f t="shared" ref="H8:H66" si="7">G7*(1-omrPTHR)+H7*(1-np1RR-mr)</f>
        <v>973.23144631755076</v>
      </c>
      <c r="I8" s="131">
        <f t="shared" ref="I8:I66" si="8">H7*np1RR+J7*rrr</f>
        <v>0.2025536824492491</v>
      </c>
      <c r="J8" s="131">
        <f t="shared" si="2"/>
        <v>0</v>
      </c>
      <c r="K8" s="131">
        <f t="shared" si="3"/>
        <v>26.565999999999999</v>
      </c>
      <c r="L8" s="131">
        <f t="shared" si="0"/>
        <v>1000</v>
      </c>
      <c r="M8" s="132">
        <f t="shared" si="4"/>
        <v>954.36026600776495</v>
      </c>
      <c r="N8" s="133">
        <f t="shared" si="5"/>
        <v>973.43399999999997</v>
      </c>
      <c r="O8" s="134">
        <f>(uSuccessP*H8+uRevision*'NP1'!I8+uSuccessR*'NP1'!J8)/(1+oDR)^cycle</f>
        <v>803.03574022631278</v>
      </c>
      <c r="P8" s="29"/>
      <c r="Q8" s="29"/>
    </row>
    <row r="9" spans="1:17" x14ac:dyDescent="0.25">
      <c r="A9">
        <v>3</v>
      </c>
      <c r="C9" s="135">
        <f t="shared" si="6"/>
        <v>2.6137848896035099E-4</v>
      </c>
      <c r="E9" s="135">
        <f t="shared" si="1"/>
        <v>6.7000000000000002E-3</v>
      </c>
      <c r="G9" s="25"/>
      <c r="H9" s="131">
        <f t="shared" si="7"/>
        <v>966.45641386237594</v>
      </c>
      <c r="I9" s="131">
        <f t="shared" si="8"/>
        <v>0.25438176484717834</v>
      </c>
      <c r="J9" s="131">
        <f t="shared" si="2"/>
        <v>0.19714549912785415</v>
      </c>
      <c r="K9" s="131">
        <f t="shared" si="3"/>
        <v>33.092058873648988</v>
      </c>
      <c r="L9" s="131">
        <f t="shared" si="0"/>
        <v>999.99999999999989</v>
      </c>
      <c r="M9" s="132">
        <f t="shared" si="4"/>
        <v>1130.7128225825361</v>
      </c>
      <c r="N9" s="133">
        <f t="shared" si="5"/>
        <v>966.90794112635092</v>
      </c>
      <c r="O9" s="134">
        <f>(uSuccessP*H9+uRevision*'NP1'!I9+uSuccessR*'NP1'!J9)/(1+oDR)^cycle</f>
        <v>785.8172695182875</v>
      </c>
      <c r="P9" s="29"/>
      <c r="Q9" s="29"/>
    </row>
    <row r="10" spans="1:17" x14ac:dyDescent="0.25">
      <c r="A10">
        <v>4</v>
      </c>
      <c r="C10" s="135">
        <f t="shared" si="6"/>
        <v>3.0472751472521153E-4</v>
      </c>
      <c r="E10" s="135">
        <f t="shared" si="1"/>
        <v>6.7000000000000002E-3</v>
      </c>
      <c r="G10" s="25"/>
      <c r="H10" s="131">
        <f t="shared" si="7"/>
        <v>959.68665002841146</v>
      </c>
      <c r="I10" s="131">
        <f t="shared" si="8"/>
        <v>0.3023916810516365</v>
      </c>
      <c r="J10" s="131">
        <f t="shared" si="2"/>
        <v>0.43552857604434203</v>
      </c>
      <c r="K10" s="131">
        <f t="shared" si="3"/>
        <v>39.575429714492486</v>
      </c>
      <c r="L10" s="131">
        <f t="shared" si="0"/>
        <v>1000</v>
      </c>
      <c r="M10" s="132">
        <f t="shared" si="4"/>
        <v>1268.0322969912759</v>
      </c>
      <c r="N10" s="133">
        <f t="shared" si="5"/>
        <v>960.42457028550746</v>
      </c>
      <c r="O10" s="134">
        <f>(uSuccessP*H10+uRevision*'NP1'!I10+uSuccessR*'NP1'!J10)/(1+oDR)^cycle</f>
        <v>768.96461724156268</v>
      </c>
      <c r="P10" s="29"/>
      <c r="Q10" s="29"/>
    </row>
    <row r="11" spans="1:17" x14ac:dyDescent="0.25">
      <c r="A11">
        <v>5</v>
      </c>
      <c r="C11" s="135">
        <f t="shared" si="6"/>
        <v>3.416376814695532E-4</v>
      </c>
      <c r="E11" s="135">
        <f t="shared" si="1"/>
        <v>1.9300000000000001E-2</v>
      </c>
      <c r="G11" s="25"/>
      <c r="H11" s="131">
        <f t="shared" si="7"/>
        <v>940.83683256081019</v>
      </c>
      <c r="I11" s="131">
        <f t="shared" si="8"/>
        <v>0.34528626509476268</v>
      </c>
      <c r="J11" s="131">
        <f t="shared" si="2"/>
        <v>0.70020941947121962</v>
      </c>
      <c r="K11" s="131">
        <f t="shared" si="3"/>
        <v>58.117671754623814</v>
      </c>
      <c r="L11" s="131">
        <f t="shared" si="0"/>
        <v>1000</v>
      </c>
      <c r="M11" s="132">
        <f t="shared" si="4"/>
        <v>1365.9472050220011</v>
      </c>
      <c r="N11" s="133">
        <f t="shared" si="5"/>
        <v>941.88232824537613</v>
      </c>
      <c r="O11" s="134">
        <f>(uSuccessP*H11+uRevision*'NP1'!I11+uSuccessR*'NP1'!J11)/(1+oDR)^cycle</f>
        <v>742.92391582444918</v>
      </c>
      <c r="P11" s="29"/>
      <c r="Q11" s="29"/>
    </row>
    <row r="12" spans="1:17" x14ac:dyDescent="0.25">
      <c r="A12">
        <v>6</v>
      </c>
      <c r="C12" s="135">
        <f t="shared" si="6"/>
        <v>3.7425734652041243E-4</v>
      </c>
      <c r="E12" s="135">
        <f t="shared" si="1"/>
        <v>1.9300000000000001E-2</v>
      </c>
      <c r="G12" s="25"/>
      <c r="H12" s="131">
        <f t="shared" si="7"/>
        <v>922.32656659592374</v>
      </c>
      <c r="I12" s="131">
        <f t="shared" si="8"/>
        <v>0.38012347324172713</v>
      </c>
      <c r="J12" s="131">
        <f t="shared" si="2"/>
        <v>0.99040351577311481</v>
      </c>
      <c r="K12" s="131">
        <f t="shared" si="3"/>
        <v>76.302906415061472</v>
      </c>
      <c r="L12" s="131">
        <f t="shared" si="0"/>
        <v>1000</v>
      </c>
      <c r="M12" s="132">
        <f t="shared" si="4"/>
        <v>1418.6440280957806</v>
      </c>
      <c r="N12" s="133">
        <f t="shared" si="5"/>
        <v>923.69709358493856</v>
      </c>
      <c r="O12" s="134">
        <f>(uSuccessP*H12+uRevision*'NP1'!I12+uSuccessR*'NP1'!J12)/(1+oDR)^cycle</f>
        <v>717.76419240578798</v>
      </c>
      <c r="P12" s="29"/>
      <c r="Q12" s="29"/>
    </row>
    <row r="13" spans="1:17" x14ac:dyDescent="0.25">
      <c r="A13">
        <v>7</v>
      </c>
      <c r="C13" s="135">
        <f t="shared" si="6"/>
        <v>4.0375768278766433E-4</v>
      </c>
      <c r="E13" s="135">
        <f t="shared" si="1"/>
        <v>1.9300000000000001E-2</v>
      </c>
      <c r="G13" s="25"/>
      <c r="H13" s="131">
        <f t="shared" si="7"/>
        <v>904.15326742332013</v>
      </c>
      <c r="I13" s="131">
        <f t="shared" si="8"/>
        <v>0.41201257793319712</v>
      </c>
      <c r="J13" s="131">
        <f t="shared" si="2"/>
        <v>1.2968572080310963</v>
      </c>
      <c r="K13" s="131">
        <f t="shared" si="3"/>
        <v>94.137862790715616</v>
      </c>
      <c r="L13" s="131">
        <f t="shared" si="0"/>
        <v>1000</v>
      </c>
      <c r="M13" s="132">
        <f t="shared" si="4"/>
        <v>1450.6189766635159</v>
      </c>
      <c r="N13" s="133">
        <f t="shared" si="5"/>
        <v>905.86213720928447</v>
      </c>
      <c r="O13" s="134">
        <f>(uSuccessP*H13+uRevision*'NP1'!I13+uSuccessR*'NP1'!J13)/(1+oDR)^cycle</f>
        <v>693.45411691528568</v>
      </c>
      <c r="P13" s="29"/>
      <c r="Q13" s="29"/>
    </row>
    <row r="14" spans="1:17" x14ac:dyDescent="0.25">
      <c r="A14">
        <v>8</v>
      </c>
      <c r="C14" s="135">
        <f t="shared" si="6"/>
        <v>4.3086034210093604E-4</v>
      </c>
      <c r="E14" s="135">
        <f t="shared" si="1"/>
        <v>1.9300000000000001E-2</v>
      </c>
      <c r="G14" s="25"/>
      <c r="H14" s="131">
        <f t="shared" si="7"/>
        <v>886.31354557593636</v>
      </c>
      <c r="I14" s="131">
        <f t="shared" si="8"/>
        <v>0.44143807443493466</v>
      </c>
      <c r="J14" s="131">
        <f t="shared" si="2"/>
        <v>1.6157740592152747</v>
      </c>
      <c r="K14" s="131">
        <f t="shared" si="3"/>
        <v>111.62924229041347</v>
      </c>
      <c r="L14" s="131">
        <f t="shared" si="0"/>
        <v>1000</v>
      </c>
      <c r="M14" s="132">
        <f t="shared" si="4"/>
        <v>1466.2458758790071</v>
      </c>
      <c r="N14" s="133">
        <f t="shared" si="5"/>
        <v>888.37075770958654</v>
      </c>
      <c r="O14" s="134">
        <f>(uSuccessP*H14+uRevision*'NP1'!I14+uSuccessR*'NP1'!J14)/(1+oDR)^cycle</f>
        <v>669.96515084694374</v>
      </c>
      <c r="P14" s="29"/>
      <c r="Q14" s="29"/>
    </row>
    <row r="15" spans="1:17" x14ac:dyDescent="0.25">
      <c r="A15">
        <v>9</v>
      </c>
      <c r="C15" s="135">
        <f t="shared" si="6"/>
        <v>4.560470035290809E-4</v>
      </c>
      <c r="E15" s="135">
        <f t="shared" si="1"/>
        <v>1.9300000000000001E-2</v>
      </c>
      <c r="G15" s="25"/>
      <c r="H15" s="131">
        <f t="shared" si="7"/>
        <v>868.80349350967367</v>
      </c>
      <c r="I15" s="131">
        <f t="shared" si="8"/>
        <v>0.46883159901575222</v>
      </c>
      <c r="J15" s="131">
        <f t="shared" si="2"/>
        <v>1.9440482156134506</v>
      </c>
      <c r="K15" s="131">
        <f t="shared" si="3"/>
        <v>128.78362667569718</v>
      </c>
      <c r="L15" s="131">
        <f t="shared" si="0"/>
        <v>1000</v>
      </c>
      <c r="M15" s="132">
        <f t="shared" si="4"/>
        <v>1469.0887222735969</v>
      </c>
      <c r="N15" s="133">
        <f t="shared" si="5"/>
        <v>871.21637332430282</v>
      </c>
      <c r="O15" s="134">
        <f>(uSuccessP*H15+uRevision*'NP1'!I15+uSuccessR*'NP1'!J15)/(1+oDR)^cycle</f>
        <v>647.26967268491308</v>
      </c>
      <c r="P15" s="29"/>
      <c r="Q15" s="29"/>
    </row>
    <row r="16" spans="1:17" x14ac:dyDescent="0.25">
      <c r="A16">
        <v>10</v>
      </c>
      <c r="C16" s="135">
        <f t="shared" si="6"/>
        <v>4.7965794112503346E-4</v>
      </c>
      <c r="E16" s="135">
        <f t="shared" si="1"/>
        <v>1.9300000000000001E-2</v>
      </c>
      <c r="G16" s="25"/>
      <c r="H16" s="131">
        <f t="shared" si="7"/>
        <v>851.6188575899979</v>
      </c>
      <c r="I16" s="131">
        <f t="shared" si="8"/>
        <v>0.49449042356362444</v>
      </c>
      <c r="J16" s="131">
        <f t="shared" si="2"/>
        <v>2.2791726736020061</v>
      </c>
      <c r="K16" s="131">
        <f t="shared" si="3"/>
        <v>145.60747931283655</v>
      </c>
      <c r="L16" s="131">
        <f t="shared" si="0"/>
        <v>1000.0000000000001</v>
      </c>
      <c r="M16" s="132">
        <f t="shared" si="4"/>
        <v>1461.783884469588</v>
      </c>
      <c r="N16" s="133">
        <f t="shared" si="5"/>
        <v>854.39252068716348</v>
      </c>
      <c r="O16" s="134">
        <f>(uSuccessP*H16+uRevision*'NP1'!I16+uSuccessR*'NP1'!J16)/(1+oDR)^cycle</f>
        <v>625.34099614121055</v>
      </c>
      <c r="P16" s="29"/>
      <c r="Q16" s="29"/>
    </row>
    <row r="17" spans="1:17" x14ac:dyDescent="0.25">
      <c r="A17">
        <v>11</v>
      </c>
      <c r="C17" s="135">
        <f t="shared" si="6"/>
        <v>5.0194397499225829E-4</v>
      </c>
      <c r="E17" s="135">
        <f t="shared" si="1"/>
        <v>1.9300000000000001E-2</v>
      </c>
      <c r="G17" s="25"/>
      <c r="H17" s="131">
        <f t="shared" si="7"/>
        <v>834.75514868395385</v>
      </c>
      <c r="I17" s="131">
        <f t="shared" si="8"/>
        <v>0.5186318615011698</v>
      </c>
      <c r="J17" s="131">
        <f t="shared" si="2"/>
        <v>2.619074683974981</v>
      </c>
      <c r="K17" s="131">
        <f t="shared" si="3"/>
        <v>162.10714477057007</v>
      </c>
      <c r="L17" s="131">
        <f t="shared" si="0"/>
        <v>1000</v>
      </c>
      <c r="M17" s="132">
        <f t="shared" si="4"/>
        <v>1446.3673602506331</v>
      </c>
      <c r="N17" s="133">
        <f t="shared" si="5"/>
        <v>837.89285522942998</v>
      </c>
      <c r="O17" s="134">
        <f>(uSuccessP*H17+uRevision*'NP1'!I17+uSuccessR*'NP1'!J17)/(1+oDR)^cycle</f>
        <v>604.15332902568207</v>
      </c>
      <c r="P17" s="29"/>
      <c r="Q17" s="29"/>
    </row>
    <row r="18" spans="1:17" x14ac:dyDescent="0.25">
      <c r="A18">
        <v>12</v>
      </c>
      <c r="C18" s="135">
        <f t="shared" si="6"/>
        <v>5.2309621117774263E-4</v>
      </c>
      <c r="E18" s="135">
        <f t="shared" si="1"/>
        <v>1.9300000000000001E-2</v>
      </c>
      <c r="G18" s="25"/>
      <c r="H18" s="131">
        <f t="shared" si="7"/>
        <v>818.20771705881589</v>
      </c>
      <c r="I18" s="131">
        <f t="shared" si="8"/>
        <v>0.54142024289668877</v>
      </c>
      <c r="J18" s="131">
        <f t="shared" si="2"/>
        <v>2.9620131845594386</v>
      </c>
      <c r="K18" s="131">
        <f t="shared" si="3"/>
        <v>178.28884951372811</v>
      </c>
      <c r="L18" s="131">
        <f t="shared" si="0"/>
        <v>1000.0000000000001</v>
      </c>
      <c r="M18" s="132">
        <f t="shared" si="4"/>
        <v>1424.4527341211435</v>
      </c>
      <c r="N18" s="133">
        <f t="shared" si="5"/>
        <v>821.711150486272</v>
      </c>
      <c r="O18" s="134">
        <f>(uSuccessP*H18+uRevision*'NP1'!I18+uSuccessR*'NP1'!J18)/(1+oDR)^cycle</f>
        <v>583.68174064150594</v>
      </c>
      <c r="P18" s="29"/>
      <c r="Q18" s="29"/>
    </row>
    <row r="19" spans="1:17" x14ac:dyDescent="0.25">
      <c r="A19">
        <v>13</v>
      </c>
      <c r="C19" s="135">
        <f t="shared" si="6"/>
        <v>5.4326417530836668E-4</v>
      </c>
      <c r="E19" s="135">
        <f t="shared" si="1"/>
        <v>1.9300000000000001E-2</v>
      </c>
      <c r="G19" s="25"/>
      <c r="H19" s="131">
        <f t="shared" si="7"/>
        <v>801.97180517894185</v>
      </c>
      <c r="I19" s="131">
        <f t="shared" si="8"/>
        <v>0.56298346802127663</v>
      </c>
      <c r="J19" s="131">
        <f t="shared" si="2"/>
        <v>3.3065082300659125</v>
      </c>
      <c r="K19" s="131">
        <f t="shared" si="3"/>
        <v>194.1587031229711</v>
      </c>
      <c r="L19" s="131">
        <f t="shared" si="0"/>
        <v>1000.0000000000001</v>
      </c>
      <c r="M19" s="132">
        <f t="shared" si="4"/>
        <v>1397.3439873224174</v>
      </c>
      <c r="N19" s="133">
        <f t="shared" si="5"/>
        <v>805.84129687702909</v>
      </c>
      <c r="O19" s="134">
        <f>(uSuccessP*H19+uRevision*'NP1'!I19+uSuccessR*'NP1'!J19)/(1+oDR)^cycle</f>
        <v>563.90213210776596</v>
      </c>
      <c r="P19" s="29"/>
      <c r="Q19" s="29"/>
    </row>
    <row r="20" spans="1:17" x14ac:dyDescent="0.25">
      <c r="A20">
        <v>14</v>
      </c>
      <c r="C20" s="135">
        <f t="shared" si="6"/>
        <v>5.62567435304695E-4</v>
      </c>
      <c r="E20" s="135">
        <f t="shared" si="1"/>
        <v>1.9300000000000001E-2</v>
      </c>
      <c r="G20" s="25"/>
      <c r="H20" s="131">
        <f t="shared" si="7"/>
        <v>786.04258611736213</v>
      </c>
      <c r="I20" s="131">
        <f t="shared" si="8"/>
        <v>0.58342355082883035</v>
      </c>
      <c r="J20" s="131">
        <f t="shared" si="2"/>
        <v>3.6512905097510444</v>
      </c>
      <c r="K20" s="131">
        <f t="shared" si="3"/>
        <v>209.72269982205819</v>
      </c>
      <c r="L20" s="131">
        <f t="shared" si="0"/>
        <v>1000.0000000000001</v>
      </c>
      <c r="M20" s="132">
        <f t="shared" si="4"/>
        <v>1366.1103428240049</v>
      </c>
      <c r="N20" s="133">
        <f t="shared" si="5"/>
        <v>790.27730017794204</v>
      </c>
      <c r="O20" s="134">
        <f>(uSuccessP*H20+uRevision*'NP1'!I20+uSuccessR*'NP1'!J20)/(1+oDR)^cycle</f>
        <v>544.79120853714858</v>
      </c>
      <c r="P20" s="29"/>
      <c r="Q20" s="29"/>
    </row>
    <row r="21" spans="1:17" x14ac:dyDescent="0.25">
      <c r="A21">
        <v>15</v>
      </c>
      <c r="C21" s="135">
        <f t="shared" si="6"/>
        <v>5.8110335926397916E-4</v>
      </c>
      <c r="E21" s="135">
        <f t="shared" si="1"/>
        <v>5.3499999999999999E-2</v>
      </c>
      <c r="G21" s="25"/>
      <c r="H21" s="131">
        <f t="shared" si="7"/>
        <v>743.53253577276587</v>
      </c>
      <c r="I21" s="131">
        <f t="shared" si="8"/>
        <v>0.60282360770738652</v>
      </c>
      <c r="J21" s="131">
        <f t="shared" si="2"/>
        <v>3.850436766932233</v>
      </c>
      <c r="K21" s="131">
        <f t="shared" si="3"/>
        <v>252.01420385259468</v>
      </c>
      <c r="L21" s="131">
        <f t="shared" si="0"/>
        <v>1000.0000000000002</v>
      </c>
      <c r="M21" s="132">
        <f t="shared" si="4"/>
        <v>1331.638091823356</v>
      </c>
      <c r="N21" s="133">
        <f t="shared" si="5"/>
        <v>747.98579614740549</v>
      </c>
      <c r="O21" s="134">
        <f>(uSuccessP*H21+uRevision*'NP1'!I21+uSuccessR*'NP1'!J21)/(1+oDR)^cycle</f>
        <v>507.96275907705626</v>
      </c>
      <c r="P21" s="29"/>
      <c r="Q21" s="29"/>
    </row>
    <row r="22" spans="1:17" x14ac:dyDescent="0.25">
      <c r="A22">
        <v>16</v>
      </c>
      <c r="C22" s="135">
        <f t="shared" si="6"/>
        <v>5.9895247085905989E-4</v>
      </c>
      <c r="E22" s="135">
        <f t="shared" si="1"/>
        <v>5.3499999999999999E-2</v>
      </c>
      <c r="G22" s="25"/>
      <c r="H22" s="131">
        <f t="shared" si="7"/>
        <v>703.30820445945767</v>
      </c>
      <c r="I22" s="131">
        <f t="shared" si="8"/>
        <v>0.59935812014248979</v>
      </c>
      <c r="J22" s="131">
        <f t="shared" si="2"/>
        <v>4.0489370017649629</v>
      </c>
      <c r="K22" s="131">
        <f t="shared" si="3"/>
        <v>292.04350041863501</v>
      </c>
      <c r="L22" s="131">
        <f t="shared" si="0"/>
        <v>1000.0000000000002</v>
      </c>
      <c r="M22" s="132">
        <f t="shared" si="4"/>
        <v>1249.0404014383339</v>
      </c>
      <c r="N22" s="133">
        <f t="shared" si="5"/>
        <v>707.95649958136516</v>
      </c>
      <c r="O22" s="134">
        <f>(uSuccessP*H22+uRevision*'NP1'!I22+uSuccessR*'NP1'!J22)/(1+oDR)^cycle</f>
        <v>473.62910089004009</v>
      </c>
      <c r="P22" s="29"/>
      <c r="Q22" s="29"/>
    </row>
    <row r="23" spans="1:17" x14ac:dyDescent="0.25">
      <c r="A23">
        <v>17</v>
      </c>
      <c r="C23" s="135">
        <f t="shared" si="6"/>
        <v>6.1618225273118998E-4</v>
      </c>
      <c r="E23" s="135">
        <f t="shared" si="1"/>
        <v>5.3499999999999999E-2</v>
      </c>
      <c r="G23" s="25"/>
      <c r="H23" s="131">
        <f t="shared" si="7"/>
        <v>665.2478494870885</v>
      </c>
      <c r="I23" s="131">
        <f t="shared" si="8"/>
        <v>0.59532351385875548</v>
      </c>
      <c r="J23" s="131">
        <f t="shared" si="2"/>
        <v>4.2256666904119555</v>
      </c>
      <c r="K23" s="131">
        <f t="shared" si="3"/>
        <v>329.93116030864087</v>
      </c>
      <c r="L23" s="131">
        <f t="shared" si="0"/>
        <v>1000</v>
      </c>
      <c r="M23" s="132">
        <f t="shared" si="4"/>
        <v>1170.4079523630385</v>
      </c>
      <c r="N23" s="133">
        <f t="shared" si="5"/>
        <v>670.06883969135924</v>
      </c>
      <c r="O23" s="134">
        <f>(uSuccessP*H23+uRevision*'NP1'!I23+uSuccessR*'NP1'!J23)/(1+oDR)^cycle</f>
        <v>441.61455025498788</v>
      </c>
      <c r="P23" s="29"/>
      <c r="Q23" s="29"/>
    </row>
    <row r="24" spans="1:17" x14ac:dyDescent="0.25">
      <c r="A24">
        <v>18</v>
      </c>
      <c r="C24" s="135">
        <f t="shared" si="6"/>
        <v>6.3284991407686064E-4</v>
      </c>
      <c r="E24" s="135">
        <f t="shared" si="1"/>
        <v>5.3499999999999999E-2</v>
      </c>
      <c r="G24" s="25"/>
      <c r="H24" s="131">
        <f t="shared" si="7"/>
        <v>629.23608749514153</v>
      </c>
      <c r="I24" s="131">
        <f t="shared" si="8"/>
        <v>0.59002871200419849</v>
      </c>
      <c r="J24" s="131">
        <f t="shared" si="2"/>
        <v>4.3821340904485746</v>
      </c>
      <c r="K24" s="131">
        <f t="shared" si="3"/>
        <v>365.79174970240575</v>
      </c>
      <c r="L24" s="131">
        <f t="shared" si="0"/>
        <v>1000.0000000000002</v>
      </c>
      <c r="M24" s="132">
        <f t="shared" si="4"/>
        <v>1094.3380705697198</v>
      </c>
      <c r="N24" s="133">
        <f t="shared" si="5"/>
        <v>634.2082502975943</v>
      </c>
      <c r="O24" s="134">
        <f>(uSuccessP*H24+uRevision*'NP1'!I24+uSuccessR*'NP1'!J24)/(1+oDR)^cycle</f>
        <v>411.76283272929027</v>
      </c>
      <c r="P24" s="29"/>
      <c r="Q24" s="29"/>
    </row>
    <row r="25" spans="1:17" x14ac:dyDescent="0.25">
      <c r="A25">
        <v>19</v>
      </c>
      <c r="C25" s="135">
        <f t="shared" si="6"/>
        <v>6.4900444732896023E-4</v>
      </c>
      <c r="E25" s="135">
        <f t="shared" si="1"/>
        <v>5.3499999999999999E-2</v>
      </c>
      <c r="G25" s="25"/>
      <c r="H25" s="131">
        <f t="shared" si="7"/>
        <v>595.16357979494728</v>
      </c>
      <c r="I25" s="131">
        <f t="shared" si="8"/>
        <v>0.58366238282216454</v>
      </c>
      <c r="J25" s="131">
        <f t="shared" si="2"/>
        <v>4.5190661546635233</v>
      </c>
      <c r="K25" s="131">
        <f t="shared" si="3"/>
        <v>399.73369166756714</v>
      </c>
      <c r="L25" s="131">
        <f t="shared" si="0"/>
        <v>1000</v>
      </c>
      <c r="M25" s="132">
        <f t="shared" si="4"/>
        <v>1021.25501161954</v>
      </c>
      <c r="N25" s="133">
        <f t="shared" si="5"/>
        <v>600.26630833243291</v>
      </c>
      <c r="O25" s="134">
        <f>(uSuccessP*H25+uRevision*'NP1'!I25+uSuccessR*'NP1'!J25)/(1+oDR)^cycle</f>
        <v>383.9279211638592</v>
      </c>
      <c r="P25" s="29"/>
      <c r="Q25" s="29"/>
    </row>
    <row r="26" spans="1:17" x14ac:dyDescent="0.25">
      <c r="A26">
        <v>20</v>
      </c>
      <c r="C26" s="135">
        <f t="shared" si="6"/>
        <v>6.646881849140529E-4</v>
      </c>
      <c r="E26" s="135">
        <f t="shared" si="1"/>
        <v>5.3499999999999999E-2</v>
      </c>
      <c r="G26" s="25"/>
      <c r="H26" s="131">
        <f t="shared" si="7"/>
        <v>562.92673007633675</v>
      </c>
      <c r="I26" s="131">
        <f t="shared" si="8"/>
        <v>0.57636084576739455</v>
      </c>
      <c r="J26" s="131">
        <f t="shared" si="2"/>
        <v>4.6372966668872193</v>
      </c>
      <c r="K26" s="131">
        <f t="shared" si="3"/>
        <v>431.85961241100875</v>
      </c>
      <c r="L26" s="131">
        <f t="shared" si="0"/>
        <v>1000</v>
      </c>
      <c r="M26" s="132">
        <f t="shared" si="4"/>
        <v>951.39551912576155</v>
      </c>
      <c r="N26" s="133">
        <f t="shared" si="5"/>
        <v>568.14038758899142</v>
      </c>
      <c r="O26" s="134">
        <f>(uSuccessP*H26+uRevision*'NP1'!I26+uSuccessR*'NP1'!J26)/(1+oDR)^cycle</f>
        <v>357.97364896298103</v>
      </c>
      <c r="P26" s="29"/>
      <c r="Q26" s="29"/>
    </row>
    <row r="27" spans="1:17" x14ac:dyDescent="0.25">
      <c r="A27">
        <v>21</v>
      </c>
      <c r="C27" s="135">
        <f t="shared" si="6"/>
        <v>6.7993799688459422E-4</v>
      </c>
      <c r="E27" s="135">
        <f t="shared" si="1"/>
        <v>5.3499999999999999E-2</v>
      </c>
      <c r="G27" s="25"/>
      <c r="H27" s="131">
        <f t="shared" si="7"/>
        <v>532.42739474401185</v>
      </c>
      <c r="I27" s="131">
        <f t="shared" si="8"/>
        <v>0.56824713991638787</v>
      </c>
      <c r="J27" s="131">
        <f t="shared" si="2"/>
        <v>4.737707752136755</v>
      </c>
      <c r="K27" s="131">
        <f t="shared" si="3"/>
        <v>462.26665036393513</v>
      </c>
      <c r="L27" s="131">
        <f t="shared" si="0"/>
        <v>1000.0000000000001</v>
      </c>
      <c r="M27" s="132">
        <f t="shared" si="4"/>
        <v>884.90780352941022</v>
      </c>
      <c r="N27" s="133">
        <f t="shared" si="5"/>
        <v>537.73334963606499</v>
      </c>
      <c r="O27" s="134">
        <f>(uSuccessP*H27+uRevision*'NP1'!I27+uSuccessR*'NP1'!J27)/(1+oDR)^cycle</f>
        <v>333.77303426756168</v>
      </c>
      <c r="P27" s="29"/>
      <c r="Q27" s="29"/>
    </row>
    <row r="28" spans="1:17" x14ac:dyDescent="0.25">
      <c r="A28">
        <v>22</v>
      </c>
      <c r="C28" s="135">
        <f t="shared" si="6"/>
        <v>6.9478622565799508E-4</v>
      </c>
      <c r="E28" s="135">
        <f t="shared" si="1"/>
        <v>5.3499999999999999E-2</v>
      </c>
      <c r="G28" s="25"/>
      <c r="H28" s="131">
        <f t="shared" si="7"/>
        <v>503.57260590517609</v>
      </c>
      <c r="I28" s="131">
        <f t="shared" si="8"/>
        <v>0.55943153011658164</v>
      </c>
      <c r="J28" s="131">
        <f t="shared" si="2"/>
        <v>4.8212130524445014</v>
      </c>
      <c r="K28" s="131">
        <f t="shared" si="3"/>
        <v>491.04674951226292</v>
      </c>
      <c r="L28" s="131">
        <f t="shared" si="0"/>
        <v>1000</v>
      </c>
      <c r="M28" s="132">
        <f t="shared" si="4"/>
        <v>821.86756458028424</v>
      </c>
      <c r="N28" s="133">
        <f t="shared" si="5"/>
        <v>508.95325048773719</v>
      </c>
      <c r="O28" s="134">
        <f>(uSuccessP*H28+uRevision*'NP1'!I28+uSuccessR*'NP1'!J28)/(1+oDR)^cycle</f>
        <v>311.20766170280234</v>
      </c>
      <c r="P28" s="29"/>
      <c r="Q28" s="29"/>
    </row>
    <row r="29" spans="1:17" x14ac:dyDescent="0.25">
      <c r="A29">
        <v>23</v>
      </c>
      <c r="C29" s="135">
        <f t="shared" si="6"/>
        <v>7.09261425051122E-4</v>
      </c>
      <c r="E29" s="135">
        <f t="shared" si="1"/>
        <v>5.3499999999999999E-2</v>
      </c>
      <c r="G29" s="25"/>
      <c r="H29" s="131">
        <f t="shared" si="7"/>
        <v>476.27430686516817</v>
      </c>
      <c r="I29" s="131">
        <f t="shared" si="8"/>
        <v>0.55001314617879227</v>
      </c>
      <c r="J29" s="131">
        <f t="shared" si="2"/>
        <v>4.888742944693953</v>
      </c>
      <c r="K29" s="131">
        <f t="shared" si="3"/>
        <v>518.28693704395914</v>
      </c>
      <c r="L29" s="131">
        <f t="shared" si="0"/>
        <v>1000</v>
      </c>
      <c r="M29" s="132">
        <f t="shared" si="4"/>
        <v>762.29330554384921</v>
      </c>
      <c r="N29" s="133">
        <f t="shared" si="5"/>
        <v>481.71306295604091</v>
      </c>
      <c r="O29" s="134">
        <f>(uSuccessP*H29+uRevision*'NP1'!I29+uSuccessR*'NP1'!J29)/(1+oDR)^cycle</f>
        <v>290.16710520341354</v>
      </c>
      <c r="P29" s="29"/>
      <c r="Q29" s="29"/>
    </row>
    <row r="30" spans="1:17" x14ac:dyDescent="0.25">
      <c r="A30">
        <v>24</v>
      </c>
      <c r="C30" s="135">
        <f t="shared" si="6"/>
        <v>7.2338895141477177E-4</v>
      </c>
      <c r="E30" s="135">
        <f t="shared" si="1"/>
        <v>5.3499999999999999E-2</v>
      </c>
      <c r="G30" s="25"/>
      <c r="H30" s="131">
        <f t="shared" si="7"/>
        <v>450.44909987645269</v>
      </c>
      <c r="I30" s="131">
        <f t="shared" si="8"/>
        <v>0.54008128921674936</v>
      </c>
      <c r="J30" s="131">
        <f t="shared" si="2"/>
        <v>4.9412326592997191</v>
      </c>
      <c r="K30" s="131">
        <f t="shared" si="3"/>
        <v>544.06958617503096</v>
      </c>
      <c r="L30" s="131">
        <f t="shared" si="0"/>
        <v>1000.0000000000001</v>
      </c>
      <c r="M30" s="132">
        <f t="shared" si="4"/>
        <v>706.15868084708234</v>
      </c>
      <c r="N30" s="133">
        <f t="shared" si="5"/>
        <v>455.93041382496915</v>
      </c>
      <c r="O30" s="134">
        <f>(uSuccessP*H30+uRevision*'NP1'!I30+uSuccessR*'NP1'!J30)/(1+oDR)^cycle</f>
        <v>270.54838965607303</v>
      </c>
      <c r="P30" s="29"/>
      <c r="Q30" s="29"/>
    </row>
    <row r="31" spans="1:17" x14ac:dyDescent="0.25">
      <c r="A31">
        <v>25</v>
      </c>
      <c r="C31" s="135">
        <f t="shared" si="6"/>
        <v>7.3719144146722204E-4</v>
      </c>
      <c r="E31" s="135">
        <f t="shared" si="1"/>
        <v>0.15480000000000002</v>
      </c>
      <c r="G31" s="25"/>
      <c r="H31" s="131">
        <f t="shared" si="7"/>
        <v>380.38751199433227</v>
      </c>
      <c r="I31" s="131">
        <f t="shared" si="8"/>
        <v>0.52971652761752364</v>
      </c>
      <c r="J31" s="131">
        <f t="shared" si="2"/>
        <v>4.4243556171297946</v>
      </c>
      <c r="K31" s="131">
        <f t="shared" si="3"/>
        <v>614.65841586092051</v>
      </c>
      <c r="L31" s="131">
        <f t="shared" si="0"/>
        <v>1000.0000000000001</v>
      </c>
      <c r="M31" s="132">
        <f t="shared" si="4"/>
        <v>653.40255574491664</v>
      </c>
      <c r="N31" s="133">
        <f t="shared" si="5"/>
        <v>385.3415841390796</v>
      </c>
      <c r="O31" s="134">
        <f>(uSuccessP*H31+uRevision*'NP1'!I31+uSuccessR*'NP1'!J31)/(1+oDR)^cycle</f>
        <v>225.23699182815633</v>
      </c>
      <c r="P31" s="29"/>
      <c r="Q31" s="29"/>
    </row>
    <row r="32" spans="1:17" x14ac:dyDescent="0.25">
      <c r="A32">
        <v>26</v>
      </c>
      <c r="C32" s="135">
        <f t="shared" si="6"/>
        <v>7.5068920225673796E-4</v>
      </c>
      <c r="E32" s="135">
        <f t="shared" si="1"/>
        <v>0.15480000000000002</v>
      </c>
      <c r="G32" s="25"/>
      <c r="H32" s="131">
        <f t="shared" si="7"/>
        <v>321.21797233968215</v>
      </c>
      <c r="I32" s="131">
        <f t="shared" si="8"/>
        <v>0.46252702261264245</v>
      </c>
      <c r="J32" s="131">
        <f t="shared" si="2"/>
        <v>3.9996132215028908</v>
      </c>
      <c r="K32" s="131">
        <f t="shared" si="3"/>
        <v>674.31988741620239</v>
      </c>
      <c r="L32" s="131">
        <f t="shared" si="0"/>
        <v>1000</v>
      </c>
      <c r="M32" s="132">
        <f t="shared" si="4"/>
        <v>538.23080573004495</v>
      </c>
      <c r="N32" s="133">
        <f t="shared" si="5"/>
        <v>325.68011258379767</v>
      </c>
      <c r="O32" s="134">
        <f>(uSuccessP*H32+uRevision*'NP1'!I32+uSuccessR*'NP1'!J32)/(1+oDR)^cycle</f>
        <v>187.52764075808511</v>
      </c>
      <c r="P32" s="29"/>
      <c r="Q32" s="29"/>
    </row>
    <row r="33" spans="1:17" x14ac:dyDescent="0.25">
      <c r="A33">
        <v>27</v>
      </c>
      <c r="C33" s="135">
        <f t="shared" si="6"/>
        <v>7.6390053220509735E-4</v>
      </c>
      <c r="E33" s="135">
        <f t="shared" si="1"/>
        <v>0.15480000000000002</v>
      </c>
      <c r="G33" s="25"/>
      <c r="H33" s="131">
        <f t="shared" si="7"/>
        <v>271.24805164147523</v>
      </c>
      <c r="I33" s="131">
        <f t="shared" si="8"/>
        <v>0.4053631088842411</v>
      </c>
      <c r="J33" s="131">
        <f t="shared" si="2"/>
        <v>3.6021658650140798</v>
      </c>
      <c r="K33" s="131">
        <f t="shared" si="3"/>
        <v>724.74441938462655</v>
      </c>
      <c r="L33" s="131">
        <f t="shared" si="0"/>
        <v>1000</v>
      </c>
      <c r="M33" s="132">
        <f t="shared" si="4"/>
        <v>445.01002723997465</v>
      </c>
      <c r="N33" s="133">
        <f t="shared" si="5"/>
        <v>275.25558061537356</v>
      </c>
      <c r="O33" s="134">
        <f>(uSuccessP*H33+uRevision*'NP1'!I33+uSuccessR*'NP1'!J33)/(1+oDR)^cycle</f>
        <v>156.13061916210049</v>
      </c>
      <c r="P33" s="29"/>
      <c r="Q33" s="29"/>
    </row>
    <row r="34" spans="1:17" x14ac:dyDescent="0.25">
      <c r="A34">
        <v>28</v>
      </c>
      <c r="C34" s="135">
        <f t="shared" si="6"/>
        <v>7.7684198754024436E-4</v>
      </c>
      <c r="E34" s="135">
        <f t="shared" si="1"/>
        <v>0.15480000000000002</v>
      </c>
      <c r="G34" s="25"/>
      <c r="H34" s="131">
        <f t="shared" si="7"/>
        <v>229.04813637182127</v>
      </c>
      <c r="I34" s="131">
        <f t="shared" si="8"/>
        <v>0.35480351015414568</v>
      </c>
      <c r="J34" s="131">
        <f t="shared" si="2"/>
        <v>3.2349695919606125</v>
      </c>
      <c r="K34" s="131">
        <f t="shared" si="3"/>
        <v>767.36209052606409</v>
      </c>
      <c r="L34" s="131">
        <f t="shared" si="0"/>
        <v>1000.0000000000001</v>
      </c>
      <c r="M34" s="132">
        <f t="shared" si="4"/>
        <v>367.45792417300692</v>
      </c>
      <c r="N34" s="133">
        <f t="shared" si="5"/>
        <v>232.63790947393602</v>
      </c>
      <c r="O34" s="134">
        <f>(uSuccessP*H34+uRevision*'NP1'!I34+uSuccessR*'NP1'!J34)/(1+oDR)^cycle</f>
        <v>129.98991627607435</v>
      </c>
      <c r="P34" s="29"/>
      <c r="Q34" s="29"/>
    </row>
    <row r="35" spans="1:17" x14ac:dyDescent="0.25">
      <c r="A35">
        <v>29</v>
      </c>
      <c r="C35" s="135">
        <f t="shared" si="6"/>
        <v>7.895286050445538E-4</v>
      </c>
      <c r="E35" s="135">
        <f t="shared" si="1"/>
        <v>0.15480000000000002</v>
      </c>
      <c r="G35" s="25"/>
      <c r="H35" s="131">
        <f t="shared" si="7"/>
        <v>193.41064480586562</v>
      </c>
      <c r="I35" s="131">
        <f t="shared" si="8"/>
        <v>0.31023883927612328</v>
      </c>
      <c r="J35" s="131">
        <f t="shared" si="2"/>
        <v>2.8975813720258858</v>
      </c>
      <c r="K35" s="131">
        <f t="shared" si="3"/>
        <v>803.38153498283248</v>
      </c>
      <c r="L35" s="131">
        <f t="shared" si="0"/>
        <v>1000.0000000000001</v>
      </c>
      <c r="M35" s="132">
        <f t="shared" si="4"/>
        <v>303.11680258967067</v>
      </c>
      <c r="N35" s="133">
        <f t="shared" si="5"/>
        <v>196.61846501716764</v>
      </c>
      <c r="O35" s="134">
        <f>(uSuccessP*H35+uRevision*'NP1'!I35+uSuccessR*'NP1'!J35)/(1+oDR)^cycle</f>
        <v>108.22559401279631</v>
      </c>
      <c r="P35" s="29"/>
      <c r="Q35" s="29"/>
    </row>
    <row r="36" spans="1:17" x14ac:dyDescent="0.25">
      <c r="A36">
        <v>30</v>
      </c>
      <c r="C36" s="135">
        <f t="shared" si="6"/>
        <v>8.0197408955473559E-4</v>
      </c>
      <c r="E36" s="135">
        <f t="shared" si="1"/>
        <v>0.15480000000000002</v>
      </c>
      <c r="G36" s="25"/>
      <c r="H36" s="131">
        <f t="shared" si="7"/>
        <v>163.31556666413923</v>
      </c>
      <c r="I36" s="131">
        <f t="shared" si="8"/>
        <v>0.27101358065941389</v>
      </c>
      <c r="J36" s="131">
        <f t="shared" si="2"/>
        <v>2.5891416109258998</v>
      </c>
      <c r="K36" s="131">
        <f t="shared" si="3"/>
        <v>833.82427814427558</v>
      </c>
      <c r="L36" s="131">
        <f t="shared" si="0"/>
        <v>1000.0000000000001</v>
      </c>
      <c r="M36" s="132">
        <f t="shared" si="4"/>
        <v>249.80379577795952</v>
      </c>
      <c r="N36" s="133">
        <f t="shared" si="5"/>
        <v>166.17572185572453</v>
      </c>
      <c r="O36" s="134">
        <f>(uSuccessP*H36+uRevision*'NP1'!I36+uSuccessR*'NP1'!J36)/(1+oDR)^cycle</f>
        <v>90.105031143368052</v>
      </c>
      <c r="P36" s="29"/>
      <c r="Q36" s="29"/>
    </row>
    <row r="37" spans="1:17" x14ac:dyDescent="0.25">
      <c r="A37">
        <v>31</v>
      </c>
      <c r="C37" s="135">
        <f t="shared" si="6"/>
        <v>8.1419097279089581E-4</v>
      </c>
      <c r="E37" s="135">
        <f t="shared" si="1"/>
        <v>0.15480000000000002</v>
      </c>
      <c r="G37" s="25"/>
      <c r="H37" s="131">
        <f t="shared" si="7"/>
        <v>137.90134688443629</v>
      </c>
      <c r="I37" s="131">
        <f t="shared" si="8"/>
        <v>0.23653572453120791</v>
      </c>
      <c r="J37" s="131">
        <f t="shared" si="2"/>
        <v>2.3084172318776828</v>
      </c>
      <c r="K37" s="131">
        <f t="shared" si="3"/>
        <v>859.55370015915491</v>
      </c>
      <c r="L37" s="131">
        <f t="shared" si="0"/>
        <v>1000.0000000000001</v>
      </c>
      <c r="M37" s="132">
        <f t="shared" si="4"/>
        <v>205.68321698964502</v>
      </c>
      <c r="N37" s="133">
        <f t="shared" si="5"/>
        <v>140.44629984084517</v>
      </c>
      <c r="O37" s="134">
        <f>(uSuccessP*H37+uRevision*'NP1'!I37+uSuccessR*'NP1'!J37)/(1+oDR)^cycle</f>
        <v>75.018239033235446</v>
      </c>
      <c r="P37" s="29"/>
      <c r="Q37" s="29"/>
    </row>
    <row r="38" spans="1:17" x14ac:dyDescent="0.25">
      <c r="A38">
        <v>32</v>
      </c>
      <c r="C38" s="135">
        <f t="shared" si="6"/>
        <v>8.2619074868983677E-4</v>
      </c>
      <c r="E38" s="135">
        <f t="shared" si="1"/>
        <v>0.15480000000000002</v>
      </c>
      <c r="G38" s="25"/>
      <c r="H38" s="131">
        <f t="shared" si="7"/>
        <v>116.44028556969776</v>
      </c>
      <c r="I38" s="131">
        <f t="shared" si="8"/>
        <v>0.20626950630289662</v>
      </c>
      <c r="J38" s="131">
        <f t="shared" si="2"/>
        <v>2.0539268349910627</v>
      </c>
      <c r="K38" s="131">
        <f t="shared" si="3"/>
        <v>881.29951808900842</v>
      </c>
      <c r="L38" s="131">
        <f t="shared" ref="L38:L66" si="9">SUM(G38:K38)</f>
        <v>1000.0000000000001</v>
      </c>
      <c r="M38" s="132">
        <f t="shared" si="4"/>
        <v>169.2120463558698</v>
      </c>
      <c r="N38" s="133">
        <f t="shared" si="5"/>
        <v>118.70048191099173</v>
      </c>
      <c r="O38" s="134">
        <f>(uSuccessP*H38+uRevision*'NP1'!I38+uSuccessR*'NP1'!J38)/(1+oDR)^cycle</f>
        <v>62.457336980841731</v>
      </c>
      <c r="P38" s="29"/>
      <c r="Q38" s="29"/>
    </row>
    <row r="39" spans="1:17" x14ac:dyDescent="0.25">
      <c r="A39">
        <v>33</v>
      </c>
      <c r="C39" s="135">
        <f t="shared" si="6"/>
        <v>8.3798398935053253E-4</v>
      </c>
      <c r="E39" s="135">
        <f t="shared" ref="E39:E66" si="10">IF(male=0,VLOOKUP(cycle+age,lifetable,3,1),IF(male=1,VLOOKUP(cycle+age,lifetable,2,1),"error"))</f>
        <v>0.15480000000000002</v>
      </c>
      <c r="G39" s="25"/>
      <c r="H39" s="131">
        <f t="shared" si="7"/>
        <v>98.317754268485729</v>
      </c>
      <c r="I39" s="131">
        <f t="shared" si="8"/>
        <v>0.1797321684224531</v>
      </c>
      <c r="J39" s="131">
        <f t="shared" ref="J39:J66" si="11">I38*(1-mr-omrRTHR)+J38*(1-mr-rrr)</f>
        <v>1.8240354841359536</v>
      </c>
      <c r="K39" s="131">
        <f t="shared" ref="K39:K66" si="12">H38*mr+(I38+J38)*mr+G38*omrPTHR+I38*omrRTHR+K38</f>
        <v>899.678478078956</v>
      </c>
      <c r="L39" s="131">
        <f t="shared" si="9"/>
        <v>1000.0000000000001</v>
      </c>
      <c r="M39" s="132">
        <f t="shared" ref="M39:M66" si="13">(cPrimary*G39+cSuccess*H39+cRevision*I39+cSuccess*J39)/(1+cDR)^cycle</f>
        <v>139.09649839133621</v>
      </c>
      <c r="N39" s="133">
        <f t="shared" ref="N39:N66" si="14">(J39+I39+H39)</f>
        <v>100.32152192104414</v>
      </c>
      <c r="O39" s="134">
        <f>(uSuccessP*H39+uRevision*'NP1'!I39+uSuccessR*'NP1'!J39)/(1+oDR)^cycle</f>
        <v>51.999461463959172</v>
      </c>
      <c r="P39" s="29"/>
      <c r="Q39" s="29"/>
    </row>
    <row r="40" spans="1:17" x14ac:dyDescent="0.25">
      <c r="A40">
        <v>34</v>
      </c>
      <c r="C40" s="135">
        <f t="shared" si="6"/>
        <v>8.4958044487692952E-4</v>
      </c>
      <c r="E40" s="135">
        <f t="shared" si="10"/>
        <v>0.15480000000000002</v>
      </c>
      <c r="G40" s="25"/>
      <c r="H40" s="131">
        <f t="shared" si="7"/>
        <v>83.014637066313412</v>
      </c>
      <c r="I40" s="131">
        <f t="shared" si="8"/>
        <v>0.15649026077615891</v>
      </c>
      <c r="J40" s="131">
        <f t="shared" si="11"/>
        <v>1.617028357208478</v>
      </c>
      <c r="K40" s="131">
        <f t="shared" si="12"/>
        <v>915.21184431570214</v>
      </c>
      <c r="L40" s="131">
        <f t="shared" si="9"/>
        <v>1000.0000000000002</v>
      </c>
      <c r="M40" s="132">
        <f t="shared" si="13"/>
        <v>114.2541101487782</v>
      </c>
      <c r="N40" s="133">
        <f t="shared" si="14"/>
        <v>84.788155684298047</v>
      </c>
      <c r="O40" s="134">
        <f>(uSuccessP*H40+uRevision*'NP1'!I40+uSuccessR*'NP1'!J40)/(1+oDR)^cycle</f>
        <v>43.292535796347657</v>
      </c>
      <c r="P40" s="29"/>
      <c r="Q40" s="29"/>
    </row>
    <row r="41" spans="1:17" x14ac:dyDescent="0.25">
      <c r="A41">
        <v>35</v>
      </c>
      <c r="C41" s="135">
        <f t="shared" si="6"/>
        <v>8.6098912976584341E-4</v>
      </c>
      <c r="E41" s="135">
        <f t="shared" si="10"/>
        <v>0.15480000000000002</v>
      </c>
      <c r="G41" s="25"/>
      <c r="H41" s="131">
        <f t="shared" si="7"/>
        <v>70.092496548322544</v>
      </c>
      <c r="I41" s="131">
        <f t="shared" si="8"/>
        <v>0.13615583441389162</v>
      </c>
      <c r="J41" s="131">
        <f t="shared" si="11"/>
        <v>1.4311669964167526</v>
      </c>
      <c r="K41" s="131">
        <f t="shared" si="12"/>
        <v>928.34018062084704</v>
      </c>
      <c r="L41" s="131">
        <f t="shared" si="9"/>
        <v>1000.0000000000002</v>
      </c>
      <c r="M41" s="132">
        <f t="shared" si="13"/>
        <v>93.781010657867895</v>
      </c>
      <c r="N41" s="133">
        <f t="shared" si="14"/>
        <v>71.659819379153191</v>
      </c>
      <c r="O41" s="134">
        <f>(uSuccessP*H41+uRevision*'NP1'!I41+uSuccessR*'NP1'!J41)/(1+oDR)^cycle</f>
        <v>36.043421471152733</v>
      </c>
      <c r="P41" s="29"/>
      <c r="Q41" s="29"/>
    </row>
    <row r="42" spans="1:17" x14ac:dyDescent="0.25">
      <c r="A42">
        <v>36</v>
      </c>
      <c r="C42" s="135">
        <f t="shared" si="6"/>
        <v>8.7221839799012102E-4</v>
      </c>
      <c r="E42" s="135">
        <f t="shared" si="10"/>
        <v>0.15480000000000002</v>
      </c>
      <c r="G42" s="25"/>
      <c r="H42" s="131">
        <f t="shared" si="7"/>
        <v>59.181042117591701</v>
      </c>
      <c r="I42" s="131">
        <f t="shared" si="8"/>
        <v>0.11838264490717608</v>
      </c>
      <c r="J42" s="131">
        <f t="shared" si="11"/>
        <v>1.2647314600731123</v>
      </c>
      <c r="K42" s="131">
        <f t="shared" si="12"/>
        <v>939.4358437774282</v>
      </c>
      <c r="L42" s="131">
        <f t="shared" si="9"/>
        <v>1000.0000000000002</v>
      </c>
      <c r="M42" s="132">
        <f t="shared" si="13"/>
        <v>76.923817030582185</v>
      </c>
      <c r="N42" s="133">
        <f t="shared" si="14"/>
        <v>60.564156222571988</v>
      </c>
      <c r="O42" s="134">
        <f>(uSuccessP*H42+uRevision*'NP1'!I42+uSuccessR*'NP1'!J42)/(1+oDR)^cycle</f>
        <v>30.008052616677737</v>
      </c>
      <c r="P42" s="29"/>
      <c r="Q42" s="29"/>
    </row>
    <row r="43" spans="1:17" x14ac:dyDescent="0.25">
      <c r="A43">
        <v>37</v>
      </c>
      <c r="C43" s="135">
        <f t="shared" si="6"/>
        <v>8.8327600852844412E-4</v>
      </c>
      <c r="E43" s="135">
        <f t="shared" si="10"/>
        <v>0.15480000000000002</v>
      </c>
      <c r="G43" s="25"/>
      <c r="H43" s="131">
        <f t="shared" si="7"/>
        <v>49.967543603126323</v>
      </c>
      <c r="I43" s="131">
        <f t="shared" si="8"/>
        <v>0.10286245306510464</v>
      </c>
      <c r="J43" s="131">
        <f t="shared" si="11"/>
        <v>1.1160511302282716</v>
      </c>
      <c r="K43" s="131">
        <f t="shared" si="12"/>
        <v>948.81354281358051</v>
      </c>
      <c r="L43" s="131">
        <f t="shared" si="9"/>
        <v>1000.0000000000002</v>
      </c>
      <c r="M43" s="132">
        <f t="shared" si="13"/>
        <v>63.055619862322182</v>
      </c>
      <c r="N43" s="133">
        <f t="shared" si="14"/>
        <v>51.186457186419702</v>
      </c>
      <c r="O43" s="134">
        <f>(uSuccessP*H43+uRevision*'NP1'!I43+uSuccessR*'NP1'!J43)/(1+oDR)^cycle</f>
        <v>24.983221682574033</v>
      </c>
      <c r="P43" s="29"/>
      <c r="Q43" s="29"/>
    </row>
    <row r="44" spans="1:17" x14ac:dyDescent="0.25">
      <c r="A44">
        <v>38</v>
      </c>
      <c r="C44" s="135">
        <f t="shared" si="6"/>
        <v>8.9416918278795166E-4</v>
      </c>
      <c r="E44" s="135">
        <f t="shared" si="10"/>
        <v>0.15480000000000002</v>
      </c>
      <c r="G44" s="25"/>
      <c r="H44" s="131">
        <f t="shared" si="7"/>
        <v>42.187888415732836</v>
      </c>
      <c r="I44" s="131">
        <f t="shared" si="8"/>
        <v>8.9321482838659677E-2</v>
      </c>
      <c r="J44" s="131">
        <f t="shared" si="11"/>
        <v>0.98352646632912855</v>
      </c>
      <c r="K44" s="131">
        <f t="shared" si="12"/>
        <v>956.73926363509963</v>
      </c>
      <c r="L44" s="131">
        <f t="shared" si="9"/>
        <v>1000.0000000000002</v>
      </c>
      <c r="M44" s="132">
        <f t="shared" si="13"/>
        <v>51.655548942906563</v>
      </c>
      <c r="N44" s="133">
        <f t="shared" si="14"/>
        <v>43.260736364900623</v>
      </c>
      <c r="O44" s="134">
        <f>(uSuccessP*H44+uRevision*'NP1'!I44+uSuccessR*'NP1'!J44)/(1+oDR)^cycle</f>
        <v>20.799740010382223</v>
      </c>
      <c r="P44" s="29"/>
      <c r="Q44" s="29"/>
    </row>
    <row r="45" spans="1:17" x14ac:dyDescent="0.25">
      <c r="A45">
        <v>39</v>
      </c>
      <c r="C45" s="135">
        <f t="shared" si="6"/>
        <v>9.0490465510928431E-4</v>
      </c>
      <c r="E45" s="135">
        <f t="shared" si="10"/>
        <v>0.15480000000000002</v>
      </c>
      <c r="G45" s="25"/>
      <c r="H45" s="131">
        <f t="shared" si="7"/>
        <v>35.619027272360761</v>
      </c>
      <c r="I45" s="131">
        <f t="shared" si="8"/>
        <v>7.7517075269792846E-2</v>
      </c>
      <c r="J45" s="131">
        <f t="shared" si="11"/>
        <v>0.86564359832667614</v>
      </c>
      <c r="K45" s="131">
        <f t="shared" si="12"/>
        <v>963.43781205404298</v>
      </c>
      <c r="L45" s="131">
        <f t="shared" si="9"/>
        <v>1000.0000000000002</v>
      </c>
      <c r="M45" s="132">
        <f t="shared" si="13"/>
        <v>42.291449457005911</v>
      </c>
      <c r="N45" s="133">
        <f t="shared" si="14"/>
        <v>36.562187945957227</v>
      </c>
      <c r="O45" s="134">
        <f>(uSuccessP*H45+uRevision*'NP1'!I45+uSuccessR*'NP1'!J45)/(1+oDR)^cycle</f>
        <v>17.316743186153595</v>
      </c>
      <c r="P45" s="29"/>
      <c r="Q45" s="29"/>
    </row>
    <row r="46" spans="1:17" x14ac:dyDescent="0.25">
      <c r="A46">
        <v>40</v>
      </c>
      <c r="C46" s="135">
        <f t="shared" si="6"/>
        <v>9.1548871734425941E-4</v>
      </c>
      <c r="E46" s="135">
        <f t="shared" si="10"/>
        <v>0.15480000000000002</v>
      </c>
      <c r="G46" s="25"/>
      <c r="H46" s="131">
        <f t="shared" si="7"/>
        <v>30.07259303300869</v>
      </c>
      <c r="I46" s="131">
        <f t="shared" si="8"/>
        <v>6.7234561523690797E-2</v>
      </c>
      <c r="J46" s="131">
        <f t="shared" si="11"/>
        <v>0.76098331588527257</v>
      </c>
      <c r="K46" s="131">
        <f t="shared" si="12"/>
        <v>969.09918908958252</v>
      </c>
      <c r="L46" s="131">
        <f t="shared" si="9"/>
        <v>1000.0000000000002</v>
      </c>
      <c r="M46" s="132">
        <f t="shared" si="13"/>
        <v>34.605243006097545</v>
      </c>
      <c r="N46" s="133">
        <f t="shared" si="14"/>
        <v>30.900810910417654</v>
      </c>
      <c r="O46" s="134">
        <f>(uSuccessP*H46+uRevision*'NP1'!I46+uSuccessR*'NP1'!J46)/(1+oDR)^cycle</f>
        <v>14.416949579149119</v>
      </c>
      <c r="P46" s="29"/>
      <c r="Q46" s="29"/>
    </row>
    <row r="47" spans="1:17" x14ac:dyDescent="0.25">
      <c r="A47">
        <v>41</v>
      </c>
      <c r="C47" s="135">
        <f t="shared" si="6"/>
        <v>9.2592725833473555E-4</v>
      </c>
      <c r="E47" s="135">
        <f t="shared" si="10"/>
        <v>0.15480000000000002</v>
      </c>
      <c r="G47" s="25"/>
      <c r="H47" s="131">
        <f t="shared" si="7"/>
        <v>25.389510597880875</v>
      </c>
      <c r="I47" s="131">
        <f t="shared" si="8"/>
        <v>5.8284366253480907E-2</v>
      </c>
      <c r="J47" s="131">
        <f t="shared" si="11"/>
        <v>0.66822572612017095</v>
      </c>
      <c r="K47" s="131">
        <f t="shared" si="12"/>
        <v>973.88397930974565</v>
      </c>
      <c r="L47" s="131">
        <f t="shared" si="9"/>
        <v>1000.0000000000002</v>
      </c>
      <c r="M47" s="132">
        <f t="shared" si="13"/>
        <v>28.30059326336605</v>
      </c>
      <c r="N47" s="133">
        <f t="shared" si="14"/>
        <v>26.116020690254526</v>
      </c>
      <c r="O47" s="134">
        <f>(uSuccessP*H47+uRevision*'NP1'!I47+uSuccessR*'NP1'!J47)/(1+oDR)^cycle</f>
        <v>12.002712533819642</v>
      </c>
      <c r="P47" s="29"/>
      <c r="Q47" s="29"/>
    </row>
    <row r="48" spans="1:17" x14ac:dyDescent="0.25">
      <c r="A48">
        <v>42</v>
      </c>
      <c r="C48" s="135">
        <f t="shared" si="6"/>
        <v>9.3622579898622327E-4</v>
      </c>
      <c r="E48" s="135">
        <f t="shared" si="10"/>
        <v>0.15480000000000002</v>
      </c>
      <c r="G48" s="25"/>
      <c r="H48" s="131">
        <f t="shared" si="7"/>
        <v>21.435444042483542</v>
      </c>
      <c r="I48" s="131">
        <f t="shared" si="8"/>
        <v>5.0499343890177045E-2</v>
      </c>
      <c r="J48" s="131">
        <f t="shared" si="11"/>
        <v>0.58615161370433411</v>
      </c>
      <c r="K48" s="131">
        <f t="shared" si="12"/>
        <v>977.92790499992213</v>
      </c>
      <c r="L48" s="131">
        <f t="shared" si="9"/>
        <v>1000.0000000000002</v>
      </c>
      <c r="M48" s="132">
        <f t="shared" si="13"/>
        <v>23.132540513834911</v>
      </c>
      <c r="N48" s="133">
        <f t="shared" si="14"/>
        <v>22.072095000078054</v>
      </c>
      <c r="O48" s="134">
        <f>(uSuccessP*H48+uRevision*'NP1'!I48+uSuccessR*'NP1'!J48)/(1+oDR)^cycle</f>
        <v>9.9927333803585281</v>
      </c>
      <c r="P48" s="29"/>
      <c r="Q48" s="29"/>
    </row>
    <row r="49" spans="1:17" x14ac:dyDescent="0.25">
      <c r="A49">
        <v>43</v>
      </c>
      <c r="C49" s="135">
        <f t="shared" si="6"/>
        <v>9.4638952352144035E-4</v>
      </c>
      <c r="E49" s="135">
        <f t="shared" si="10"/>
        <v>0.15480000000000002</v>
      </c>
      <c r="G49" s="25"/>
      <c r="H49" s="131">
        <f t="shared" si="7"/>
        <v>18.096951025033253</v>
      </c>
      <c r="I49" s="131">
        <f t="shared" si="8"/>
        <v>4.3732344222009861E-2</v>
      </c>
      <c r="J49" s="131">
        <f t="shared" si="11"/>
        <v>0.5136413379329039</v>
      </c>
      <c r="K49" s="131">
        <f t="shared" si="12"/>
        <v>981.34567529281207</v>
      </c>
      <c r="L49" s="131">
        <f t="shared" si="9"/>
        <v>1000.0000000000002</v>
      </c>
      <c r="M49" s="132">
        <f t="shared" si="13"/>
        <v>18.898811286345744</v>
      </c>
      <c r="N49" s="133">
        <f t="shared" si="14"/>
        <v>18.654324707188167</v>
      </c>
      <c r="O49" s="134">
        <f>(uSuccessP*H49+uRevision*'NP1'!I49+uSuccessR*'NP1'!J49)/(1+oDR)^cycle</f>
        <v>8.3193246597164592</v>
      </c>
      <c r="P49" s="29"/>
      <c r="Q49" s="29"/>
    </row>
    <row r="50" spans="1:17" x14ac:dyDescent="0.25">
      <c r="A50">
        <v>44</v>
      </c>
      <c r="C50" s="135">
        <f t="shared" si="6"/>
        <v>9.5642330740963732E-4</v>
      </c>
      <c r="E50" s="135">
        <f t="shared" si="10"/>
        <v>0.15480000000000002</v>
      </c>
      <c r="G50" s="25"/>
      <c r="H50" s="131">
        <f t="shared" si="7"/>
        <v>15.278234660604712</v>
      </c>
      <c r="I50" s="131">
        <f t="shared" si="8"/>
        <v>3.7853999270708684E-2</v>
      </c>
      <c r="J50" s="131">
        <f t="shared" si="11"/>
        <v>0.44967193575557673</v>
      </c>
      <c r="K50" s="131">
        <f t="shared" si="12"/>
        <v>984.23423940436919</v>
      </c>
      <c r="L50" s="131">
        <f t="shared" si="9"/>
        <v>1000.0000000000002</v>
      </c>
      <c r="M50" s="132">
        <f t="shared" si="13"/>
        <v>15.432547939822218</v>
      </c>
      <c r="N50" s="133">
        <f t="shared" si="14"/>
        <v>15.765760595630997</v>
      </c>
      <c r="O50" s="134">
        <f>(uSuccessP*H50+uRevision*'NP1'!I50+uSuccessR*'NP1'!J50)/(1+oDR)^cycle</f>
        <v>6.9261314695466751</v>
      </c>
      <c r="P50" s="29"/>
      <c r="Q50" s="29"/>
    </row>
    <row r="51" spans="1:17" x14ac:dyDescent="0.25">
      <c r="A51">
        <v>45</v>
      </c>
      <c r="C51" s="135">
        <f t="shared" si="6"/>
        <v>9.66331742393578E-4</v>
      </c>
      <c r="E51" s="135">
        <f t="shared" si="10"/>
        <v>0.15480000000000002</v>
      </c>
      <c r="G51" s="25"/>
      <c r="H51" s="131">
        <f t="shared" si="7"/>
        <v>12.898400092022822</v>
      </c>
      <c r="I51" s="131">
        <f t="shared" si="8"/>
        <v>3.2750720550503182E-2</v>
      </c>
      <c r="J51" s="131">
        <f t="shared" si="11"/>
        <v>0.39331296286857914</v>
      </c>
      <c r="K51" s="131">
        <f t="shared" si="12"/>
        <v>986.6755362245583</v>
      </c>
      <c r="L51" s="131">
        <f t="shared" si="9"/>
        <v>1000.0000000000002</v>
      </c>
      <c r="M51" s="132">
        <f t="shared" si="13"/>
        <v>12.596238046099355</v>
      </c>
      <c r="N51" s="133">
        <f t="shared" si="14"/>
        <v>13.324463775441904</v>
      </c>
      <c r="O51" s="134">
        <f>(uSuccessP*H51+uRevision*'NP1'!I51+uSuccessR*'NP1'!J51)/(1+oDR)^cycle</f>
        <v>5.7662342505344677</v>
      </c>
      <c r="P51" s="29"/>
      <c r="Q51" s="29"/>
    </row>
    <row r="52" spans="1:17" x14ac:dyDescent="0.25">
      <c r="A52">
        <v>46</v>
      </c>
      <c r="C52" s="135">
        <f t="shared" si="6"/>
        <v>9.761191589737761E-4</v>
      </c>
      <c r="E52" s="135">
        <f t="shared" si="10"/>
        <v>0.15480000000000002</v>
      </c>
      <c r="G52" s="25"/>
      <c r="H52" s="131">
        <f t="shared" si="7"/>
        <v>10.889137382327755</v>
      </c>
      <c r="I52" s="131">
        <f t="shared" si="8"/>
        <v>2.8322893964675758E-2</v>
      </c>
      <c r="J52" s="131">
        <f t="shared" si="11"/>
        <v>0.34372149230005511</v>
      </c>
      <c r="K52" s="131">
        <f t="shared" si="12"/>
        <v>988.73881823140766</v>
      </c>
      <c r="L52" s="131">
        <f t="shared" si="9"/>
        <v>1000.0000000000001</v>
      </c>
      <c r="M52" s="132">
        <f t="shared" si="13"/>
        <v>10.276654627506955</v>
      </c>
      <c r="N52" s="133">
        <f t="shared" si="14"/>
        <v>11.261181768592486</v>
      </c>
      <c r="O52" s="134">
        <f>(uSuccessP*H52+uRevision*'NP1'!I52+uSuccessR*'NP1'!J52)/(1+oDR)^cycle</f>
        <v>4.8005691662544985</v>
      </c>
      <c r="P52" s="29"/>
      <c r="Q52" s="29"/>
    </row>
    <row r="53" spans="1:17" x14ac:dyDescent="0.25">
      <c r="A53">
        <v>47</v>
      </c>
      <c r="C53" s="135">
        <f t="shared" si="6"/>
        <v>9.8578964665785307E-4</v>
      </c>
      <c r="E53" s="135">
        <f t="shared" si="10"/>
        <v>0.15480000000000002</v>
      </c>
      <c r="G53" s="25"/>
      <c r="H53" s="131">
        <f t="shared" si="7"/>
        <v>9.1927645166508842</v>
      </c>
      <c r="I53" s="131">
        <f t="shared" si="8"/>
        <v>2.44832585845359E-2</v>
      </c>
      <c r="J53" s="131">
        <f t="shared" si="11"/>
        <v>0.30013659769965478</v>
      </c>
      <c r="K53" s="131">
        <f t="shared" si="12"/>
        <v>990.48261562706512</v>
      </c>
      <c r="L53" s="131">
        <f t="shared" si="9"/>
        <v>1000.0000000000002</v>
      </c>
      <c r="M53" s="132">
        <f t="shared" si="13"/>
        <v>8.3806458579363508</v>
      </c>
      <c r="N53" s="133">
        <f t="shared" si="14"/>
        <v>9.5173843729350747</v>
      </c>
      <c r="O53" s="134">
        <f>(uSuccessP*H53+uRevision*'NP1'!I53+uSuccessR*'NP1'!J53)/(1+oDR)^cycle</f>
        <v>3.9966129156792611</v>
      </c>
      <c r="P53" s="29"/>
      <c r="Q53" s="29"/>
    </row>
    <row r="54" spans="1:17" x14ac:dyDescent="0.25">
      <c r="A54">
        <v>48</v>
      </c>
      <c r="C54" s="135">
        <f t="shared" si="6"/>
        <v>9.953470722412483E-4</v>
      </c>
      <c r="E54" s="135">
        <f t="shared" si="10"/>
        <v>0.15480000000000002</v>
      </c>
      <c r="G54" s="25"/>
      <c r="H54" s="131">
        <f t="shared" si="7"/>
        <v>7.7605745782258753</v>
      </c>
      <c r="I54" s="131">
        <f t="shared" si="8"/>
        <v>2.1155455155437885E-2</v>
      </c>
      <c r="J54" s="131">
        <f t="shared" si="11"/>
        <v>0.26187357345172102</v>
      </c>
      <c r="K54" s="131">
        <f t="shared" si="12"/>
        <v>991.95639639316721</v>
      </c>
      <c r="L54" s="131">
        <f t="shared" si="9"/>
        <v>1000.0000000000002</v>
      </c>
      <c r="M54" s="132">
        <f t="shared" si="13"/>
        <v>6.8316369337589213</v>
      </c>
      <c r="N54" s="133">
        <f t="shared" si="14"/>
        <v>8.0436036068330345</v>
      </c>
      <c r="O54" s="134">
        <f>(uSuccessP*H54+uRevision*'NP1'!I54+uSuccessR*'NP1'!J54)/(1+oDR)^cycle</f>
        <v>3.3272877151111504</v>
      </c>
      <c r="P54" s="29"/>
      <c r="Q54" s="29"/>
    </row>
    <row r="55" spans="1:17" x14ac:dyDescent="0.25">
      <c r="A55">
        <v>49</v>
      </c>
      <c r="C55" s="135">
        <f t="shared" si="6"/>
        <v>1.0047950963462116E-3</v>
      </c>
      <c r="E55" s="135">
        <f t="shared" si="10"/>
        <v>0.15480000000000002</v>
      </c>
      <c r="G55" s="25"/>
      <c r="H55" s="131">
        <f t="shared" si="7"/>
        <v>6.5514398462354793</v>
      </c>
      <c r="I55" s="131">
        <f t="shared" si="8"/>
        <v>1.8272730219099267E-2</v>
      </c>
      <c r="J55" s="131">
        <f t="shared" si="11"/>
        <v>0.22831808293759309</v>
      </c>
      <c r="K55" s="131">
        <f t="shared" si="12"/>
        <v>993.20196934060812</v>
      </c>
      <c r="L55" s="131">
        <f t="shared" si="9"/>
        <v>1000.0000000000003</v>
      </c>
      <c r="M55" s="132">
        <f t="shared" si="13"/>
        <v>5.5667277415760719</v>
      </c>
      <c r="N55" s="133">
        <f t="shared" si="14"/>
        <v>6.7980306593921718</v>
      </c>
      <c r="O55" s="134">
        <f>(uSuccessP*H55+uRevision*'NP1'!I55+uSuccessR*'NP1'!J55)/(1+oDR)^cycle</f>
        <v>2.7700495948798727</v>
      </c>
      <c r="P55" s="29"/>
      <c r="Q55" s="29"/>
    </row>
    <row r="56" spans="1:17" x14ac:dyDescent="0.25">
      <c r="A56">
        <v>50</v>
      </c>
      <c r="C56" s="135">
        <f t="shared" si="6"/>
        <v>1.0141371884196948E-3</v>
      </c>
      <c r="E56" s="135">
        <f t="shared" si="10"/>
        <v>0.15480000000000002</v>
      </c>
      <c r="G56" s="25"/>
      <c r="H56" s="131">
        <f t="shared" si="7"/>
        <v>5.5306328992524652</v>
      </c>
      <c r="I56" s="131">
        <f t="shared" si="8"/>
        <v>1.5776782103265729E-2</v>
      </c>
      <c r="J56" s="131">
        <f t="shared" si="11"/>
        <v>0.19892037735815066</v>
      </c>
      <c r="K56" s="131">
        <f t="shared" si="12"/>
        <v>994.25466994128635</v>
      </c>
      <c r="L56" s="131">
        <f t="shared" si="9"/>
        <v>1000.0000000000002</v>
      </c>
      <c r="M56" s="132">
        <f t="shared" si="13"/>
        <v>4.5342879982327053</v>
      </c>
      <c r="N56" s="133">
        <f t="shared" si="14"/>
        <v>5.7453300587138818</v>
      </c>
      <c r="O56" s="134">
        <f>(uSuccessP*H56+uRevision*'NP1'!I56+uSuccessR*'NP1'!J56)/(1+oDR)^cycle</f>
        <v>2.3061293248182344</v>
      </c>
      <c r="P56" s="29"/>
      <c r="Q56" s="29"/>
    </row>
    <row r="57" spans="1:17" x14ac:dyDescent="0.25">
      <c r="A57">
        <v>51</v>
      </c>
      <c r="C57" s="135">
        <f t="shared" si="6"/>
        <v>1.0233766403596745E-3</v>
      </c>
      <c r="E57" s="135">
        <f t="shared" si="10"/>
        <v>0.15480000000000002</v>
      </c>
      <c r="G57" s="25"/>
      <c r="H57" s="131">
        <f t="shared" si="7"/>
        <v>4.6688310059326836</v>
      </c>
      <c r="I57" s="131">
        <f t="shared" si="8"/>
        <v>1.3616735609825702E-2</v>
      </c>
      <c r="J57" s="131">
        <f t="shared" si="11"/>
        <v>0.17318968844039775</v>
      </c>
      <c r="K57" s="131">
        <f t="shared" si="12"/>
        <v>995.14436257001728</v>
      </c>
      <c r="L57" s="131">
        <f t="shared" si="9"/>
        <v>1000.0000000000002</v>
      </c>
      <c r="M57" s="132">
        <f t="shared" si="13"/>
        <v>3.6919670254617074</v>
      </c>
      <c r="N57" s="133">
        <f t="shared" si="14"/>
        <v>4.8556374299829068</v>
      </c>
      <c r="O57" s="134">
        <f>(uSuccessP*H57+uRevision*'NP1'!I57+uSuccessR*'NP1'!J57)/(1+oDR)^cycle</f>
        <v>1.9199004187912214</v>
      </c>
      <c r="P57" s="29"/>
      <c r="Q57" s="29"/>
    </row>
    <row r="58" spans="1:17" x14ac:dyDescent="0.25">
      <c r="A58">
        <v>52</v>
      </c>
      <c r="C58" s="135">
        <f t="shared" si="6"/>
        <v>1.0325165789211166E-3</v>
      </c>
      <c r="E58" s="135">
        <f t="shared" si="10"/>
        <v>0.15480000000000002</v>
      </c>
      <c r="G58" s="25"/>
      <c r="H58" s="131">
        <f t="shared" si="7"/>
        <v>3.9412753207964975</v>
      </c>
      <c r="I58" s="131">
        <f t="shared" si="8"/>
        <v>1.174823295542236E-2</v>
      </c>
      <c r="J58" s="131">
        <f t="shared" si="11"/>
        <v>0.15068886735743642</v>
      </c>
      <c r="K58" s="131">
        <f t="shared" si="12"/>
        <v>995.89628757889079</v>
      </c>
      <c r="L58" s="131">
        <f t="shared" si="9"/>
        <v>1000.0000000000001</v>
      </c>
      <c r="M58" s="132">
        <f t="shared" si="13"/>
        <v>3.0050485488096919</v>
      </c>
      <c r="N58" s="133">
        <f t="shared" si="14"/>
        <v>4.1037124211093561</v>
      </c>
      <c r="O58" s="134">
        <f>(uSuccessP*H58+uRevision*'NP1'!I58+uSuccessR*'NP1'!J58)/(1+oDR)^cycle</f>
        <v>1.5983529451762217</v>
      </c>
      <c r="P58" s="29"/>
      <c r="Q58" s="29"/>
    </row>
    <row r="59" spans="1:17" x14ac:dyDescent="0.25">
      <c r="A59">
        <v>53</v>
      </c>
      <c r="C59" s="135">
        <f t="shared" si="6"/>
        <v>1.0415599770320361E-3</v>
      </c>
      <c r="E59" s="135">
        <f t="shared" si="10"/>
        <v>0.15480000000000002</v>
      </c>
      <c r="G59" s="25"/>
      <c r="H59" s="131">
        <f t="shared" si="7"/>
        <v>3.3270608265045936</v>
      </c>
      <c r="I59" s="131">
        <f t="shared" si="8"/>
        <v>1.0132629326903187E-2</v>
      </c>
      <c r="J59" s="131">
        <f t="shared" si="11"/>
        <v>0.13102931783102231</v>
      </c>
      <c r="K59" s="131">
        <f t="shared" si="12"/>
        <v>996.53177722633768</v>
      </c>
      <c r="L59" s="131">
        <f t="shared" si="9"/>
        <v>1000.0000000000002</v>
      </c>
      <c r="M59" s="132">
        <f t="shared" si="13"/>
        <v>2.4450921619023886</v>
      </c>
      <c r="N59" s="133">
        <f t="shared" si="14"/>
        <v>3.4682227736625189</v>
      </c>
      <c r="O59" s="134">
        <f>(uSuccessP*H59+uRevision*'NP1'!I59+uSuccessR*'NP1'!J59)/(1+oDR)^cycle</f>
        <v>1.33065543103757</v>
      </c>
      <c r="P59" s="29"/>
      <c r="Q59" s="29"/>
    </row>
    <row r="60" spans="1:17" x14ac:dyDescent="0.25">
      <c r="A60">
        <v>54</v>
      </c>
      <c r="C60" s="135">
        <f t="shared" si="6"/>
        <v>1.0505096641344469E-3</v>
      </c>
      <c r="E60" s="135">
        <f t="shared" si="10"/>
        <v>0.15480000000000002</v>
      </c>
      <c r="G60" s="25"/>
      <c r="H60" s="131">
        <f t="shared" si="7"/>
        <v>2.8085367010102762</v>
      </c>
      <c r="I60" s="131">
        <f t="shared" si="8"/>
        <v>8.7362822646471078E-3</v>
      </c>
      <c r="J60" s="131">
        <f t="shared" si="11"/>
        <v>0.11386625243809967</v>
      </c>
      <c r="K60" s="131">
        <f t="shared" si="12"/>
        <v>997.06886076428714</v>
      </c>
      <c r="L60" s="131">
        <f t="shared" si="9"/>
        <v>1000.0000000000001</v>
      </c>
      <c r="M60" s="132">
        <f t="shared" si="13"/>
        <v>1.9888126335542591</v>
      </c>
      <c r="N60" s="133">
        <f t="shared" si="14"/>
        <v>2.9311392357130228</v>
      </c>
      <c r="O60" s="134">
        <f>(uSuccessP*H60+uRevision*'NP1'!I60+uSuccessR*'NP1'!J60)/(1+oDR)^cycle</f>
        <v>1.1077901125945069</v>
      </c>
      <c r="P60" s="29"/>
      <c r="Q60" s="29"/>
    </row>
    <row r="61" spans="1:17" x14ac:dyDescent="0.25">
      <c r="A61">
        <v>55</v>
      </c>
      <c r="C61" s="135">
        <f t="shared" si="6"/>
        <v>1.0593683356502348E-3</v>
      </c>
      <c r="E61" s="135">
        <f t="shared" si="10"/>
        <v>0.15480000000000002</v>
      </c>
      <c r="G61" s="25"/>
      <c r="H61" s="131">
        <f t="shared" si="7"/>
        <v>2.3707999448433235</v>
      </c>
      <c r="I61" s="131">
        <f t="shared" si="8"/>
        <v>7.5299249480858445E-3</v>
      </c>
      <c r="J61" s="131">
        <f t="shared" si="11"/>
        <v>9.8894286587944635E-2</v>
      </c>
      <c r="K61" s="131">
        <f t="shared" si="12"/>
        <v>997.52277584362082</v>
      </c>
      <c r="L61" s="131">
        <f t="shared" si="9"/>
        <v>1000.0000000000002</v>
      </c>
      <c r="M61" s="132">
        <f t="shared" si="13"/>
        <v>1.6171562923810523</v>
      </c>
      <c r="N61" s="133">
        <f t="shared" si="14"/>
        <v>2.477224156379354</v>
      </c>
      <c r="O61" s="134">
        <f>(uSuccessP*H61+uRevision*'NP1'!I61+uSuccessR*'NP1'!J61)/(1+oDR)^cycle</f>
        <v>0.92224925319163797</v>
      </c>
      <c r="P61" s="29"/>
      <c r="Q61" s="29"/>
    </row>
    <row r="62" spans="1:17" x14ac:dyDescent="0.25">
      <c r="A62">
        <v>56</v>
      </c>
      <c r="C62" s="135">
        <f t="shared" si="6"/>
        <v>1.0681385616616579E-3</v>
      </c>
      <c r="E62" s="135">
        <f t="shared" si="10"/>
        <v>0.15480000000000002</v>
      </c>
      <c r="G62" s="25"/>
      <c r="H62" s="131">
        <f t="shared" si="7"/>
        <v>2.0012677705385045</v>
      </c>
      <c r="I62" s="131">
        <f t="shared" si="8"/>
        <v>6.4881143065902702E-3</v>
      </c>
      <c r="J62" s="131">
        <f t="shared" si="11"/>
        <v>8.5843373627773445E-2</v>
      </c>
      <c r="K62" s="131">
        <f t="shared" si="12"/>
        <v>997.90640074152725</v>
      </c>
      <c r="L62" s="131">
        <f t="shared" si="9"/>
        <v>1000.0000000000001</v>
      </c>
      <c r="M62" s="132">
        <f t="shared" si="13"/>
        <v>1.3145405115260353</v>
      </c>
      <c r="N62" s="133">
        <f t="shared" si="14"/>
        <v>2.0935992584728682</v>
      </c>
      <c r="O62" s="134">
        <f>(uSuccessP*H62+uRevision*'NP1'!I62+uSuccessR*'NP1'!J62)/(1+oDR)^cycle</f>
        <v>0.76778230539724601</v>
      </c>
      <c r="P62" s="29"/>
      <c r="Q62" s="29"/>
    </row>
    <row r="63" spans="1:17" x14ac:dyDescent="0.25">
      <c r="A63">
        <v>57</v>
      </c>
      <c r="C63" s="135">
        <f t="shared" si="6"/>
        <v>1.076822794882748E-3</v>
      </c>
      <c r="E63" s="135">
        <f t="shared" si="10"/>
        <v>0.15480000000000002</v>
      </c>
      <c r="G63" s="25"/>
      <c r="H63" s="131">
        <f t="shared" si="7"/>
        <v>1.6893165089051638</v>
      </c>
      <c r="I63" s="131">
        <f t="shared" si="8"/>
        <v>5.5887456990909761E-3</v>
      </c>
      <c r="J63" s="131">
        <f t="shared" si="11"/>
        <v>7.4475076370881452E-2</v>
      </c>
      <c r="K63" s="131">
        <f t="shared" si="12"/>
        <v>998.23061966902503</v>
      </c>
      <c r="L63" s="131">
        <f t="shared" si="9"/>
        <v>1000.0000000000001</v>
      </c>
      <c r="M63" s="132">
        <f t="shared" si="13"/>
        <v>1.0682280201241205</v>
      </c>
      <c r="N63" s="133">
        <f t="shared" si="14"/>
        <v>1.7693803309751361</v>
      </c>
      <c r="O63" s="134">
        <f>(uSuccessP*H63+uRevision*'NP1'!I63+uSuccessR*'NP1'!J63)/(1+oDR)^cycle</f>
        <v>0.63918540523120637</v>
      </c>
      <c r="P63" s="29"/>
      <c r="Q63" s="29"/>
    </row>
    <row r="64" spans="1:17" x14ac:dyDescent="0.25">
      <c r="A64">
        <v>58</v>
      </c>
      <c r="C64" s="135">
        <f t="shared" si="6"/>
        <v>1.0854233779941103E-3</v>
      </c>
      <c r="E64" s="135">
        <f t="shared" si="10"/>
        <v>0.15480000000000002</v>
      </c>
      <c r="G64" s="25"/>
      <c r="H64" s="131">
        <f t="shared" si="7"/>
        <v>1.4259766896950474</v>
      </c>
      <c r="I64" s="131">
        <f t="shared" si="8"/>
        <v>4.8126266864323185E-3</v>
      </c>
      <c r="J64" s="131">
        <f t="shared" si="11"/>
        <v>6.4579164444723614E-2</v>
      </c>
      <c r="K64" s="131">
        <f t="shared" si="12"/>
        <v>998.50463151917393</v>
      </c>
      <c r="L64" s="131">
        <f t="shared" si="9"/>
        <v>1000.0000000000001</v>
      </c>
      <c r="M64" s="132">
        <f t="shared" si="13"/>
        <v>0.86781255017363901</v>
      </c>
      <c r="N64" s="133">
        <f t="shared" si="14"/>
        <v>1.4953684808262033</v>
      </c>
      <c r="O64" s="134">
        <f>(uSuccessP*H64+uRevision*'NP1'!I64+uSuccessR*'NP1'!J64)/(1+oDR)^cycle</f>
        <v>0.53212611144196242</v>
      </c>
      <c r="P64" s="29"/>
      <c r="Q64" s="29"/>
    </row>
    <row r="65" spans="1:17" x14ac:dyDescent="0.25">
      <c r="A65">
        <v>59</v>
      </c>
      <c r="C65" s="135">
        <f t="shared" si="6"/>
        <v>1.093942550398519E-3</v>
      </c>
      <c r="E65" s="135">
        <f t="shared" si="10"/>
        <v>0.15480000000000002</v>
      </c>
      <c r="G65" s="25"/>
      <c r="H65" s="131">
        <f t="shared" si="7"/>
        <v>1.2036755615535202</v>
      </c>
      <c r="I65" s="131">
        <f t="shared" si="8"/>
        <v>4.1431031545227821E-3</v>
      </c>
      <c r="J65" s="131">
        <f t="shared" si="11"/>
        <v>5.5970522752535397E-2</v>
      </c>
      <c r="K65" s="131">
        <f t="shared" si="12"/>
        <v>998.73621081253953</v>
      </c>
      <c r="L65" s="131">
        <f t="shared" si="9"/>
        <v>1000.0000000000001</v>
      </c>
      <c r="M65" s="132">
        <f t="shared" si="13"/>
        <v>0.70479632810362269</v>
      </c>
      <c r="N65" s="133">
        <f t="shared" si="14"/>
        <v>1.2637891874605784</v>
      </c>
      <c r="O65" s="134">
        <f>(uSuccessP*H65+uRevision*'NP1'!I65+uSuccessR*'NP1'!J65)/(1+oDR)^cycle</f>
        <v>0.44299748915574888</v>
      </c>
      <c r="P65" s="29"/>
      <c r="Q65" s="29"/>
    </row>
    <row r="66" spans="1:17" x14ac:dyDescent="0.25">
      <c r="A66">
        <v>60</v>
      </c>
      <c r="C66" s="135">
        <f t="shared" si="6"/>
        <v>1.1023824544542649E-3</v>
      </c>
      <c r="E66" s="135">
        <f t="shared" si="10"/>
        <v>0.15480000000000002</v>
      </c>
      <c r="G66" s="25"/>
      <c r="H66" s="131">
        <f t="shared" si="7"/>
        <v>1.0160196738051233</v>
      </c>
      <c r="I66" s="131">
        <f t="shared" si="8"/>
        <v>3.5657317300134012E-3</v>
      </c>
      <c r="J66" s="131">
        <f t="shared" si="11"/>
        <v>4.8486353643453696E-2</v>
      </c>
      <c r="K66" s="131">
        <f t="shared" si="12"/>
        <v>998.93192824082155</v>
      </c>
      <c r="L66" s="131">
        <f t="shared" si="9"/>
        <v>1000.0000000000001</v>
      </c>
      <c r="M66" s="132">
        <f t="shared" si="13"/>
        <v>0.57224326075506227</v>
      </c>
      <c r="N66" s="133">
        <f t="shared" si="14"/>
        <v>1.0680717591785904</v>
      </c>
      <c r="O66" s="134">
        <f>(uSuccessP*H66+uRevision*'NP1'!I66+uSuccessR*'NP1'!J66)/(1+oDR)^cycle</f>
        <v>0.36879662503205707</v>
      </c>
      <c r="P66" s="29"/>
      <c r="Q66" s="29"/>
    </row>
    <row r="67" spans="1:17" x14ac:dyDescent="0.25">
      <c r="M67" s="58" t="s">
        <v>135</v>
      </c>
      <c r="N67" s="58" t="s">
        <v>136</v>
      </c>
      <c r="O67" s="58" t="s">
        <v>137</v>
      </c>
    </row>
    <row r="68" spans="1:17" x14ac:dyDescent="0.25">
      <c r="I68" s="29"/>
      <c r="M68" s="129">
        <f>SUM(M6:M66)/1000</f>
        <v>610.31181775758273</v>
      </c>
      <c r="N68" s="130">
        <f>SUM(N6:N66)/1000</f>
        <v>20.917790824807657</v>
      </c>
      <c r="O68" s="108">
        <f>SUM(O6:O66)/1000</f>
        <v>14.697709857306155</v>
      </c>
    </row>
    <row r="69" spans="1:17" x14ac:dyDescent="0.25">
      <c r="I69" s="29"/>
    </row>
  </sheetData>
  <phoneticPr fontId="0" type="noConversion"/>
  <pageMargins left="0.75" right="0.75" top="1" bottom="1" header="0.5" footer="0.5"/>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69"/>
  <sheetViews>
    <sheetView workbookViewId="0">
      <selection activeCell="A2" sqref="A2"/>
    </sheetView>
  </sheetViews>
  <sheetFormatPr defaultRowHeight="12.5" x14ac:dyDescent="0.25"/>
  <cols>
    <col min="2" max="2" width="4.7265625" customWidth="1"/>
    <col min="3" max="3" width="8.81640625" style="26" customWidth="1"/>
    <col min="4" max="4" width="4.7265625" style="26" customWidth="1"/>
    <col min="5" max="5" width="8.81640625" style="26" customWidth="1"/>
    <col min="7" max="15" width="12.7265625" customWidth="1"/>
    <col min="16" max="17" width="4.7265625" customWidth="1"/>
  </cols>
  <sheetData>
    <row r="1" spans="1:17" ht="15.5" x14ac:dyDescent="0.35">
      <c r="A1" s="6" t="s">
        <v>149</v>
      </c>
      <c r="B1" s="6"/>
    </row>
    <row r="2" spans="1:17" ht="15.5" x14ac:dyDescent="0.35">
      <c r="A2" s="6"/>
      <c r="B2" s="6"/>
    </row>
    <row r="3" spans="1:17" ht="13" x14ac:dyDescent="0.3">
      <c r="D3" s="47"/>
      <c r="G3" s="23" t="s">
        <v>150</v>
      </c>
      <c r="H3" s="23"/>
      <c r="I3" s="24"/>
      <c r="J3" s="24"/>
      <c r="K3" s="23"/>
      <c r="L3" s="23"/>
      <c r="M3" s="24"/>
      <c r="N3" s="24"/>
      <c r="O3" s="24"/>
    </row>
    <row r="4" spans="1:17" ht="13" x14ac:dyDescent="0.3">
      <c r="A4" s="20" t="s">
        <v>23</v>
      </c>
      <c r="B4" s="20"/>
      <c r="C4" s="82" t="s">
        <v>79</v>
      </c>
      <c r="D4" s="27"/>
      <c r="E4" s="27" t="s">
        <v>24</v>
      </c>
      <c r="G4" s="20" t="s">
        <v>25</v>
      </c>
      <c r="H4" s="20" t="s">
        <v>26</v>
      </c>
      <c r="I4" s="20" t="s">
        <v>27</v>
      </c>
      <c r="J4" s="20" t="s">
        <v>28</v>
      </c>
      <c r="K4" s="20" t="s">
        <v>29</v>
      </c>
      <c r="L4" s="20" t="s">
        <v>106</v>
      </c>
      <c r="M4" s="20" t="s">
        <v>21</v>
      </c>
      <c r="N4" s="20" t="s">
        <v>30</v>
      </c>
      <c r="O4" s="20" t="s">
        <v>22</v>
      </c>
    </row>
    <row r="5" spans="1:17" x14ac:dyDescent="0.25">
      <c r="C5"/>
      <c r="D5"/>
      <c r="E5" s="33"/>
    </row>
    <row r="6" spans="1:17" x14ac:dyDescent="0.25">
      <c r="A6">
        <v>0</v>
      </c>
      <c r="G6" s="25">
        <v>1000</v>
      </c>
      <c r="H6" s="25"/>
      <c r="I6" s="25"/>
      <c r="J6" s="25"/>
      <c r="K6" s="25"/>
      <c r="L6" s="131">
        <f t="shared" ref="L6:L37" si="0">SUM(G6:K6)</f>
        <v>1000</v>
      </c>
      <c r="M6" s="132">
        <f>(_cNP2+cPrimary)*G6</f>
        <v>788000</v>
      </c>
      <c r="N6" s="29"/>
      <c r="O6" s="28"/>
      <c r="P6" s="29"/>
      <c r="Q6" s="29"/>
    </row>
    <row r="7" spans="1:17" x14ac:dyDescent="0.25">
      <c r="A7">
        <v>1</v>
      </c>
      <c r="C7" s="135">
        <f>1-EXP(lambda*rrNP2*(A6^gamma-A7^gamma))</f>
        <v>8.5944400745829874E-5</v>
      </c>
      <c r="E7" s="135">
        <f t="shared" ref="E7:E38" si="1">IF(male=0,VLOOKUP(cycle+age,lifetable,3,1),IF(male=1,VLOOKUP(cycle+age,lifetable,2,1),"error"))</f>
        <v>6.7000000000000002E-3</v>
      </c>
      <c r="G7" s="25"/>
      <c r="H7" s="131">
        <f>G6*(1-omrPTHR)+H6*(1-np2RR-mr)</f>
        <v>980</v>
      </c>
      <c r="I7" s="131">
        <f>H6*np2RR+J6*rrr</f>
        <v>0</v>
      </c>
      <c r="J7" s="131">
        <f t="shared" ref="J7:J38" si="2">I6*(1-mr-omrRTHR)+J6*(1-mr-rrr)</f>
        <v>0</v>
      </c>
      <c r="K7" s="131">
        <f t="shared" ref="K7:K38" si="3">H6*mr+(I6+J6)*mr+G6*omrPTHR+I6*omrRTHR+K6</f>
        <v>20</v>
      </c>
      <c r="L7" s="131">
        <f t="shared" si="0"/>
        <v>1000</v>
      </c>
      <c r="M7" s="132">
        <f t="shared" ref="M7:M38" si="4">(cPrimary*G7+cSuccess*H7+cRevision*I7+cSuccess*J7)/(1+cDR)^cycle</f>
        <v>0</v>
      </c>
      <c r="N7" s="133">
        <f t="shared" ref="N7:N38" si="5">(J7+I7+H7)</f>
        <v>980</v>
      </c>
      <c r="O7" s="134">
        <f>(uSuccessP*H7+uRevision*'NP2'!I7+uSuccessR*'NP2'!J7)/(1+oDR)^cycle</f>
        <v>820.68965517241384</v>
      </c>
      <c r="P7" s="29"/>
      <c r="Q7" s="29"/>
    </row>
    <row r="8" spans="1:17" x14ac:dyDescent="0.25">
      <c r="A8">
        <v>2</v>
      </c>
      <c r="C8" s="135">
        <f t="shared" ref="C8:C66" si="6">1-EXP(lambda*rrNP2*(A7^gamma-A8^gamma))</f>
        <v>1.4945723174109027E-4</v>
      </c>
      <c r="E8" s="135">
        <f t="shared" si="1"/>
        <v>6.7000000000000002E-3</v>
      </c>
      <c r="G8" s="49"/>
      <c r="H8" s="131">
        <f t="shared" ref="H8:H66" si="7">G7*(1-omrPTHR)+H7*(1-np2RR-mr)</f>
        <v>973.28753191289366</v>
      </c>
      <c r="I8" s="131">
        <f t="shared" ref="I8:I66" si="8">H7*np2RR+J7*rrr</f>
        <v>0.14646808710626846</v>
      </c>
      <c r="J8" s="131">
        <f t="shared" si="2"/>
        <v>0</v>
      </c>
      <c r="K8" s="131">
        <f t="shared" si="3"/>
        <v>26.565999999999999</v>
      </c>
      <c r="L8" s="131">
        <f t="shared" si="0"/>
        <v>1000</v>
      </c>
      <c r="M8" s="132">
        <f t="shared" si="4"/>
        <v>690.10506687485326</v>
      </c>
      <c r="N8" s="133">
        <f t="shared" si="5"/>
        <v>973.43399999999997</v>
      </c>
      <c r="O8" s="134">
        <f>(uSuccessP*H8+uRevision*'NP2'!I8+uSuccessR*'NP2'!J8)/(1+oDR)^cycle</f>
        <v>803.06568230443986</v>
      </c>
      <c r="P8" s="29"/>
      <c r="Q8" s="29"/>
    </row>
    <row r="9" spans="1:17" x14ac:dyDescent="0.25">
      <c r="A9">
        <v>3</v>
      </c>
      <c r="C9" s="135">
        <f t="shared" si="6"/>
        <v>1.8900617738326631E-4</v>
      </c>
      <c r="E9" s="135">
        <f t="shared" si="1"/>
        <v>6.7000000000000002E-3</v>
      </c>
      <c r="G9" s="25"/>
      <c r="H9" s="131">
        <f t="shared" si="7"/>
        <v>966.58254809317555</v>
      </c>
      <c r="I9" s="131">
        <f t="shared" si="8"/>
        <v>0.18395735590164985</v>
      </c>
      <c r="J9" s="131">
        <f t="shared" si="2"/>
        <v>0.1425573891805311</v>
      </c>
      <c r="K9" s="131">
        <f t="shared" si="3"/>
        <v>33.090937161742126</v>
      </c>
      <c r="L9" s="131">
        <f t="shared" si="0"/>
        <v>999.99999999999977</v>
      </c>
      <c r="M9" s="132">
        <f t="shared" si="4"/>
        <v>817.68023447488031</v>
      </c>
      <c r="N9" s="133">
        <f t="shared" si="5"/>
        <v>966.90906283825768</v>
      </c>
      <c r="O9" s="134">
        <f>(uSuccessP*H9+uRevision*'NP2'!I9+uSuccessR*'NP2'!J9)/(1+oDR)^cycle</f>
        <v>785.86044310981879</v>
      </c>
      <c r="P9" s="29"/>
      <c r="Q9" s="29"/>
    </row>
    <row r="10" spans="1:17" x14ac:dyDescent="0.25">
      <c r="A10">
        <v>4</v>
      </c>
      <c r="C10" s="135">
        <f t="shared" si="6"/>
        <v>2.2035374328888135E-4</v>
      </c>
      <c r="E10" s="135">
        <f t="shared" si="1"/>
        <v>6.7000000000000002E-3</v>
      </c>
      <c r="G10" s="25"/>
      <c r="H10" s="131">
        <f t="shared" si="7"/>
        <v>959.89345493828125</v>
      </c>
      <c r="I10" s="131">
        <f t="shared" si="8"/>
        <v>0.21869237823725765</v>
      </c>
      <c r="J10" s="131">
        <f t="shared" si="2"/>
        <v>0.31494565360487603</v>
      </c>
      <c r="K10" s="131">
        <f t="shared" si="3"/>
        <v>39.57290702987649</v>
      </c>
      <c r="L10" s="131">
        <f t="shared" si="0"/>
        <v>1000</v>
      </c>
      <c r="M10" s="132">
        <f t="shared" si="4"/>
        <v>917.05234001897497</v>
      </c>
      <c r="N10" s="133">
        <f t="shared" si="5"/>
        <v>960.42709297012334</v>
      </c>
      <c r="O10" s="134">
        <f>(uSuccessP*H10+uRevision*'NP2'!I10+uSuccessR*'NP2'!J10)/(1+oDR)^cycle</f>
        <v>769.0213717727313</v>
      </c>
      <c r="P10" s="29"/>
      <c r="Q10" s="29"/>
    </row>
    <row r="11" spans="1:17" x14ac:dyDescent="0.25">
      <c r="A11">
        <v>5</v>
      </c>
      <c r="C11" s="135">
        <f t="shared" si="6"/>
        <v>2.4704538688880007E-4</v>
      </c>
      <c r="E11" s="135">
        <f t="shared" si="1"/>
        <v>1.9300000000000001E-2</v>
      </c>
      <c r="G11" s="25"/>
      <c r="H11" s="131">
        <f t="shared" si="7"/>
        <v>941.13037400802523</v>
      </c>
      <c r="I11" s="131">
        <f t="shared" si="8"/>
        <v>0.24973507609144971</v>
      </c>
      <c r="J11" s="131">
        <f t="shared" si="2"/>
        <v>0.50636714411864037</v>
      </c>
      <c r="K11" s="131">
        <f t="shared" si="3"/>
        <v>58.113523771764619</v>
      </c>
      <c r="L11" s="131">
        <f t="shared" si="0"/>
        <v>1000</v>
      </c>
      <c r="M11" s="132">
        <f t="shared" si="4"/>
        <v>987.94815684154673</v>
      </c>
      <c r="N11" s="133">
        <f t="shared" si="5"/>
        <v>941.88647622823532</v>
      </c>
      <c r="O11" s="134">
        <f>(uSuccessP*H11+uRevision*'NP2'!I11+uSuccessR*'NP2'!J11)/(1+oDR)^cycle</f>
        <v>742.99396528832801</v>
      </c>
      <c r="P11" s="29"/>
      <c r="Q11" s="29"/>
    </row>
    <row r="12" spans="1:17" x14ac:dyDescent="0.25">
      <c r="A12">
        <v>6</v>
      </c>
      <c r="C12" s="135">
        <f t="shared" si="6"/>
        <v>2.7063457478537778E-4</v>
      </c>
      <c r="E12" s="135">
        <f t="shared" si="1"/>
        <v>1.9300000000000001E-2</v>
      </c>
      <c r="G12" s="25"/>
      <c r="H12" s="131">
        <f t="shared" si="7"/>
        <v>922.71185537108306</v>
      </c>
      <c r="I12" s="131">
        <f t="shared" si="8"/>
        <v>0.27495710435201104</v>
      </c>
      <c r="J12" s="131">
        <f t="shared" si="2"/>
        <v>0.71626006007346077</v>
      </c>
      <c r="K12" s="131">
        <f t="shared" si="3"/>
        <v>76.29692746449139</v>
      </c>
      <c r="L12" s="131">
        <f t="shared" si="0"/>
        <v>999.99999999999989</v>
      </c>
      <c r="M12" s="132">
        <f t="shared" si="4"/>
        <v>1026.1567136198371</v>
      </c>
      <c r="N12" s="133">
        <f t="shared" si="5"/>
        <v>923.70307253550857</v>
      </c>
      <c r="O12" s="134">
        <f>(uSuccessP*H12+uRevision*'NP2'!I12+uSuccessR*'NP2'!J12)/(1+oDR)^cycle</f>
        <v>717.84681027854151</v>
      </c>
      <c r="P12" s="29"/>
      <c r="Q12" s="29"/>
    </row>
    <row r="13" spans="1:17" x14ac:dyDescent="0.25">
      <c r="A13">
        <v>7</v>
      </c>
      <c r="C13" s="135">
        <f t="shared" si="6"/>
        <v>2.9196817712862089E-4</v>
      </c>
      <c r="E13" s="135">
        <f t="shared" si="1"/>
        <v>1.9300000000000001E-2</v>
      </c>
      <c r="G13" s="25"/>
      <c r="H13" s="131">
        <f t="shared" si="7"/>
        <v>904.63411406399348</v>
      </c>
      <c r="I13" s="131">
        <f t="shared" si="8"/>
        <v>0.29805290083060121</v>
      </c>
      <c r="J13" s="131">
        <f t="shared" si="2"/>
        <v>0.93793712866208145</v>
      </c>
      <c r="K13" s="131">
        <f t="shared" si="3"/>
        <v>94.129895906513752</v>
      </c>
      <c r="L13" s="131">
        <f t="shared" si="0"/>
        <v>999.99999999999989</v>
      </c>
      <c r="M13" s="132">
        <f t="shared" si="4"/>
        <v>1049.3883370341703</v>
      </c>
      <c r="N13" s="133">
        <f t="shared" si="5"/>
        <v>905.87010409348613</v>
      </c>
      <c r="O13" s="134">
        <f>(uSuccessP*H13+uRevision*'NP2'!I13+uSuccessR*'NP2'!J13)/(1+oDR)^cycle</f>
        <v>693.5490325928638</v>
      </c>
      <c r="P13" s="29"/>
      <c r="Q13" s="29"/>
    </row>
    <row r="14" spans="1:17" x14ac:dyDescent="0.25">
      <c r="A14">
        <v>8</v>
      </c>
      <c r="C14" s="135">
        <f t="shared" si="6"/>
        <v>3.1156801776122123E-4</v>
      </c>
      <c r="E14" s="135">
        <f t="shared" si="1"/>
        <v>1.9300000000000001E-2</v>
      </c>
      <c r="G14" s="25"/>
      <c r="H14" s="131">
        <f t="shared" si="7"/>
        <v>886.89282060484027</v>
      </c>
      <c r="I14" s="131">
        <f t="shared" si="8"/>
        <v>0.31937254286458017</v>
      </c>
      <c r="J14" s="131">
        <f t="shared" si="2"/>
        <v>1.1686568787603786</v>
      </c>
      <c r="K14" s="131">
        <f t="shared" si="3"/>
        <v>111.61914997353465</v>
      </c>
      <c r="L14" s="131">
        <f t="shared" si="0"/>
        <v>999.99999999999989</v>
      </c>
      <c r="M14" s="132">
        <f t="shared" si="4"/>
        <v>1060.8026379319565</v>
      </c>
      <c r="N14" s="133">
        <f t="shared" si="5"/>
        <v>888.38085002646528</v>
      </c>
      <c r="O14" s="134">
        <f>(uSuccessP*H14+uRevision*'NP2'!I14+uSuccessR*'NP2'!J14)/(1+oDR)^cycle</f>
        <v>670.07205455069573</v>
      </c>
      <c r="P14" s="29"/>
      <c r="Q14" s="29"/>
    </row>
    <row r="15" spans="1:17" x14ac:dyDescent="0.25">
      <c r="A15">
        <v>9</v>
      </c>
      <c r="C15" s="135">
        <f t="shared" si="6"/>
        <v>3.2978239738590265E-4</v>
      </c>
      <c r="E15" s="135">
        <f t="shared" si="1"/>
        <v>1.9300000000000001E-2</v>
      </c>
      <c r="G15" s="25"/>
      <c r="H15" s="131">
        <f t="shared" si="7"/>
        <v>869.48330752656341</v>
      </c>
      <c r="I15" s="131">
        <f t="shared" si="8"/>
        <v>0.3392279157538246</v>
      </c>
      <c r="J15" s="131">
        <f t="shared" si="2"/>
        <v>1.4061767277798904</v>
      </c>
      <c r="K15" s="131">
        <f t="shared" si="3"/>
        <v>128.77128782990272</v>
      </c>
      <c r="L15" s="131">
        <f t="shared" si="0"/>
        <v>999.99999999999977</v>
      </c>
      <c r="M15" s="132">
        <f t="shared" si="4"/>
        <v>1062.9742243495352</v>
      </c>
      <c r="N15" s="133">
        <f t="shared" si="5"/>
        <v>871.22871217009708</v>
      </c>
      <c r="O15" s="134">
        <f>(uSuccessP*H15+uRevision*'NP2'!I15+uSuccessR*'NP2'!J15)/(1+oDR)^cycle</f>
        <v>647.38822995445344</v>
      </c>
      <c r="P15" s="29"/>
      <c r="Q15" s="29"/>
    </row>
    <row r="16" spans="1:17" x14ac:dyDescent="0.25">
      <c r="A16">
        <v>10</v>
      </c>
      <c r="C16" s="135">
        <f t="shared" si="6"/>
        <v>3.4685736735973194E-4</v>
      </c>
      <c r="E16" s="135">
        <f t="shared" si="1"/>
        <v>1.9300000000000001E-2</v>
      </c>
      <c r="G16" s="25"/>
      <c r="H16" s="131">
        <f t="shared" si="7"/>
        <v>852.40069300028881</v>
      </c>
      <c r="I16" s="131">
        <f t="shared" si="8"/>
        <v>0.35783376012309165</v>
      </c>
      <c r="J16" s="131">
        <f t="shared" si="2"/>
        <v>1.6486867064872421</v>
      </c>
      <c r="K16" s="131">
        <f t="shared" si="3"/>
        <v>145.59278653310068</v>
      </c>
      <c r="L16" s="131">
        <f t="shared" si="0"/>
        <v>999.99999999999989</v>
      </c>
      <c r="M16" s="132">
        <f t="shared" si="4"/>
        <v>1057.8073890642074</v>
      </c>
      <c r="N16" s="133">
        <f t="shared" si="5"/>
        <v>854.40721346689918</v>
      </c>
      <c r="O16" s="134">
        <f>(uSuccessP*H16+uRevision*'NP2'!I16+uSuccessR*'NP2'!J16)/(1+oDR)^cycle</f>
        <v>625.47084820770363</v>
      </c>
      <c r="P16" s="29"/>
      <c r="Q16" s="29"/>
    </row>
    <row r="17" spans="1:17" x14ac:dyDescent="0.25">
      <c r="A17">
        <v>11</v>
      </c>
      <c r="C17" s="135">
        <f t="shared" si="6"/>
        <v>3.629742952424575E-4</v>
      </c>
      <c r="E17" s="135">
        <f t="shared" si="1"/>
        <v>1.9300000000000001E-2</v>
      </c>
      <c r="G17" s="25"/>
      <c r="H17" s="131">
        <f t="shared" si="7"/>
        <v>835.6399600845773</v>
      </c>
      <c r="I17" s="131">
        <f t="shared" si="8"/>
        <v>0.37534700906545193</v>
      </c>
      <c r="J17" s="131">
        <f t="shared" si="2"/>
        <v>1.8946904781428027</v>
      </c>
      <c r="K17" s="131">
        <f t="shared" si="3"/>
        <v>162.09000242821429</v>
      </c>
      <c r="L17" s="131">
        <f t="shared" si="0"/>
        <v>999.99999999999977</v>
      </c>
      <c r="M17" s="132">
        <f t="shared" si="4"/>
        <v>1046.7726782318862</v>
      </c>
      <c r="N17" s="133">
        <f t="shared" si="5"/>
        <v>837.90999757178554</v>
      </c>
      <c r="O17" s="134">
        <f>(uSuccessP*H17+uRevision*'NP2'!I17+uSuccessR*'NP2'!J17)/(1+oDR)^cycle</f>
        <v>604.2940958069579</v>
      </c>
      <c r="P17" s="29"/>
      <c r="Q17" s="29"/>
    </row>
    <row r="18" spans="1:17" x14ac:dyDescent="0.25">
      <c r="A18">
        <v>12</v>
      </c>
      <c r="C18" s="135">
        <f t="shared" si="6"/>
        <v>3.7827136956980478E-4</v>
      </c>
      <c r="E18" s="135">
        <f t="shared" si="1"/>
        <v>1.9300000000000001E-2</v>
      </c>
      <c r="G18" s="25"/>
      <c r="H18" s="131">
        <f t="shared" si="7"/>
        <v>819.19601018277649</v>
      </c>
      <c r="I18" s="131">
        <f t="shared" si="8"/>
        <v>0.39188629129416219</v>
      </c>
      <c r="J18" s="131">
        <f t="shared" si="2"/>
        <v>2.1429312043981139</v>
      </c>
      <c r="K18" s="131">
        <f t="shared" si="3"/>
        <v>178.26917232153107</v>
      </c>
      <c r="L18" s="131">
        <f t="shared" si="0"/>
        <v>999.99999999999989</v>
      </c>
      <c r="M18" s="132">
        <f t="shared" si="4"/>
        <v>1031.0355152440834</v>
      </c>
      <c r="N18" s="133">
        <f t="shared" si="5"/>
        <v>821.73082767846881</v>
      </c>
      <c r="O18" s="134">
        <f>(uSuccessP*H18+uRevision*'NP2'!I18+uSuccessR*'NP2'!J18)/(1+oDR)^cycle</f>
        <v>583.8330242946671</v>
      </c>
      <c r="P18" s="29"/>
      <c r="Q18" s="29"/>
    </row>
    <row r="19" spans="1:17" x14ac:dyDescent="0.25">
      <c r="A19">
        <v>13</v>
      </c>
      <c r="C19" s="135">
        <f t="shared" si="6"/>
        <v>3.9285671220534724E-4</v>
      </c>
      <c r="E19" s="135">
        <f t="shared" si="1"/>
        <v>1.9300000000000001E-2</v>
      </c>
      <c r="G19" s="25"/>
      <c r="H19" s="131">
        <f t="shared" si="7"/>
        <v>803.06370053503679</v>
      </c>
      <c r="I19" s="131">
        <f t="shared" si="8"/>
        <v>0.40754389938806829</v>
      </c>
      <c r="J19" s="131">
        <f t="shared" si="2"/>
        <v>2.3923405440236074</v>
      </c>
      <c r="K19" s="131">
        <f t="shared" si="3"/>
        <v>194.13641502155141</v>
      </c>
      <c r="L19" s="131">
        <f t="shared" si="0"/>
        <v>999.99999999999989</v>
      </c>
      <c r="M19" s="132">
        <f t="shared" si="4"/>
        <v>1011.5377266430271</v>
      </c>
      <c r="N19" s="133">
        <f t="shared" si="5"/>
        <v>805.86358497844844</v>
      </c>
      <c r="O19" s="134">
        <f>(uSuccessP*H19+uRevision*'NP2'!I19+uSuccessR*'NP2'!J19)/(1+oDR)^cycle</f>
        <v>564.06352061513712</v>
      </c>
      <c r="P19" s="29"/>
      <c r="Q19" s="29"/>
    </row>
    <row r="20" spans="1:17" x14ac:dyDescent="0.25">
      <c r="A20">
        <v>14</v>
      </c>
      <c r="C20" s="135">
        <f t="shared" si="6"/>
        <v>4.0681678267651122E-4</v>
      </c>
      <c r="E20" s="135">
        <f t="shared" si="1"/>
        <v>1.9300000000000001E-2</v>
      </c>
      <c r="G20" s="25"/>
      <c r="H20" s="131">
        <f t="shared" si="7"/>
        <v>787.23787132377458</v>
      </c>
      <c r="I20" s="131">
        <f t="shared" si="8"/>
        <v>0.42239341269690128</v>
      </c>
      <c r="J20" s="131">
        <f t="shared" si="2"/>
        <v>2.6420021739051247</v>
      </c>
      <c r="K20" s="131">
        <f t="shared" si="3"/>
        <v>209.69773308962323</v>
      </c>
      <c r="L20" s="131">
        <f t="shared" si="0"/>
        <v>999.99999999999977</v>
      </c>
      <c r="M20" s="132">
        <f t="shared" si="4"/>
        <v>989.05162296964056</v>
      </c>
      <c r="N20" s="133">
        <f t="shared" si="5"/>
        <v>790.3022669103766</v>
      </c>
      <c r="O20" s="134">
        <f>(uSuccessP*H20+uRevision*'NP2'!I20+uSuccessR*'NP2'!J20)/(1+oDR)^cycle</f>
        <v>544.96227908861897</v>
      </c>
      <c r="P20" s="29"/>
      <c r="Q20" s="29"/>
    </row>
    <row r="21" spans="1:17" x14ac:dyDescent="0.25">
      <c r="A21">
        <v>15</v>
      </c>
      <c r="C21" s="135">
        <f t="shared" si="6"/>
        <v>4.2022198787072806E-4</v>
      </c>
      <c r="E21" s="135">
        <f t="shared" si="1"/>
        <v>5.3499999999999999E-2</v>
      </c>
      <c r="G21" s="25"/>
      <c r="H21" s="131">
        <f t="shared" si="7"/>
        <v>744.78983054473781</v>
      </c>
      <c r="I21" s="131">
        <f t="shared" si="8"/>
        <v>0.43649475017100198</v>
      </c>
      <c r="J21" s="131">
        <f t="shared" si="2"/>
        <v>2.7863224675086746</v>
      </c>
      <c r="K21" s="131">
        <f t="shared" si="3"/>
        <v>251.98735223758231</v>
      </c>
      <c r="L21" s="131">
        <f t="shared" si="0"/>
        <v>999.99999999999977</v>
      </c>
      <c r="M21" s="132">
        <f t="shared" si="4"/>
        <v>964.21744068584746</v>
      </c>
      <c r="N21" s="133">
        <f t="shared" si="5"/>
        <v>748.01264776241749</v>
      </c>
      <c r="O21" s="134">
        <f>(uSuccessP*H21+uRevision*'NP2'!I21+uSuccessR*'NP2'!J21)/(1+oDR)^cycle</f>
        <v>508.13929924126614</v>
      </c>
      <c r="P21" s="29"/>
      <c r="Q21" s="29"/>
    </row>
    <row r="22" spans="1:17" x14ac:dyDescent="0.25">
      <c r="A22">
        <v>16</v>
      </c>
      <c r="C22" s="135">
        <f t="shared" si="6"/>
        <v>4.3313055450511229E-4</v>
      </c>
      <c r="E22" s="135">
        <f t="shared" si="1"/>
        <v>5.3499999999999999E-2</v>
      </c>
      <c r="G22" s="25"/>
      <c r="H22" s="131">
        <f t="shared" si="7"/>
        <v>704.62098337830071</v>
      </c>
      <c r="I22" s="131">
        <f t="shared" si="8"/>
        <v>0.43404413099395789</v>
      </c>
      <c r="J22" s="131">
        <f t="shared" si="2"/>
        <v>2.9302137028300468</v>
      </c>
      <c r="K22" s="131">
        <f t="shared" si="3"/>
        <v>292.01475878787505</v>
      </c>
      <c r="L22" s="131">
        <f t="shared" si="0"/>
        <v>999.99999999999977</v>
      </c>
      <c r="M22" s="132">
        <f t="shared" si="4"/>
        <v>904.53209425069485</v>
      </c>
      <c r="N22" s="133">
        <f t="shared" si="5"/>
        <v>707.98524121212472</v>
      </c>
      <c r="O22" s="134">
        <f>(uSuccessP*H22+uRevision*'NP2'!I22+uSuccessR*'NP2'!J22)/(1+oDR)^cycle</f>
        <v>473.80816156609808</v>
      </c>
      <c r="P22" s="29"/>
      <c r="Q22" s="29"/>
    </row>
    <row r="23" spans="1:17" x14ac:dyDescent="0.25">
      <c r="A23">
        <v>17</v>
      </c>
      <c r="C23" s="135">
        <f t="shared" si="6"/>
        <v>4.4559127934773457E-4</v>
      </c>
      <c r="E23" s="135">
        <f t="shared" si="1"/>
        <v>5.3499999999999999E-2</v>
      </c>
      <c r="G23" s="25"/>
      <c r="H23" s="131">
        <f t="shared" si="7"/>
        <v>666.60978780212281</v>
      </c>
      <c r="I23" s="131">
        <f t="shared" si="8"/>
        <v>0.43118151355199769</v>
      </c>
      <c r="J23" s="131">
        <f t="shared" si="2"/>
        <v>3.0583806089813392</v>
      </c>
      <c r="K23" s="131">
        <f t="shared" si="3"/>
        <v>329.90065007534361</v>
      </c>
      <c r="L23" s="131">
        <f t="shared" si="0"/>
        <v>999.99999999999977</v>
      </c>
      <c r="M23" s="132">
        <f t="shared" si="4"/>
        <v>847.704249244425</v>
      </c>
      <c r="N23" s="133">
        <f t="shared" si="5"/>
        <v>670.09934992465617</v>
      </c>
      <c r="O23" s="134">
        <f>(uSuccessP*H23+uRevision*'NP2'!I23+uSuccessR*'NP2'!J23)/(1+oDR)^cycle</f>
        <v>441.79540175323797</v>
      </c>
      <c r="P23" s="29"/>
      <c r="Q23" s="29"/>
    </row>
    <row r="24" spans="1:17" x14ac:dyDescent="0.25">
      <c r="A24">
        <v>18</v>
      </c>
      <c r="C24" s="135">
        <f t="shared" si="6"/>
        <v>4.5764553045246625E-4</v>
      </c>
      <c r="E24" s="135">
        <f t="shared" si="1"/>
        <v>5.3499999999999999E-2</v>
      </c>
      <c r="G24" s="25"/>
      <c r="H24" s="131">
        <f t="shared" si="7"/>
        <v>630.64109316476572</v>
      </c>
      <c r="I24" s="131">
        <f t="shared" si="8"/>
        <v>0.42740621430276204</v>
      </c>
      <c r="J24" s="131">
        <f t="shared" si="2"/>
        <v>3.1719116943475099</v>
      </c>
      <c r="K24" s="131">
        <f t="shared" si="3"/>
        <v>365.75958892658377</v>
      </c>
      <c r="L24" s="131">
        <f t="shared" si="0"/>
        <v>999.99999999999977</v>
      </c>
      <c r="M24" s="132">
        <f t="shared" si="4"/>
        <v>792.71886671553114</v>
      </c>
      <c r="N24" s="133">
        <f t="shared" si="5"/>
        <v>634.240411073416</v>
      </c>
      <c r="O24" s="134">
        <f>(uSuccessP*H24+uRevision*'NP2'!I24+uSuccessR*'NP2'!J24)/(1+oDR)^cycle</f>
        <v>411.94472967816239</v>
      </c>
      <c r="P24" s="29"/>
      <c r="Q24" s="29"/>
    </row>
    <row r="25" spans="1:17" x14ac:dyDescent="0.25">
      <c r="A25">
        <v>19</v>
      </c>
      <c r="C25" s="135">
        <f t="shared" si="6"/>
        <v>4.6932873433847E-4</v>
      </c>
      <c r="E25" s="135">
        <f t="shared" si="1"/>
        <v>5.3499999999999999E-2</v>
      </c>
      <c r="G25" s="25"/>
      <c r="H25" s="131">
        <f t="shared" si="7"/>
        <v>596.60581669437386</v>
      </c>
      <c r="I25" s="131">
        <f t="shared" si="8"/>
        <v>0.42285445385074905</v>
      </c>
      <c r="J25" s="131">
        <f t="shared" si="2"/>
        <v>3.2713298084775264</v>
      </c>
      <c r="K25" s="131">
        <f t="shared" si="3"/>
        <v>399.69999904329757</v>
      </c>
      <c r="L25" s="131">
        <f t="shared" si="0"/>
        <v>999.99999999999966</v>
      </c>
      <c r="M25" s="132">
        <f t="shared" si="4"/>
        <v>739.88360889843148</v>
      </c>
      <c r="N25" s="133">
        <f t="shared" si="5"/>
        <v>600.30000095670209</v>
      </c>
      <c r="O25" s="134">
        <f>(uSuccessP*H25+uRevision*'NP2'!I25+uSuccessR*'NP2'!J25)/(1+oDR)^cycle</f>
        <v>384.11018620046718</v>
      </c>
      <c r="P25" s="29"/>
      <c r="Q25" s="29"/>
    </row>
    <row r="26" spans="1:17" x14ac:dyDescent="0.25">
      <c r="A26">
        <v>20</v>
      </c>
      <c r="C26" s="135">
        <f t="shared" si="6"/>
        <v>4.8067150167918626E-4</v>
      </c>
      <c r="E26" s="135">
        <f t="shared" si="1"/>
        <v>5.3499999999999999E-2</v>
      </c>
      <c r="G26" s="25"/>
      <c r="H26" s="131">
        <f t="shared" si="7"/>
        <v>564.40063408740389</v>
      </c>
      <c r="I26" s="131">
        <f t="shared" si="8"/>
        <v>0.41762460616012309</v>
      </c>
      <c r="J26" s="131">
        <f t="shared" si="2"/>
        <v>3.3572351228775967</v>
      </c>
      <c r="K26" s="131">
        <f t="shared" si="3"/>
        <v>431.82450618355813</v>
      </c>
      <c r="L26" s="131">
        <f t="shared" si="0"/>
        <v>999.99999999999966</v>
      </c>
      <c r="M26" s="132">
        <f t="shared" si="4"/>
        <v>689.37052524514013</v>
      </c>
      <c r="N26" s="133">
        <f t="shared" si="5"/>
        <v>568.17549381644164</v>
      </c>
      <c r="O26" s="134">
        <f>(uSuccessP*H26+uRevision*'NP2'!I26+uSuccessR*'NP2'!J26)/(1+oDR)^cycle</f>
        <v>358.15566661025963</v>
      </c>
      <c r="P26" s="29"/>
      <c r="Q26" s="29"/>
    </row>
    <row r="27" spans="1:17" x14ac:dyDescent="0.25">
      <c r="A27">
        <v>21</v>
      </c>
      <c r="C27" s="135">
        <f t="shared" si="6"/>
        <v>4.9170049330626853E-4</v>
      </c>
      <c r="E27" s="135">
        <f t="shared" si="1"/>
        <v>5.3499999999999999E-2</v>
      </c>
      <c r="G27" s="25"/>
      <c r="H27" s="131">
        <f t="shared" si="7"/>
        <v>533.92768409352459</v>
      </c>
      <c r="I27" s="131">
        <f t="shared" si="8"/>
        <v>0.41180547511825111</v>
      </c>
      <c r="J27" s="131">
        <f t="shared" si="2"/>
        <v>3.4302628364958951</v>
      </c>
      <c r="K27" s="131">
        <f t="shared" si="3"/>
        <v>462.23024759486094</v>
      </c>
      <c r="L27" s="131">
        <f t="shared" si="0"/>
        <v>999.99999999999977</v>
      </c>
      <c r="M27" s="132">
        <f t="shared" si="4"/>
        <v>641.2876596649412</v>
      </c>
      <c r="N27" s="133">
        <f t="shared" si="5"/>
        <v>537.76975240513877</v>
      </c>
      <c r="O27" s="134">
        <f>(uSuccessP*H27+uRevision*'NP2'!I27+uSuccessR*'NP2'!J27)/(1+oDR)^cycle</f>
        <v>333.95424807957505</v>
      </c>
      <c r="P27" s="29"/>
      <c r="Q27" s="29"/>
    </row>
    <row r="28" spans="1:17" x14ac:dyDescent="0.25">
      <c r="A28">
        <v>22</v>
      </c>
      <c r="C28" s="135">
        <f t="shared" si="6"/>
        <v>5.0243909611913384E-4</v>
      </c>
      <c r="E28" s="135">
        <f t="shared" si="1"/>
        <v>5.3499999999999999E-2</v>
      </c>
      <c r="G28" s="25"/>
      <c r="H28" s="131">
        <f t="shared" si="7"/>
        <v>505.0942868515321</v>
      </c>
      <c r="I28" s="131">
        <f t="shared" si="8"/>
        <v>0.40547665644876874</v>
      </c>
      <c r="J28" s="131">
        <f t="shared" si="2"/>
        <v>3.4910710339805884</v>
      </c>
      <c r="K28" s="131">
        <f t="shared" si="3"/>
        <v>491.00916545803824</v>
      </c>
      <c r="L28" s="131">
        <f t="shared" si="0"/>
        <v>999.99999999999966</v>
      </c>
      <c r="M28" s="132">
        <f t="shared" si="4"/>
        <v>595.69061482869859</v>
      </c>
      <c r="N28" s="133">
        <f t="shared" si="5"/>
        <v>508.99083454196148</v>
      </c>
      <c r="O28" s="134">
        <f>(uSuccessP*H28+uRevision*'NP2'!I28+uSuccessR*'NP2'!J28)/(1+oDR)^cycle</f>
        <v>311.38757115749053</v>
      </c>
      <c r="P28" s="29"/>
      <c r="Q28" s="29"/>
    </row>
    <row r="29" spans="1:17" x14ac:dyDescent="0.25">
      <c r="A29">
        <v>23</v>
      </c>
      <c r="C29" s="135">
        <f t="shared" si="6"/>
        <v>5.1290795747860329E-4</v>
      </c>
      <c r="E29" s="135">
        <f t="shared" si="1"/>
        <v>5.3499999999999999E-2</v>
      </c>
      <c r="G29" s="25"/>
      <c r="H29" s="131">
        <f t="shared" si="7"/>
        <v>477.81267562597202</v>
      </c>
      <c r="I29" s="131">
        <f t="shared" si="8"/>
        <v>0.39870972036235464</v>
      </c>
      <c r="J29" s="131">
        <f t="shared" si="2"/>
        <v>3.5403300145031875</v>
      </c>
      <c r="K29" s="131">
        <f t="shared" si="3"/>
        <v>518.24828463916219</v>
      </c>
      <c r="L29" s="131">
        <f t="shared" si="0"/>
        <v>999.99999999999977</v>
      </c>
      <c r="M29" s="132">
        <f t="shared" si="4"/>
        <v>552.5936112601272</v>
      </c>
      <c r="N29" s="133">
        <f t="shared" si="5"/>
        <v>481.75171536083758</v>
      </c>
      <c r="O29" s="134">
        <f>(uSuccessP*H29+uRevision*'NP2'!I29+uSuccessR*'NP2'!J29)/(1+oDR)^cycle</f>
        <v>290.34526253894967</v>
      </c>
      <c r="P29" s="29"/>
      <c r="Q29" s="29"/>
    </row>
    <row r="30" spans="1:17" x14ac:dyDescent="0.25">
      <c r="A30">
        <v>24</v>
      </c>
      <c r="C30" s="135">
        <f t="shared" si="6"/>
        <v>5.2312541265620016E-4</v>
      </c>
      <c r="E30" s="135">
        <f t="shared" si="1"/>
        <v>5.3499999999999999E-2</v>
      </c>
      <c r="G30" s="25"/>
      <c r="H30" s="131">
        <f t="shared" si="7"/>
        <v>451.99974152687332</v>
      </c>
      <c r="I30" s="131">
        <f t="shared" si="8"/>
        <v>0.39156915368932721</v>
      </c>
      <c r="J30" s="131">
        <f t="shared" si="2"/>
        <v>3.5787137140628613</v>
      </c>
      <c r="K30" s="131">
        <f t="shared" si="3"/>
        <v>544.02997560537426</v>
      </c>
      <c r="L30" s="131">
        <f t="shared" si="0"/>
        <v>999.99999999999977</v>
      </c>
      <c r="M30" s="132">
        <f t="shared" si="4"/>
        <v>511.97840501134777</v>
      </c>
      <c r="N30" s="133">
        <f t="shared" si="5"/>
        <v>455.97002439462551</v>
      </c>
      <c r="O30" s="134">
        <f>(uSuccessP*H30+uRevision*'NP2'!I30+uSuccessR*'NP2'!J30)/(1+oDR)^cycle</f>
        <v>270.72439669234609</v>
      </c>
      <c r="P30" s="29"/>
      <c r="Q30" s="29"/>
    </row>
    <row r="31" spans="1:17" x14ac:dyDescent="0.25">
      <c r="A31">
        <v>25</v>
      </c>
      <c r="C31" s="135">
        <f t="shared" si="6"/>
        <v>5.3310783035476206E-4</v>
      </c>
      <c r="E31" s="135">
        <f t="shared" si="1"/>
        <v>0.15480000000000002</v>
      </c>
      <c r="G31" s="25"/>
      <c r="H31" s="131">
        <f t="shared" si="7"/>
        <v>381.78921693698703</v>
      </c>
      <c r="I31" s="131">
        <f t="shared" si="8"/>
        <v>0.38411315008881919</v>
      </c>
      <c r="J31" s="131">
        <f t="shared" si="2"/>
        <v>3.2047031481878485</v>
      </c>
      <c r="K31" s="131">
        <f t="shared" si="3"/>
        <v>614.62196676473604</v>
      </c>
      <c r="L31" s="131">
        <f t="shared" si="0"/>
        <v>999.99999999999977</v>
      </c>
      <c r="M31" s="132">
        <f t="shared" si="4"/>
        <v>473.8015539973544</v>
      </c>
      <c r="N31" s="133">
        <f t="shared" si="5"/>
        <v>385.37803323526367</v>
      </c>
      <c r="O31" s="134">
        <f>(uSuccessP*H31+uRevision*'NP2'!I31+uSuccessR*'NP2'!J31)/(1+oDR)^cycle</f>
        <v>225.39759666115833</v>
      </c>
      <c r="P31" s="29"/>
      <c r="Q31" s="29"/>
    </row>
    <row r="32" spans="1:17" x14ac:dyDescent="0.25">
      <c r="A32">
        <v>26</v>
      </c>
      <c r="C32" s="135">
        <f t="shared" si="6"/>
        <v>5.428698946897681E-4</v>
      </c>
      <c r="E32" s="135">
        <f t="shared" si="1"/>
        <v>0.15480000000000002</v>
      </c>
      <c r="G32" s="25"/>
      <c r="H32" s="131">
        <f t="shared" si="7"/>
        <v>322.48098428314916</v>
      </c>
      <c r="I32" s="131">
        <f t="shared" si="8"/>
        <v>0.33544999791978514</v>
      </c>
      <c r="J32" s="131">
        <f t="shared" si="2"/>
        <v>2.897397146374149</v>
      </c>
      <c r="K32" s="131">
        <f t="shared" si="3"/>
        <v>674.28616857255668</v>
      </c>
      <c r="L32" s="131">
        <f t="shared" si="0"/>
        <v>999.99999999999977</v>
      </c>
      <c r="M32" s="132">
        <f t="shared" si="4"/>
        <v>390.35453894704574</v>
      </c>
      <c r="N32" s="133">
        <f t="shared" si="5"/>
        <v>325.7138314274431</v>
      </c>
      <c r="O32" s="134">
        <f>(uSuccessP*H32+uRevision*'NP2'!I32+uSuccessR*'NP2'!J32)/(1+oDR)^cycle</f>
        <v>187.66940325999954</v>
      </c>
      <c r="P32" s="29"/>
      <c r="Q32" s="29"/>
    </row>
    <row r="33" spans="1:17" x14ac:dyDescent="0.25">
      <c r="A33">
        <v>27</v>
      </c>
      <c r="C33" s="135">
        <f t="shared" si="6"/>
        <v>5.5242483733664027E-4</v>
      </c>
      <c r="E33" s="135">
        <f t="shared" si="1"/>
        <v>0.15480000000000002</v>
      </c>
      <c r="G33" s="25"/>
      <c r="H33" s="131">
        <f t="shared" si="7"/>
        <v>272.38278141083089</v>
      </c>
      <c r="I33" s="131">
        <f t="shared" si="8"/>
        <v>0.2940423911417443</v>
      </c>
      <c r="J33" s="131">
        <f t="shared" si="2"/>
        <v>2.6097975205438715</v>
      </c>
      <c r="K33" s="131">
        <f t="shared" si="3"/>
        <v>724.71337867748332</v>
      </c>
      <c r="L33" s="131">
        <f t="shared" si="0"/>
        <v>999.99999999999977</v>
      </c>
      <c r="M33" s="132">
        <f t="shared" si="4"/>
        <v>322.80148248286218</v>
      </c>
      <c r="N33" s="133">
        <f t="shared" si="5"/>
        <v>275.28662132251651</v>
      </c>
      <c r="O33" s="134">
        <f>(uSuccessP*H33+uRevision*'NP2'!I33+uSuccessR*'NP2'!J33)/(1+oDR)^cycle</f>
        <v>156.25561769574892</v>
      </c>
      <c r="P33" s="29"/>
      <c r="Q33" s="29"/>
    </row>
    <row r="34" spans="1:17" x14ac:dyDescent="0.25">
      <c r="A34">
        <v>28</v>
      </c>
      <c r="C34" s="135">
        <f t="shared" si="6"/>
        <v>5.6178463018696778E-4</v>
      </c>
      <c r="E34" s="135">
        <f t="shared" si="1"/>
        <v>0.15480000000000002</v>
      </c>
      <c r="G34" s="25"/>
      <c r="H34" s="131">
        <f t="shared" si="7"/>
        <v>230.06490638831008</v>
      </c>
      <c r="I34" s="131">
        <f t="shared" si="8"/>
        <v>0.25741236094593617</v>
      </c>
      <c r="J34" s="131">
        <f t="shared" si="2"/>
        <v>2.3440527447120925</v>
      </c>
      <c r="K34" s="131">
        <f t="shared" si="3"/>
        <v>767.33362850603169</v>
      </c>
      <c r="L34" s="131">
        <f t="shared" si="0"/>
        <v>999.99999999999977</v>
      </c>
      <c r="M34" s="132">
        <f t="shared" si="4"/>
        <v>266.59322442602752</v>
      </c>
      <c r="N34" s="133">
        <f t="shared" si="5"/>
        <v>232.66637149396811</v>
      </c>
      <c r="O34" s="134">
        <f>(uSuccessP*H34+uRevision*'NP2'!I34+uSuccessR*'NP2'!J34)/(1+oDR)^cycle</f>
        <v>130.09988667856737</v>
      </c>
      <c r="P34" s="29"/>
      <c r="Q34" s="29"/>
    </row>
    <row r="35" spans="1:17" x14ac:dyDescent="0.25">
      <c r="A35">
        <v>29</v>
      </c>
      <c r="C35" s="135">
        <f t="shared" si="6"/>
        <v>5.7096014641855319E-4</v>
      </c>
      <c r="E35" s="135">
        <f t="shared" si="1"/>
        <v>0.15480000000000002</v>
      </c>
      <c r="G35" s="25"/>
      <c r="H35" s="131">
        <f t="shared" si="7"/>
        <v>194.31950098676242</v>
      </c>
      <c r="I35" s="131">
        <f t="shared" si="8"/>
        <v>0.22512000242572397</v>
      </c>
      <c r="J35" s="131">
        <f t="shared" si="2"/>
        <v>2.0998479502947633</v>
      </c>
      <c r="K35" s="131">
        <f t="shared" si="3"/>
        <v>803.35553106051691</v>
      </c>
      <c r="L35" s="131">
        <f t="shared" si="0"/>
        <v>999.99999999999977</v>
      </c>
      <c r="M35" s="132">
        <f t="shared" si="4"/>
        <v>219.95200695529448</v>
      </c>
      <c r="N35" s="133">
        <f t="shared" si="5"/>
        <v>196.64446893948292</v>
      </c>
      <c r="O35" s="134">
        <f>(uSuccessP*H35+uRevision*'NP2'!I35+uSuccessR*'NP2'!J35)/(1+oDR)^cycle</f>
        <v>108.32214850499479</v>
      </c>
      <c r="P35" s="29"/>
      <c r="Q35" s="29"/>
    </row>
    <row r="36" spans="1:17" x14ac:dyDescent="0.25">
      <c r="A36">
        <v>30</v>
      </c>
      <c r="C36" s="135">
        <f t="shared" si="6"/>
        <v>5.7996129607651437E-4</v>
      </c>
      <c r="E36" s="135">
        <f t="shared" si="1"/>
        <v>0.15480000000000002</v>
      </c>
      <c r="G36" s="25"/>
      <c r="H36" s="131">
        <f t="shared" si="7"/>
        <v>164.12614444436636</v>
      </c>
      <c r="I36" s="131">
        <f t="shared" si="8"/>
        <v>0.19669170765701477</v>
      </c>
      <c r="J36" s="131">
        <f t="shared" si="2"/>
        <v>1.8765665955790505</v>
      </c>
      <c r="K36" s="131">
        <f t="shared" si="3"/>
        <v>833.80059725239744</v>
      </c>
      <c r="L36" s="131">
        <f t="shared" si="0"/>
        <v>999.99999999999989</v>
      </c>
      <c r="M36" s="132">
        <f t="shared" si="4"/>
        <v>181.29842442293975</v>
      </c>
      <c r="N36" s="133">
        <f t="shared" si="5"/>
        <v>166.19940274760242</v>
      </c>
      <c r="O36" s="134">
        <f>(uSuccessP*H36+uRevision*'NP2'!I36+uSuccessR*'NP2'!J36)/(1+oDR)^cycle</f>
        <v>90.189648227026566</v>
      </c>
      <c r="P36" s="29"/>
      <c r="Q36" s="29"/>
    </row>
    <row r="37" spans="1:17" x14ac:dyDescent="0.25">
      <c r="A37">
        <v>31</v>
      </c>
      <c r="C37" s="135">
        <f t="shared" si="6"/>
        <v>5.887971409221926E-4</v>
      </c>
      <c r="E37" s="135">
        <f t="shared" si="1"/>
        <v>0.15480000000000002</v>
      </c>
      <c r="G37" s="25"/>
      <c r="H37" s="131">
        <f t="shared" si="7"/>
        <v>138.62278027977902</v>
      </c>
      <c r="I37" s="131">
        <f t="shared" si="8"/>
        <v>0.17169966842258774</v>
      </c>
      <c r="J37" s="131">
        <f t="shared" si="2"/>
        <v>1.67332141991882</v>
      </c>
      <c r="K37" s="131">
        <f t="shared" si="3"/>
        <v>859.5321986318794</v>
      </c>
      <c r="L37" s="131">
        <f t="shared" si="0"/>
        <v>999.99999999999977</v>
      </c>
      <c r="M37" s="132">
        <f t="shared" si="4"/>
        <v>149.30404372196111</v>
      </c>
      <c r="N37" s="133">
        <f t="shared" si="5"/>
        <v>140.46780136812043</v>
      </c>
      <c r="O37" s="134">
        <f>(uSuccessP*H37+uRevision*'NP2'!I37+uSuccessR*'NP2'!J37)/(1+oDR)^cycle</f>
        <v>75.092265981969419</v>
      </c>
      <c r="P37" s="29"/>
      <c r="Q37" s="29"/>
    </row>
    <row r="38" spans="1:17" x14ac:dyDescent="0.25">
      <c r="A38">
        <v>32</v>
      </c>
      <c r="C38" s="135">
        <f t="shared" si="6"/>
        <v>5.9747599229331705E-4</v>
      </c>
      <c r="E38" s="135">
        <f t="shared" si="1"/>
        <v>0.15480000000000002</v>
      </c>
      <c r="G38" s="25"/>
      <c r="H38" s="131">
        <f t="shared" si="7"/>
        <v>117.0811501092671</v>
      </c>
      <c r="I38" s="131">
        <f t="shared" si="8"/>
        <v>0.14975663999887223</v>
      </c>
      <c r="J38" s="131">
        <f t="shared" si="2"/>
        <v>1.4890449737009532</v>
      </c>
      <c r="K38" s="131">
        <f t="shared" si="3"/>
        <v>881.28004827703285</v>
      </c>
      <c r="L38" s="131">
        <f t="shared" ref="L38:L66" si="9">SUM(G38:K38)</f>
        <v>999.99999999999977</v>
      </c>
      <c r="M38" s="132">
        <f t="shared" si="4"/>
        <v>122.85202967605406</v>
      </c>
      <c r="N38" s="133">
        <f t="shared" si="5"/>
        <v>118.71995172296693</v>
      </c>
      <c r="O38" s="134">
        <f>(uSuccessP*H38+uRevision*'NP2'!I38+uSuccessR*'NP2'!J38)/(1+oDR)^cycle</f>
        <v>62.521994516887098</v>
      </c>
      <c r="P38" s="29"/>
      <c r="Q38" s="29"/>
    </row>
    <row r="39" spans="1:17" x14ac:dyDescent="0.25">
      <c r="A39">
        <v>33</v>
      </c>
      <c r="C39" s="135">
        <f t="shared" si="6"/>
        <v>6.0600549494360667E-4</v>
      </c>
      <c r="E39" s="135">
        <f t="shared" ref="E39:E66" si="10">IF(male=0,VLOOKUP(cycle+age,lifetable,3,1),IF(male=1,VLOOKUP(cycle+age,lifetable,2,1),"error"))</f>
        <v>0.15480000000000002</v>
      </c>
      <c r="G39" s="25"/>
      <c r="H39" s="131">
        <f t="shared" si="7"/>
        <v>98.886036252032014</v>
      </c>
      <c r="I39" s="131">
        <f t="shared" si="8"/>
        <v>0.13051361926857125</v>
      </c>
      <c r="J39" s="131">
        <f t="shared" ref="J39:J66" si="11">I38*(1-mr-omrRTHR)+J38*(1-mr-rrr)</f>
        <v>1.3225581921510767</v>
      </c>
      <c r="K39" s="131">
        <f t="shared" ref="K39:K66" si="12">H38*mr+(I38+J38)*mr+G38*omrPTHR+I38*omrRTHR+K38</f>
        <v>899.66089193654807</v>
      </c>
      <c r="L39" s="131">
        <f t="shared" si="9"/>
        <v>999.99999999999977</v>
      </c>
      <c r="M39" s="132">
        <f t="shared" ref="M39:M66" si="13">(cPrimary*G39+cSuccess*H39+cRevision*I39+cSuccess*J39)/(1+cDR)^cycle</f>
        <v>101.00577760775738</v>
      </c>
      <c r="N39" s="133">
        <f t="shared" ref="N39:N66" si="14">(J39+I39+H39)</f>
        <v>100.33910806345166</v>
      </c>
      <c r="O39" s="134">
        <f>(uSuccessP*H39+uRevision*'NP2'!I39+uSuccessR*'NP2'!J39)/(1+oDR)^cycle</f>
        <v>52.055850161427912</v>
      </c>
      <c r="P39" s="29"/>
      <c r="Q39" s="29"/>
    </row>
    <row r="40" spans="1:17" x14ac:dyDescent="0.25">
      <c r="A40">
        <v>34</v>
      </c>
      <c r="C40" s="135">
        <f t="shared" si="6"/>
        <v>6.1439269924001838E-4</v>
      </c>
      <c r="E40" s="135">
        <f t="shared" si="10"/>
        <v>0.15480000000000002</v>
      </c>
      <c r="G40" s="25"/>
      <c r="H40" s="131">
        <f t="shared" si="7"/>
        <v>83.517722981487424</v>
      </c>
      <c r="I40" s="131">
        <f t="shared" si="8"/>
        <v>0.11365718641607533</v>
      </c>
      <c r="J40" s="131">
        <f t="shared" si="11"/>
        <v>1.172623694940472</v>
      </c>
      <c r="K40" s="131">
        <f t="shared" si="12"/>
        <v>915.19599613715582</v>
      </c>
      <c r="L40" s="131">
        <f t="shared" si="9"/>
        <v>999.99999999999977</v>
      </c>
      <c r="M40" s="132">
        <f t="shared" si="13"/>
        <v>82.981526336371573</v>
      </c>
      <c r="N40" s="133">
        <f t="shared" si="14"/>
        <v>84.80400386284397</v>
      </c>
      <c r="O40" s="134">
        <f>(uSuccessP*H40+uRevision*'NP2'!I40+uSuccessR*'NP2'!J40)/(1+oDR)^cycle</f>
        <v>43.34164356428974</v>
      </c>
      <c r="P40" s="29"/>
      <c r="Q40" s="29"/>
    </row>
    <row r="41" spans="1:17" x14ac:dyDescent="0.25">
      <c r="A41">
        <v>35</v>
      </c>
      <c r="C41" s="135">
        <f t="shared" si="6"/>
        <v>6.2264412362944555E-4</v>
      </c>
      <c r="E41" s="135">
        <f t="shared" si="10"/>
        <v>0.15480000000000002</v>
      </c>
      <c r="G41" s="25"/>
      <c r="H41" s="131">
        <f t="shared" si="7"/>
        <v>70.537177644519829</v>
      </c>
      <c r="I41" s="131">
        <f t="shared" si="8"/>
        <v>9.8906767230953929E-2</v>
      </c>
      <c r="J41" s="131">
        <f t="shared" si="11"/>
        <v>1.0379865093966134</v>
      </c>
      <c r="K41" s="131">
        <f t="shared" si="12"/>
        <v>928.32592907885237</v>
      </c>
      <c r="L41" s="131">
        <f t="shared" si="9"/>
        <v>999.99999999999977</v>
      </c>
      <c r="M41" s="132">
        <f t="shared" si="13"/>
        <v>68.124708953896928</v>
      </c>
      <c r="N41" s="133">
        <f t="shared" si="14"/>
        <v>71.67407092114739</v>
      </c>
      <c r="O41" s="134">
        <f>(uSuccessP*H41+uRevision*'NP2'!I41+uSuccessR*'NP2'!J41)/(1+oDR)^cycle</f>
        <v>36.086131634609707</v>
      </c>
      <c r="P41" s="29"/>
      <c r="Q41" s="29"/>
    </row>
    <row r="42" spans="1:17" x14ac:dyDescent="0.25">
      <c r="A42">
        <v>36</v>
      </c>
      <c r="C42" s="135">
        <f t="shared" si="6"/>
        <v>6.307658089311774E-4</v>
      </c>
      <c r="E42" s="135">
        <f t="shared" si="10"/>
        <v>0.15480000000000002</v>
      </c>
      <c r="G42" s="25"/>
      <c r="H42" s="131">
        <f t="shared" si="7"/>
        <v>59.573530105231491</v>
      </c>
      <c r="I42" s="131">
        <f t="shared" si="8"/>
        <v>8.6011900292532251E-2</v>
      </c>
      <c r="J42" s="131">
        <f t="shared" si="11"/>
        <v>0.91740460168513627</v>
      </c>
      <c r="K42" s="131">
        <f t="shared" si="12"/>
        <v>939.42305339279062</v>
      </c>
      <c r="L42" s="131">
        <f t="shared" si="9"/>
        <v>999.99999999999977</v>
      </c>
      <c r="M42" s="132">
        <f t="shared" si="13"/>
        <v>55.889642318291884</v>
      </c>
      <c r="N42" s="133">
        <f t="shared" si="14"/>
        <v>60.576946607209159</v>
      </c>
      <c r="O42" s="134">
        <f>(uSuccessP*H42+uRevision*'NP2'!I42+uSuccessR*'NP2'!J42)/(1+oDR)^cycle</f>
        <v>30.045152233710191</v>
      </c>
      <c r="P42" s="29"/>
      <c r="Q42" s="29"/>
    </row>
    <row r="43" spans="1:17" x14ac:dyDescent="0.25">
      <c r="A43">
        <v>37</v>
      </c>
      <c r="C43" s="135">
        <f t="shared" si="6"/>
        <v>6.3876336572221692E-4</v>
      </c>
      <c r="E43" s="135">
        <f t="shared" si="10"/>
        <v>0.15480000000000002</v>
      </c>
      <c r="G43" s="25"/>
      <c r="H43" s="131">
        <f t="shared" si="7"/>
        <v>50.313494256343681</v>
      </c>
      <c r="I43" s="131">
        <f t="shared" si="8"/>
        <v>7.4749572665376934E-2</v>
      </c>
      <c r="J43" s="131">
        <f t="shared" si="11"/>
        <v>0.80967120539826931</v>
      </c>
      <c r="K43" s="131">
        <f t="shared" si="12"/>
        <v>948.80208496559248</v>
      </c>
      <c r="L43" s="131">
        <f t="shared" si="9"/>
        <v>999.99999999999977</v>
      </c>
      <c r="M43" s="132">
        <f t="shared" si="13"/>
        <v>45.82216832682186</v>
      </c>
      <c r="N43" s="133">
        <f t="shared" si="14"/>
        <v>51.19791503440733</v>
      </c>
      <c r="O43" s="134">
        <f>(uSuccessP*H43+uRevision*'NP2'!I43+uSuccessR*'NP2'!J43)/(1+oDR)^cycle</f>
        <v>25.015409830886071</v>
      </c>
      <c r="P43" s="29"/>
      <c r="Q43" s="29"/>
    </row>
    <row r="44" spans="1:17" x14ac:dyDescent="0.25">
      <c r="A44">
        <v>38</v>
      </c>
      <c r="C44" s="135">
        <f t="shared" si="6"/>
        <v>6.4664201585928893E-4</v>
      </c>
      <c r="E44" s="135">
        <f t="shared" si="10"/>
        <v>0.15480000000000002</v>
      </c>
      <c r="G44" s="25"/>
      <c r="H44" s="131">
        <f t="shared" si="7"/>
        <v>42.49243052611083</v>
      </c>
      <c r="I44" s="131">
        <f t="shared" si="8"/>
        <v>6.4921667566777613E-2</v>
      </c>
      <c r="J44" s="131">
        <f t="shared" si="11"/>
        <v>0.71363060195015537</v>
      </c>
      <c r="K44" s="131">
        <f t="shared" si="12"/>
        <v>956.7290172043721</v>
      </c>
      <c r="L44" s="131">
        <f t="shared" si="9"/>
        <v>999.99999999999989</v>
      </c>
      <c r="M44" s="132">
        <f t="shared" si="13"/>
        <v>37.54488024463604</v>
      </c>
      <c r="N44" s="133">
        <f t="shared" si="14"/>
        <v>43.270982795627766</v>
      </c>
      <c r="O44" s="134">
        <f>(uSuccessP*H44+uRevision*'NP2'!I44+uSuccessR*'NP2'!J44)/(1+oDR)^cycle</f>
        <v>20.827635852566793</v>
      </c>
      <c r="P44" s="29"/>
      <c r="Q44" s="29"/>
    </row>
    <row r="45" spans="1:17" x14ac:dyDescent="0.25">
      <c r="A45">
        <v>39</v>
      </c>
      <c r="C45" s="135">
        <f t="shared" si="6"/>
        <v>6.5440662899929336E-4</v>
      </c>
      <c r="E45" s="135">
        <f t="shared" si="10"/>
        <v>0.15480000000000002</v>
      </c>
      <c r="G45" s="25"/>
      <c r="H45" s="131">
        <f t="shared" si="7"/>
        <v>35.886794952450295</v>
      </c>
      <c r="I45" s="131">
        <f t="shared" si="8"/>
        <v>5.6352552296585076E-2</v>
      </c>
      <c r="J45" s="131">
        <f t="shared" si="11"/>
        <v>0.62818872076637</v>
      </c>
      <c r="K45" s="131">
        <f t="shared" si="12"/>
        <v>963.42866377448661</v>
      </c>
      <c r="L45" s="131">
        <f t="shared" si="9"/>
        <v>999.99999999999989</v>
      </c>
      <c r="M45" s="132">
        <f t="shared" si="13"/>
        <v>30.744595418875623</v>
      </c>
      <c r="N45" s="133">
        <f t="shared" si="14"/>
        <v>36.571336225513249</v>
      </c>
      <c r="O45" s="134">
        <f>(uSuccessP*H45+uRevision*'NP2'!I45+uSuccessR*'NP2'!J45)/(1+oDR)^cycle</f>
        <v>17.340893681539839</v>
      </c>
      <c r="P45" s="29"/>
      <c r="Q45" s="29"/>
    </row>
    <row r="46" spans="1:17" x14ac:dyDescent="0.25">
      <c r="A46">
        <v>40</v>
      </c>
      <c r="C46" s="135">
        <f t="shared" si="6"/>
        <v>6.6206175483340957E-4</v>
      </c>
      <c r="E46" s="135">
        <f t="shared" si="10"/>
        <v>0.15480000000000002</v>
      </c>
      <c r="G46" s="25"/>
      <c r="H46" s="131">
        <f t="shared" si="7"/>
        <v>30.307759819369423</v>
      </c>
      <c r="I46" s="131">
        <f t="shared" si="8"/>
        <v>4.8886823272220783E-2</v>
      </c>
      <c r="J46" s="131">
        <f t="shared" si="11"/>
        <v>0.55231968411622312</v>
      </c>
      <c r="K46" s="131">
        <f t="shared" si="12"/>
        <v>969.09103367324201</v>
      </c>
      <c r="L46" s="131">
        <f t="shared" si="9"/>
        <v>999.99999999999989</v>
      </c>
      <c r="M46" s="132">
        <f t="shared" si="13"/>
        <v>25.161767412363396</v>
      </c>
      <c r="N46" s="133">
        <f t="shared" si="14"/>
        <v>30.908966326757866</v>
      </c>
      <c r="O46" s="134">
        <f>(uSuccessP*H46+uRevision*'NP2'!I46+uSuccessR*'NP2'!J46)/(1+oDR)^cycle</f>
        <v>14.437836755885209</v>
      </c>
      <c r="P46" s="29"/>
      <c r="Q46" s="29"/>
    </row>
    <row r="47" spans="1:17" x14ac:dyDescent="0.25">
      <c r="A47">
        <v>41</v>
      </c>
      <c r="C47" s="135">
        <f t="shared" si="6"/>
        <v>6.6961165163459402E-4</v>
      </c>
      <c r="E47" s="135">
        <f t="shared" si="10"/>
        <v>0.15480000000000002</v>
      </c>
      <c r="G47" s="25"/>
      <c r="H47" s="131">
        <f t="shared" si="7"/>
        <v>25.595824170221043</v>
      </c>
      <c r="I47" s="131">
        <f t="shared" si="8"/>
        <v>4.238721647464147E-2</v>
      </c>
      <c r="J47" s="131">
        <f t="shared" si="11"/>
        <v>0.4850692162146194</v>
      </c>
      <c r="K47" s="131">
        <f t="shared" si="12"/>
        <v>973.87671939708957</v>
      </c>
      <c r="L47" s="131">
        <f t="shared" si="9"/>
        <v>999.99999999999989</v>
      </c>
      <c r="M47" s="132">
        <f t="shared" si="13"/>
        <v>20.581563292599657</v>
      </c>
      <c r="N47" s="133">
        <f t="shared" si="14"/>
        <v>26.123280602910302</v>
      </c>
      <c r="O47" s="134">
        <f>(uSuccessP*H47+uRevision*'NP2'!I47+uSuccessR*'NP2'!J47)/(1+oDR)^cycle</f>
        <v>12.020760269769376</v>
      </c>
      <c r="P47" s="29"/>
      <c r="Q47" s="29"/>
    </row>
    <row r="48" spans="1:17" x14ac:dyDescent="0.25">
      <c r="A48">
        <v>42</v>
      </c>
      <c r="C48" s="135">
        <f t="shared" si="6"/>
        <v>6.7706031161907099E-4</v>
      </c>
      <c r="E48" s="135">
        <f t="shared" si="10"/>
        <v>0.15480000000000002</v>
      </c>
      <c r="G48" s="25"/>
      <c r="H48" s="131">
        <f t="shared" si="7"/>
        <v>21.616260671981987</v>
      </c>
      <c r="I48" s="131">
        <f t="shared" si="8"/>
        <v>3.6732685337421585E-2</v>
      </c>
      <c r="J48" s="131">
        <f t="shared" si="11"/>
        <v>0.42555566393088562</v>
      </c>
      <c r="K48" s="131">
        <f t="shared" si="12"/>
        <v>977.92145097874959</v>
      </c>
      <c r="L48" s="131">
        <f t="shared" si="9"/>
        <v>999.99999999999989</v>
      </c>
      <c r="M48" s="132">
        <f t="shared" si="13"/>
        <v>16.826363795889613</v>
      </c>
      <c r="N48" s="133">
        <f t="shared" si="14"/>
        <v>22.078549021250293</v>
      </c>
      <c r="O48" s="134">
        <f>(uSuccessP*H48+uRevision*'NP2'!I48+uSuccessR*'NP2'!J48)/(1+oDR)^cycle</f>
        <v>10.008313667768318</v>
      </c>
      <c r="P48" s="29"/>
      <c r="Q48" s="29"/>
    </row>
    <row r="49" spans="1:17" x14ac:dyDescent="0.25">
      <c r="A49">
        <v>43</v>
      </c>
      <c r="C49" s="135">
        <f t="shared" si="6"/>
        <v>6.8441148354603243E-4</v>
      </c>
      <c r="E49" s="135">
        <f t="shared" si="10"/>
        <v>0.15480000000000002</v>
      </c>
      <c r="G49" s="25"/>
      <c r="H49" s="131">
        <f t="shared" si="7"/>
        <v>18.255269102923947</v>
      </c>
      <c r="I49" s="131">
        <f t="shared" si="8"/>
        <v>3.1816643592464375E-2</v>
      </c>
      <c r="J49" s="131">
        <f t="shared" si="11"/>
        <v>0.37296923253758935</v>
      </c>
      <c r="K49" s="131">
        <f t="shared" si="12"/>
        <v>981.33994502094583</v>
      </c>
      <c r="L49" s="131">
        <f t="shared" si="9"/>
        <v>999.99999999999989</v>
      </c>
      <c r="M49" s="132">
        <f t="shared" si="13"/>
        <v>13.74947430136347</v>
      </c>
      <c r="N49" s="133">
        <f t="shared" si="14"/>
        <v>18.660054979053999</v>
      </c>
      <c r="O49" s="134">
        <f>(uSuccessP*H49+uRevision*'NP2'!I49+uSuccessR*'NP2'!J49)/(1+oDR)^cycle</f>
        <v>8.3327633481767496</v>
      </c>
      <c r="P49" s="29"/>
      <c r="Q49" s="29"/>
    </row>
    <row r="50" spans="1:17" x14ac:dyDescent="0.25">
      <c r="A50">
        <v>44</v>
      </c>
      <c r="C50" s="135">
        <f t="shared" si="6"/>
        <v>6.9166869291337196E-4</v>
      </c>
      <c r="E50" s="135">
        <f t="shared" si="10"/>
        <v>0.15480000000000002</v>
      </c>
      <c r="G50" s="25"/>
      <c r="H50" s="131">
        <f t="shared" si="7"/>
        <v>15.416726847672118</v>
      </c>
      <c r="I50" s="131">
        <f t="shared" si="8"/>
        <v>2.7545367420704847E-2</v>
      </c>
      <c r="J50" s="131">
        <f t="shared" si="11"/>
        <v>0.32656992033176852</v>
      </c>
      <c r="K50" s="131">
        <f t="shared" si="12"/>
        <v>984.2291578645752</v>
      </c>
      <c r="L50" s="131">
        <f t="shared" si="9"/>
        <v>999.99999999999977</v>
      </c>
      <c r="M50" s="132">
        <f t="shared" si="13"/>
        <v>11.229862403705971</v>
      </c>
      <c r="N50" s="133">
        <f t="shared" si="14"/>
        <v>15.770842135424591</v>
      </c>
      <c r="O50" s="134">
        <f>(uSuccessP*H50+uRevision*'NP2'!I50+uSuccessR*'NP2'!J50)/(1+oDR)^cycle</f>
        <v>6.9377134959612974</v>
      </c>
      <c r="P50" s="29"/>
      <c r="Q50" s="29"/>
    </row>
    <row r="51" spans="1:17" x14ac:dyDescent="0.25">
      <c r="A51">
        <v>45</v>
      </c>
      <c r="C51" s="135">
        <f t="shared" si="6"/>
        <v>6.9883526005476426E-4</v>
      </c>
      <c r="E51" s="135">
        <f t="shared" si="10"/>
        <v>0.15480000000000002</v>
      </c>
      <c r="G51" s="25"/>
      <c r="H51" s="131">
        <f t="shared" si="7"/>
        <v>13.019443779336687</v>
      </c>
      <c r="I51" s="131">
        <f t="shared" si="8"/>
        <v>2.3836549129056951E-2</v>
      </c>
      <c r="J51" s="131">
        <f t="shared" si="11"/>
        <v>0.2856845370467056</v>
      </c>
      <c r="K51" s="131">
        <f t="shared" si="12"/>
        <v>986.6710351344874</v>
      </c>
      <c r="L51" s="131">
        <f t="shared" si="9"/>
        <v>999.99999999999989</v>
      </c>
      <c r="M51" s="132">
        <f t="shared" si="13"/>
        <v>9.1677630897965265</v>
      </c>
      <c r="N51" s="133">
        <f t="shared" si="14"/>
        <v>13.328964865512448</v>
      </c>
      <c r="O51" s="134">
        <f>(uSuccessP*H51+uRevision*'NP2'!I51+uSuccessR*'NP2'!J51)/(1+oDR)^cycle</f>
        <v>5.7762083747881743</v>
      </c>
      <c r="P51" s="29"/>
      <c r="Q51" s="29"/>
    </row>
    <row r="52" spans="1:17" x14ac:dyDescent="0.25">
      <c r="A52">
        <v>46</v>
      </c>
      <c r="C52" s="135">
        <f t="shared" si="6"/>
        <v>7.0591431639832614E-4</v>
      </c>
      <c r="E52" s="135">
        <f t="shared" si="10"/>
        <v>0.15480000000000002</v>
      </c>
      <c r="G52" s="25"/>
      <c r="H52" s="131">
        <f t="shared" si="7"/>
        <v>10.99484327053999</v>
      </c>
      <c r="I52" s="131">
        <f t="shared" si="8"/>
        <v>2.0617993237245121E-2</v>
      </c>
      <c r="J52" s="131">
        <f t="shared" si="11"/>
        <v>0.24970310957130512</v>
      </c>
      <c r="K52" s="131">
        <f t="shared" si="12"/>
        <v>988.73483562665126</v>
      </c>
      <c r="L52" s="131">
        <f t="shared" si="9"/>
        <v>999.99999999999977</v>
      </c>
      <c r="M52" s="132">
        <f t="shared" si="13"/>
        <v>7.4810150359530123</v>
      </c>
      <c r="N52" s="133">
        <f t="shared" si="14"/>
        <v>11.26516437334854</v>
      </c>
      <c r="O52" s="134">
        <f>(uSuccessP*H52+uRevision*'NP2'!I52+uSuccessR*'NP2'!J52)/(1+oDR)^cycle</f>
        <v>4.8091522379744376</v>
      </c>
      <c r="P52" s="29"/>
      <c r="Q52" s="29"/>
    </row>
    <row r="53" spans="1:17" x14ac:dyDescent="0.25">
      <c r="A53">
        <v>47</v>
      </c>
      <c r="C53" s="135">
        <f t="shared" si="6"/>
        <v>7.1290881910868187E-4</v>
      </c>
      <c r="E53" s="135">
        <f t="shared" si="10"/>
        <v>0.15480000000000002</v>
      </c>
      <c r="G53" s="25"/>
      <c r="H53" s="131">
        <f t="shared" si="7"/>
        <v>9.2850032115281138</v>
      </c>
      <c r="I53" s="131">
        <f t="shared" si="8"/>
        <v>1.7826445115137909E-2</v>
      </c>
      <c r="J53" s="131">
        <f t="shared" si="11"/>
        <v>0.21807491184618955</v>
      </c>
      <c r="K53" s="131">
        <f t="shared" si="12"/>
        <v>990.47909543151036</v>
      </c>
      <c r="L53" s="131">
        <f t="shared" si="9"/>
        <v>999.99999999999977</v>
      </c>
      <c r="M53" s="132">
        <f t="shared" si="13"/>
        <v>6.1020114173148636</v>
      </c>
      <c r="N53" s="133">
        <f t="shared" si="14"/>
        <v>9.520904568489442</v>
      </c>
      <c r="O53" s="134">
        <f>(uSuccessP*H53+uRevision*'NP2'!I53+uSuccessR*'NP2'!J53)/(1+oDR)^cycle</f>
        <v>4.0039937016787146</v>
      </c>
      <c r="P53" s="29"/>
      <c r="Q53" s="29"/>
    </row>
    <row r="54" spans="1:17" x14ac:dyDescent="0.25">
      <c r="A54">
        <v>48</v>
      </c>
      <c r="C54" s="135">
        <f t="shared" si="6"/>
        <v>7.1982156430561162E-4</v>
      </c>
      <c r="E54" s="135">
        <f t="shared" si="10"/>
        <v>0.15480000000000002</v>
      </c>
      <c r="G54" s="25"/>
      <c r="H54" s="131">
        <f t="shared" si="7"/>
        <v>7.8410011688472565</v>
      </c>
      <c r="I54" s="131">
        <f t="shared" si="8"/>
        <v>1.5406542010152376E-2</v>
      </c>
      <c r="J54" s="131">
        <f t="shared" si="11"/>
        <v>0.19030430152756361</v>
      </c>
      <c r="K54" s="131">
        <f t="shared" si="12"/>
        <v>991.95328798761477</v>
      </c>
      <c r="L54" s="131">
        <f t="shared" si="9"/>
        <v>999.99999999999977</v>
      </c>
      <c r="M54" s="132">
        <f t="shared" si="13"/>
        <v>4.9751660101253368</v>
      </c>
      <c r="N54" s="133">
        <f t="shared" si="14"/>
        <v>8.0467120123849725</v>
      </c>
      <c r="O54" s="134">
        <f>(uSuccessP*H54+uRevision*'NP2'!I54+uSuccessR*'NP2'!J54)/(1+oDR)^cycle</f>
        <v>3.3336303193899699</v>
      </c>
      <c r="P54" s="29"/>
      <c r="Q54" s="29"/>
    </row>
    <row r="55" spans="1:17" x14ac:dyDescent="0.25">
      <c r="A55">
        <v>49</v>
      </c>
      <c r="C55" s="135">
        <f t="shared" si="6"/>
        <v>7.2665519902426201E-4</v>
      </c>
      <c r="E55" s="135">
        <f t="shared" si="10"/>
        <v>0.15480000000000002</v>
      </c>
      <c r="G55" s="25"/>
      <c r="H55" s="131">
        <f t="shared" si="7"/>
        <v>6.6215164836448031</v>
      </c>
      <c r="I55" s="131">
        <f t="shared" si="8"/>
        <v>1.3309876326000718E-2</v>
      </c>
      <c r="J55" s="131">
        <f t="shared" si="11"/>
        <v>0.16594650205677194</v>
      </c>
      <c r="K55" s="131">
        <f t="shared" si="12"/>
        <v>993.19922713797212</v>
      </c>
      <c r="L55" s="131">
        <f t="shared" si="9"/>
        <v>999.99999999999966</v>
      </c>
      <c r="M55" s="132">
        <f t="shared" si="13"/>
        <v>4.0548104685227004</v>
      </c>
      <c r="N55" s="133">
        <f t="shared" si="14"/>
        <v>6.8007728620275758</v>
      </c>
      <c r="O55" s="134">
        <f>(uSuccessP*H55+uRevision*'NP2'!I55+uSuccessR*'NP2'!J55)/(1+oDR)^cycle</f>
        <v>2.7754965039183155</v>
      </c>
      <c r="P55" s="29"/>
      <c r="Q55" s="29"/>
    </row>
    <row r="56" spans="1:17" x14ac:dyDescent="0.25">
      <c r="A56">
        <v>50</v>
      </c>
      <c r="C56" s="135">
        <f t="shared" si="6"/>
        <v>7.3341223205936057E-4</v>
      </c>
      <c r="E56" s="135">
        <f t="shared" si="10"/>
        <v>0.15480000000000002</v>
      </c>
      <c r="G56" s="25"/>
      <c r="H56" s="131">
        <f t="shared" si="7"/>
        <v>5.5916494307926996</v>
      </c>
      <c r="I56" s="131">
        <f t="shared" si="8"/>
        <v>1.1494161266158662E-2</v>
      </c>
      <c r="J56" s="131">
        <f t="shared" si="11"/>
        <v>0.14460343340032855</v>
      </c>
      <c r="K56" s="131">
        <f t="shared" si="12"/>
        <v>994.25225297454051</v>
      </c>
      <c r="L56" s="131">
        <f t="shared" si="9"/>
        <v>999.99999999999966</v>
      </c>
      <c r="M56" s="132">
        <f t="shared" si="13"/>
        <v>3.3034516885484702</v>
      </c>
      <c r="N56" s="133">
        <f t="shared" si="14"/>
        <v>5.7477470254591871</v>
      </c>
      <c r="O56" s="134">
        <f>(uSuccessP*H56+uRevision*'NP2'!I56+uSuccessR*'NP2'!J56)/(1+oDR)^cycle</f>
        <v>2.3108041107209716</v>
      </c>
      <c r="P56" s="29"/>
      <c r="Q56" s="29"/>
    </row>
    <row r="57" spans="1:17" x14ac:dyDescent="0.25">
      <c r="A57">
        <v>51</v>
      </c>
      <c r="C57" s="135">
        <f t="shared" si="6"/>
        <v>7.4009504381888913E-4</v>
      </c>
      <c r="E57" s="135">
        <f t="shared" si="10"/>
        <v>0.15480000000000002</v>
      </c>
      <c r="G57" s="25"/>
      <c r="H57" s="131">
        <f t="shared" si="7"/>
        <v>4.7219237468754871</v>
      </c>
      <c r="I57" s="131">
        <f t="shared" si="8"/>
        <v>9.9224893665155311E-3</v>
      </c>
      <c r="J57" s="131">
        <f t="shared" si="11"/>
        <v>0.12591966645077868</v>
      </c>
      <c r="K57" s="131">
        <f t="shared" si="12"/>
        <v>995.14223409730687</v>
      </c>
      <c r="L57" s="131">
        <f t="shared" si="9"/>
        <v>999.99999999999966</v>
      </c>
      <c r="M57" s="132">
        <f t="shared" si="13"/>
        <v>2.6903293565629194</v>
      </c>
      <c r="N57" s="133">
        <f t="shared" si="14"/>
        <v>4.8577659026927815</v>
      </c>
      <c r="O57" s="134">
        <f>(uSuccessP*H57+uRevision*'NP2'!I57+uSuccessR*'NP2'!J57)/(1+oDR)^cycle</f>
        <v>1.9239101319155105</v>
      </c>
      <c r="P57" s="29"/>
      <c r="Q57" s="29"/>
    </row>
    <row r="58" spans="1:17" x14ac:dyDescent="0.25">
      <c r="A58">
        <v>52</v>
      </c>
      <c r="C58" s="135">
        <f t="shared" si="6"/>
        <v>7.467058952946859E-4</v>
      </c>
      <c r="E58" s="135">
        <f t="shared" si="10"/>
        <v>0.15480000000000002</v>
      </c>
      <c r="G58" s="25"/>
      <c r="H58" s="131">
        <f t="shared" si="7"/>
        <v>3.9874440625602374</v>
      </c>
      <c r="I58" s="131">
        <f t="shared" si="8"/>
        <v>8.5626749569550457E-3</v>
      </c>
      <c r="J58" s="131">
        <f t="shared" si="11"/>
        <v>0.1095785536514156</v>
      </c>
      <c r="K58" s="131">
        <f t="shared" si="12"/>
        <v>995.89441470883105</v>
      </c>
      <c r="L58" s="131">
        <f t="shared" si="9"/>
        <v>999.99999999999966</v>
      </c>
      <c r="M58" s="132">
        <f t="shared" si="13"/>
        <v>2.1902233340930364</v>
      </c>
      <c r="N58" s="133">
        <f t="shared" si="14"/>
        <v>4.1055852911686079</v>
      </c>
      <c r="O58" s="134">
        <f>(uSuccessP*H58+uRevision*'NP2'!I58+uSuccessR*'NP2'!J58)/(1+oDR)^cycle</f>
        <v>1.6017902264457138</v>
      </c>
      <c r="P58" s="29"/>
      <c r="Q58" s="29"/>
    </row>
    <row r="59" spans="1:17" x14ac:dyDescent="0.25">
      <c r="A59">
        <v>53</v>
      </c>
      <c r="C59" s="135">
        <f t="shared" si="6"/>
        <v>7.5324693624545525E-4</v>
      </c>
      <c r="E59" s="135">
        <f t="shared" si="10"/>
        <v>0.15480000000000002</v>
      </c>
      <c r="G59" s="25"/>
      <c r="H59" s="131">
        <f t="shared" si="7"/>
        <v>3.3671841916523388</v>
      </c>
      <c r="I59" s="131">
        <f t="shared" si="8"/>
        <v>7.3866721696302547E-3</v>
      </c>
      <c r="J59" s="131">
        <f t="shared" si="11"/>
        <v>9.5298570774599134E-2</v>
      </c>
      <c r="K59" s="131">
        <f t="shared" si="12"/>
        <v>996.53013056540306</v>
      </c>
      <c r="L59" s="131">
        <f t="shared" si="9"/>
        <v>999.99999999999966</v>
      </c>
      <c r="M59" s="132">
        <f t="shared" si="13"/>
        <v>1.7824686605826348</v>
      </c>
      <c r="N59" s="133">
        <f t="shared" si="14"/>
        <v>3.4698694345965682</v>
      </c>
      <c r="O59" s="134">
        <f>(uSuccessP*H59+uRevision*'NP2'!I59+uSuccessR*'NP2'!J59)/(1+oDR)^cycle</f>
        <v>1.3336003723805396</v>
      </c>
      <c r="P59" s="29"/>
      <c r="Q59" s="29"/>
    </row>
    <row r="60" spans="1:17" x14ac:dyDescent="0.25">
      <c r="A60">
        <v>54</v>
      </c>
      <c r="C60" s="135">
        <f t="shared" si="6"/>
        <v>7.5972021267389778E-4</v>
      </c>
      <c r="E60" s="135">
        <f t="shared" si="10"/>
        <v>0.15480000000000002</v>
      </c>
      <c r="G60" s="25"/>
      <c r="H60" s="131">
        <f t="shared" si="7"/>
        <v>2.8433859608943624</v>
      </c>
      <c r="I60" s="131">
        <f t="shared" si="8"/>
        <v>6.3700607211782667E-3</v>
      </c>
      <c r="J60" s="131">
        <f t="shared" si="11"/>
        <v>8.2829891062086103E-2</v>
      </c>
      <c r="K60" s="131">
        <f t="shared" si="12"/>
        <v>997.06741408732205</v>
      </c>
      <c r="L60" s="131">
        <f t="shared" si="9"/>
        <v>999.99999999999966</v>
      </c>
      <c r="M60" s="132">
        <f t="shared" si="13"/>
        <v>1.4501428473818703</v>
      </c>
      <c r="N60" s="133">
        <f t="shared" si="14"/>
        <v>2.9325859126776268</v>
      </c>
      <c r="O60" s="134">
        <f>(uSuccessP*H60+uRevision*'NP2'!I60+uSuccessR*'NP2'!J60)/(1+oDR)^cycle</f>
        <v>1.1103118919893324</v>
      </c>
      <c r="P60" s="29"/>
      <c r="Q60" s="29"/>
    </row>
    <row r="61" spans="1:17" x14ac:dyDescent="0.25">
      <c r="A61">
        <v>55</v>
      </c>
      <c r="C61" s="135">
        <f t="shared" si="6"/>
        <v>7.661276736720124E-4</v>
      </c>
      <c r="E61" s="135">
        <f t="shared" si="10"/>
        <v>0.15480000000000002</v>
      </c>
      <c r="G61" s="25"/>
      <c r="H61" s="131">
        <f t="shared" si="7"/>
        <v>2.4010514174763431</v>
      </c>
      <c r="I61" s="131">
        <f t="shared" si="8"/>
        <v>5.4915923140551014E-3</v>
      </c>
      <c r="J61" s="131">
        <f t="shared" si="11"/>
        <v>7.1951202390308028E-2</v>
      </c>
      <c r="K61" s="131">
        <f t="shared" si="12"/>
        <v>997.52150578781902</v>
      </c>
      <c r="L61" s="131">
        <f t="shared" si="9"/>
        <v>999.99999999999977</v>
      </c>
      <c r="M61" s="132">
        <f t="shared" si="13"/>
        <v>1.1793959603970792</v>
      </c>
      <c r="N61" s="133">
        <f t="shared" si="14"/>
        <v>2.4784942121807063</v>
      </c>
      <c r="O61" s="134">
        <f>(uSuccessP*H61+uRevision*'NP2'!I61+uSuccessR*'NP2'!J61)/(1+oDR)^cycle</f>
        <v>0.92440756875592056</v>
      </c>
      <c r="P61" s="29"/>
      <c r="Q61" s="29"/>
    </row>
    <row r="62" spans="1:17" x14ac:dyDescent="0.25">
      <c r="A62">
        <v>56</v>
      </c>
      <c r="C62" s="135">
        <f t="shared" si="6"/>
        <v>7.7247117769740914E-4</v>
      </c>
      <c r="E62" s="135">
        <f t="shared" si="10"/>
        <v>0.15480000000000002</v>
      </c>
      <c r="G62" s="25"/>
      <c r="H62" s="131">
        <f t="shared" si="7"/>
        <v>2.0275139150348349</v>
      </c>
      <c r="I62" s="131">
        <f t="shared" si="8"/>
        <v>4.7327911117823057E-3</v>
      </c>
      <c r="J62" s="131">
        <f t="shared" si="11"/>
        <v>6.2466770142234285E-2</v>
      </c>
      <c r="K62" s="131">
        <f t="shared" si="12"/>
        <v>997.90528652371086</v>
      </c>
      <c r="L62" s="131">
        <f t="shared" si="9"/>
        <v>999.99999999999966</v>
      </c>
      <c r="M62" s="132">
        <f t="shared" si="13"/>
        <v>0.95889889651123772</v>
      </c>
      <c r="N62" s="133">
        <f t="shared" si="14"/>
        <v>2.0947134762888515</v>
      </c>
      <c r="O62" s="134">
        <f>(uSuccessP*H62+uRevision*'NP2'!I62+uSuccessR*'NP2'!J62)/(1+oDR)^cycle</f>
        <v>0.76962863089588374</v>
      </c>
      <c r="P62" s="29"/>
      <c r="Q62" s="29"/>
    </row>
    <row r="63" spans="1:17" x14ac:dyDescent="0.25">
      <c r="A63">
        <v>57</v>
      </c>
      <c r="C63" s="135">
        <f t="shared" si="6"/>
        <v>7.787524983381422E-4</v>
      </c>
      <c r="E63" s="135">
        <f t="shared" si="10"/>
        <v>0.15480000000000002</v>
      </c>
      <c r="G63" s="25"/>
      <c r="H63" s="131">
        <f t="shared" si="7"/>
        <v>1.7120758294606937</v>
      </c>
      <c r="I63" s="131">
        <f t="shared" si="8"/>
        <v>4.0776023324380966E-3</v>
      </c>
      <c r="J63" s="131">
        <f t="shared" si="11"/>
        <v>5.4203742543969799E-2</v>
      </c>
      <c r="K63" s="131">
        <f t="shared" si="12"/>
        <v>998.22964282566261</v>
      </c>
      <c r="L63" s="131">
        <f t="shared" si="9"/>
        <v>999.99999999999966</v>
      </c>
      <c r="M63" s="132">
        <f t="shared" si="13"/>
        <v>0.77938938376500611</v>
      </c>
      <c r="N63" s="133">
        <f t="shared" si="14"/>
        <v>1.7703571743371016</v>
      </c>
      <c r="O63" s="134">
        <f>(uSuccessP*H63+uRevision*'NP2'!I63+uSuccessR*'NP2'!J63)/(1+oDR)^cycle</f>
        <v>0.64076408735771073</v>
      </c>
      <c r="P63" s="29"/>
      <c r="Q63" s="29"/>
    </row>
    <row r="64" spans="1:17" x14ac:dyDescent="0.25">
      <c r="A64">
        <v>58</v>
      </c>
      <c r="C64" s="135">
        <f t="shared" si="6"/>
        <v>7.8497332961624533E-4</v>
      </c>
      <c r="E64" s="135">
        <f t="shared" si="10"/>
        <v>0.15480000000000002</v>
      </c>
      <c r="G64" s="25"/>
      <c r="H64" s="131">
        <f t="shared" si="7"/>
        <v>1.4457025571957709</v>
      </c>
      <c r="I64" s="131">
        <f t="shared" si="8"/>
        <v>3.5120835661660477E-3</v>
      </c>
      <c r="J64" s="131">
        <f t="shared" si="11"/>
        <v>4.7009690941132394E-2</v>
      </c>
      <c r="K64" s="131">
        <f t="shared" si="12"/>
        <v>998.50377566829661</v>
      </c>
      <c r="L64" s="131">
        <f t="shared" si="9"/>
        <v>999.99999999999966</v>
      </c>
      <c r="M64" s="132">
        <f t="shared" si="13"/>
        <v>0.63329869415591311</v>
      </c>
      <c r="N64" s="133">
        <f t="shared" si="14"/>
        <v>1.4962243317030692</v>
      </c>
      <c r="O64" s="134">
        <f>(uSuccessP*H64+uRevision*'NP2'!I64+uSuccessR*'NP2'!J64)/(1+oDR)^cycle</f>
        <v>0.53347532728445113</v>
      </c>
      <c r="P64" s="29"/>
      <c r="Q64" s="29"/>
    </row>
    <row r="65" spans="1:17" x14ac:dyDescent="0.25">
      <c r="A65">
        <v>59</v>
      </c>
      <c r="C65" s="135">
        <f t="shared" si="6"/>
        <v>7.911352908723801E-4</v>
      </c>
      <c r="E65" s="135">
        <f t="shared" si="10"/>
        <v>0.15480000000000002</v>
      </c>
      <c r="G65" s="25"/>
      <c r="H65" s="131">
        <f t="shared" si="7"/>
        <v>1.2207640550287635</v>
      </c>
      <c r="I65" s="131">
        <f t="shared" si="8"/>
        <v>3.024133950747316E-3</v>
      </c>
      <c r="J65" s="131">
        <f t="shared" si="11"/>
        <v>4.075037450460002E-2</v>
      </c>
      <c r="K65" s="131">
        <f t="shared" si="12"/>
        <v>998.73546143651561</v>
      </c>
      <c r="L65" s="131">
        <f t="shared" si="9"/>
        <v>999.99999999999977</v>
      </c>
      <c r="M65" s="132">
        <f t="shared" si="13"/>
        <v>0.51444495217394903</v>
      </c>
      <c r="N65" s="133">
        <f t="shared" si="14"/>
        <v>1.2645385634841109</v>
      </c>
      <c r="O65" s="134">
        <f>(uSuccessP*H65+uRevision*'NP2'!I65+uSuccessR*'NP2'!J65)/(1+oDR)^cycle</f>
        <v>0.44415008041974224</v>
      </c>
      <c r="P65" s="29"/>
      <c r="Q65" s="29"/>
    </row>
    <row r="66" spans="1:17" x14ac:dyDescent="0.25">
      <c r="A66">
        <v>60</v>
      </c>
      <c r="C66" s="135">
        <f t="shared" si="6"/>
        <v>7.9723993127378545E-4</v>
      </c>
      <c r="E66" s="135">
        <f t="shared" si="10"/>
        <v>0.15480000000000002</v>
      </c>
      <c r="G66" s="25"/>
      <c r="H66" s="131">
        <f t="shared" si="7"/>
        <v>1.0308165374589782</v>
      </c>
      <c r="I66" s="131">
        <f t="shared" si="8"/>
        <v>2.6032568315166398E-3</v>
      </c>
      <c r="J66" s="131">
        <f t="shared" si="11"/>
        <v>3.5307716887260615E-2</v>
      </c>
      <c r="K66" s="131">
        <f t="shared" si="12"/>
        <v>998.93127248882195</v>
      </c>
      <c r="L66" s="131">
        <f t="shared" si="9"/>
        <v>999.99999999999966</v>
      </c>
      <c r="M66" s="132">
        <f t="shared" si="13"/>
        <v>0.41778133932817629</v>
      </c>
      <c r="N66" s="133">
        <f t="shared" si="14"/>
        <v>1.0687275111777554</v>
      </c>
      <c r="O66" s="134">
        <f>(uSuccessP*H66+uRevision*'NP2'!I66+uSuccessR*'NP2'!J66)/(1+oDR)^cycle</f>
        <v>0.36978082387205047</v>
      </c>
      <c r="P66" s="29"/>
      <c r="Q66" s="29"/>
    </row>
    <row r="67" spans="1:17" x14ac:dyDescent="0.25">
      <c r="M67" s="58" t="s">
        <v>138</v>
      </c>
      <c r="N67" s="58" t="s">
        <v>139</v>
      </c>
      <c r="O67" s="58" t="s">
        <v>140</v>
      </c>
    </row>
    <row r="68" spans="1:17" x14ac:dyDescent="0.25">
      <c r="I68" s="29"/>
      <c r="M68" s="129">
        <f>SUM(M6:M66)/1000</f>
        <v>810.67258994528129</v>
      </c>
      <c r="N68" s="130">
        <f>SUM(N6:N66)/1000</f>
        <v>20.918650399266962</v>
      </c>
      <c r="O68" s="108">
        <f>SUM(O6:O66)/1000</f>
        <v>14.702135706967953</v>
      </c>
    </row>
    <row r="69" spans="1:17" x14ac:dyDescent="0.25">
      <c r="I69" s="29"/>
    </row>
  </sheetData>
  <phoneticPr fontId="0" type="noConversion"/>
  <pageMargins left="0.75" right="0.75" top="1" bottom="1" header="0.5" footer="0.5"/>
  <headerFooter alignWithMargins="0">
    <oddHeader>&amp;A</oddHeader>
    <oddFoote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L1009"/>
  <sheetViews>
    <sheetView workbookViewId="0">
      <pane ySplit="5" topLeftCell="A6" activePane="bottomLeft" state="frozen"/>
      <selection pane="bottomLeft" activeCell="A2" sqref="A2"/>
    </sheetView>
  </sheetViews>
  <sheetFormatPr defaultRowHeight="12.5" x14ac:dyDescent="0.25"/>
  <cols>
    <col min="2" max="2" width="4.7265625" style="41" customWidth="1"/>
    <col min="3" max="7" width="9.1796875" style="11" customWidth="1"/>
    <col min="8" max="9" width="9.1796875" style="40" customWidth="1"/>
    <col min="10" max="12" width="9.26953125" style="59" bestFit="1" customWidth="1"/>
    <col min="13" max="15" width="9.1796875" style="11" customWidth="1"/>
    <col min="16" max="16" width="4.7265625" style="41" customWidth="1"/>
    <col min="17" max="17" width="9.26953125" style="59" bestFit="1" customWidth="1"/>
    <col min="18" max="18" width="9.26953125" style="78" bestFit="1" customWidth="1"/>
    <col min="19" max="20" width="9.26953125" style="78" customWidth="1"/>
    <col min="21" max="21" width="9.26953125" style="59" bestFit="1" customWidth="1"/>
    <col min="22" max="22" width="9.26953125" style="78" bestFit="1" customWidth="1"/>
    <col min="23" max="23" width="4.7265625" style="41" customWidth="1"/>
    <col min="24" max="24" width="10.7265625" style="28" customWidth="1"/>
    <col min="25" max="26" width="10.7265625" style="146" customWidth="1"/>
    <col min="27" max="27" width="4.7265625" style="41" customWidth="1"/>
    <col min="31" max="31" width="3.81640625" style="89" customWidth="1"/>
    <col min="36" max="36" width="3.7265625" style="41" customWidth="1"/>
  </cols>
  <sheetData>
    <row r="1" spans="1:142" x14ac:dyDescent="0.25">
      <c r="C1" s="106" t="s">
        <v>42</v>
      </c>
      <c r="Q1" s="59" t="s">
        <v>43</v>
      </c>
      <c r="Y1" s="28" t="s">
        <v>59</v>
      </c>
      <c r="Z1">
        <v>100000</v>
      </c>
    </row>
    <row r="2" spans="1:142" ht="13" x14ac:dyDescent="0.3">
      <c r="C2" s="55" t="s">
        <v>131</v>
      </c>
      <c r="H2" s="55" t="s">
        <v>130</v>
      </c>
      <c r="J2" s="55" t="s">
        <v>154</v>
      </c>
      <c r="M2" s="55" t="s">
        <v>155</v>
      </c>
      <c r="Q2" s="59" t="s">
        <v>110</v>
      </c>
      <c r="R2" s="79"/>
      <c r="S2" s="59" t="s">
        <v>87</v>
      </c>
      <c r="T2" s="79"/>
      <c r="U2" s="59" t="s">
        <v>88</v>
      </c>
      <c r="V2" s="79"/>
      <c r="X2" s="28" t="s">
        <v>111</v>
      </c>
      <c r="AB2" t="s">
        <v>112</v>
      </c>
      <c r="AF2" t="s">
        <v>113</v>
      </c>
    </row>
    <row r="3" spans="1:142" s="22" customFormat="1" x14ac:dyDescent="0.25">
      <c r="B3" s="50"/>
      <c r="C3" s="52" t="s">
        <v>9</v>
      </c>
      <c r="D3" s="52" t="s">
        <v>10</v>
      </c>
      <c r="E3" s="53" t="s">
        <v>92</v>
      </c>
      <c r="F3" s="53" t="s">
        <v>93</v>
      </c>
      <c r="G3" s="53" t="s">
        <v>11</v>
      </c>
      <c r="H3" s="54" t="s">
        <v>127</v>
      </c>
      <c r="I3" s="54" t="s">
        <v>129</v>
      </c>
      <c r="J3" s="77" t="s">
        <v>12</v>
      </c>
      <c r="K3" s="78" t="s">
        <v>13</v>
      </c>
      <c r="L3" s="77" t="s">
        <v>14</v>
      </c>
      <c r="M3" s="53" t="s">
        <v>55</v>
      </c>
      <c r="N3" s="53" t="s">
        <v>56</v>
      </c>
      <c r="O3" s="53" t="s">
        <v>57</v>
      </c>
      <c r="P3" s="50"/>
      <c r="Q3" s="77" t="s">
        <v>22</v>
      </c>
      <c r="R3" s="78" t="s">
        <v>21</v>
      </c>
      <c r="S3" s="77" t="s">
        <v>22</v>
      </c>
      <c r="T3" s="78" t="s">
        <v>21</v>
      </c>
      <c r="U3" s="77" t="s">
        <v>22</v>
      </c>
      <c r="V3" s="78" t="s">
        <v>21</v>
      </c>
      <c r="W3" s="50"/>
      <c r="X3" s="28" t="s">
        <v>110</v>
      </c>
      <c r="Y3" s="28" t="s">
        <v>87</v>
      </c>
      <c r="Z3" s="28" t="s">
        <v>88</v>
      </c>
      <c r="AA3" s="50"/>
      <c r="AB3" s="22" t="s">
        <v>110</v>
      </c>
      <c r="AC3" s="22" t="s">
        <v>87</v>
      </c>
      <c r="AD3" s="22" t="s">
        <v>88</v>
      </c>
      <c r="AE3" s="89"/>
      <c r="AF3" s="22" t="s">
        <v>59</v>
      </c>
      <c r="AG3" s="22" t="s">
        <v>110</v>
      </c>
      <c r="AH3" s="22" t="s">
        <v>87</v>
      </c>
      <c r="AI3" s="22" t="s">
        <v>88</v>
      </c>
      <c r="AJ3" s="50"/>
    </row>
    <row r="4" spans="1:142" x14ac:dyDescent="0.25">
      <c r="C4" s="136">
        <f>omrPTHR</f>
        <v>0.02</v>
      </c>
      <c r="D4" s="136">
        <f>omrRTHR</f>
        <v>0.02</v>
      </c>
      <c r="E4" s="136">
        <f>rrNP1</f>
        <v>0.26067678779517234</v>
      </c>
      <c r="F4" s="136">
        <f>rrNP2</f>
        <v>0.1884919459617998</v>
      </c>
      <c r="G4" s="136">
        <f>rrr</f>
        <v>0.04</v>
      </c>
      <c r="H4" s="137">
        <f>lambda</f>
        <v>4.5597754184620288E-4</v>
      </c>
      <c r="I4" s="137">
        <f>gamma</f>
        <v>1.4536778596632325</v>
      </c>
      <c r="J4" s="138">
        <f>cPrimary</f>
        <v>0</v>
      </c>
      <c r="K4" s="138">
        <f>cRevision</f>
        <v>5294</v>
      </c>
      <c r="L4" s="138">
        <f>cSuccess</f>
        <v>0</v>
      </c>
      <c r="M4" s="136">
        <f>uSuccessP</f>
        <v>0.85</v>
      </c>
      <c r="N4" s="136">
        <f>uSuccessR</f>
        <v>0.75</v>
      </c>
      <c r="O4" s="136">
        <f>uRevision</f>
        <v>0.3</v>
      </c>
      <c r="Q4" s="138">
        <f>STDqalys</f>
        <v>14.653189614825321</v>
      </c>
      <c r="R4" s="139">
        <f>STDcost</f>
        <v>512.43465834364304</v>
      </c>
      <c r="S4" s="139">
        <f>NP1qalys</f>
        <v>14.697709857306155</v>
      </c>
      <c r="T4" s="139">
        <f>NP1cost</f>
        <v>610.31181775758273</v>
      </c>
      <c r="U4" s="138">
        <f>NP2qalys</f>
        <v>14.702135706967953</v>
      </c>
      <c r="V4" s="139">
        <f>NP2cost</f>
        <v>810.67258994528129</v>
      </c>
      <c r="X4" s="78"/>
      <c r="Y4" s="78"/>
      <c r="Z4" s="78"/>
      <c r="AB4" s="127">
        <f>AVERAGE(AB6:AB1005)</f>
        <v>1E-3</v>
      </c>
      <c r="AC4" s="127">
        <f>AVERAGE(AC6:AC1005)</f>
        <v>0.41899999999999998</v>
      </c>
      <c r="AD4" s="127">
        <f>AVERAGE(AD6:AD1005)</f>
        <v>0.57999999999999996</v>
      </c>
      <c r="AG4" s="22"/>
      <c r="CQ4" s="22"/>
      <c r="CR4" s="22"/>
      <c r="CS4" s="22"/>
      <c r="CT4" s="22"/>
      <c r="CU4" s="22"/>
      <c r="CV4" s="22"/>
      <c r="CW4" s="22"/>
      <c r="CX4" s="22"/>
      <c r="CY4" s="22"/>
      <c r="CZ4" s="22"/>
      <c r="DA4" s="22"/>
      <c r="DB4" s="22"/>
      <c r="DC4" s="22"/>
      <c r="DD4" s="22"/>
      <c r="DE4" s="22"/>
      <c r="DF4" s="22"/>
      <c r="DG4" s="22"/>
      <c r="DH4" s="22"/>
      <c r="DI4" s="22"/>
      <c r="DJ4" s="22"/>
      <c r="DK4" s="22"/>
      <c r="DL4" s="22"/>
      <c r="DM4" s="22"/>
      <c r="DN4" s="22"/>
      <c r="DO4" s="22"/>
      <c r="DP4" s="22"/>
      <c r="DQ4" s="22"/>
      <c r="DR4" s="22"/>
      <c r="DS4" s="22"/>
      <c r="DT4" s="22"/>
      <c r="DU4" s="22"/>
      <c r="DV4" s="22"/>
      <c r="DW4" s="22"/>
      <c r="DX4" s="22"/>
      <c r="DY4" s="22"/>
      <c r="DZ4" s="22"/>
      <c r="EA4" s="22"/>
      <c r="EB4" s="22"/>
      <c r="EC4" s="22"/>
      <c r="ED4" s="22"/>
      <c r="EE4" s="22"/>
      <c r="EF4" s="22"/>
      <c r="EG4" s="22"/>
      <c r="EH4" s="22"/>
      <c r="EI4" s="22"/>
      <c r="EJ4" s="22"/>
      <c r="EK4" s="22"/>
      <c r="EL4" s="22"/>
    </row>
    <row r="5" spans="1:142" x14ac:dyDescent="0.25">
      <c r="A5" t="s">
        <v>41</v>
      </c>
      <c r="X5"/>
      <c r="Y5"/>
      <c r="Z5"/>
    </row>
    <row r="6" spans="1:142" x14ac:dyDescent="0.25">
      <c r="A6">
        <v>1</v>
      </c>
      <c r="C6" s="11">
        <v>1.040785014629364E-2</v>
      </c>
      <c r="D6" s="11">
        <v>1.0189175605773926E-2</v>
      </c>
      <c r="E6" s="11">
        <v>0.16057126258107246</v>
      </c>
      <c r="F6" s="11">
        <v>0.11827915998372948</v>
      </c>
      <c r="G6" s="11">
        <v>9.9199295043945313E-2</v>
      </c>
      <c r="H6" s="40">
        <v>4.5567429630361304E-4</v>
      </c>
      <c r="I6" s="40">
        <v>1.4123337748029261</v>
      </c>
      <c r="J6" s="59">
        <v>0</v>
      </c>
      <c r="K6" s="59">
        <v>5546.4636534452438</v>
      </c>
      <c r="L6" s="59">
        <v>0</v>
      </c>
      <c r="M6" s="11">
        <v>0.91541957855224609</v>
      </c>
      <c r="N6" s="11">
        <v>0.75575035810470581</v>
      </c>
      <c r="O6" s="11">
        <v>0.26790124177932739</v>
      </c>
      <c r="Q6" s="59">
        <v>15.922243038492772</v>
      </c>
      <c r="R6" s="78">
        <v>537.86492891324963</v>
      </c>
      <c r="S6" s="78">
        <v>15.988408558116483</v>
      </c>
      <c r="T6" s="78">
        <v>602.39398413667493</v>
      </c>
      <c r="U6" s="59">
        <v>15.991795254949441</v>
      </c>
      <c r="V6" s="78">
        <v>805.24337882107329</v>
      </c>
      <c r="X6" s="134">
        <f>Q6*cRatio-R6</f>
        <v>1591686.4389203638</v>
      </c>
      <c r="Y6" s="134">
        <f>S6*cRatio-T6</f>
        <v>1598238.4618275117</v>
      </c>
      <c r="Z6" s="134">
        <f>U6*cRatio-V6</f>
        <v>1598374.282116123</v>
      </c>
      <c r="AB6" s="127">
        <f>IF(X6=MAX($X6:$Z6),1,0)</f>
        <v>0</v>
      </c>
      <c r="AC6" s="127">
        <f>IF(Y6=MAX($X6:$Z6),1,0)</f>
        <v>0</v>
      </c>
      <c r="AD6" s="127">
        <f>IF(Z6=MAX($X6:$Z6),1,0)</f>
        <v>1</v>
      </c>
      <c r="AF6">
        <v>0</v>
      </c>
      <c r="AG6">
        <v>0.98799999999999999</v>
      </c>
      <c r="AH6">
        <v>1.2E-2</v>
      </c>
      <c r="AI6">
        <v>0</v>
      </c>
    </row>
    <row r="7" spans="1:142" x14ac:dyDescent="0.25">
      <c r="A7">
        <v>2</v>
      </c>
      <c r="C7" s="11">
        <v>3.9057374000549316E-2</v>
      </c>
      <c r="D7" s="11">
        <v>3.5941123962402344E-2</v>
      </c>
      <c r="E7" s="11">
        <v>0.21748408299176761</v>
      </c>
      <c r="F7" s="11">
        <v>0.12402573501361482</v>
      </c>
      <c r="G7" s="11">
        <v>6.891864538192749E-2</v>
      </c>
      <c r="H7" s="40">
        <v>5.1951142937399595E-4</v>
      </c>
      <c r="I7" s="40">
        <v>1.4571282602150004</v>
      </c>
      <c r="J7" s="59">
        <v>0</v>
      </c>
      <c r="K7" s="59">
        <v>5916.9740416109562</v>
      </c>
      <c r="L7" s="59">
        <v>0</v>
      </c>
      <c r="M7" s="11">
        <v>0.81925195455551147</v>
      </c>
      <c r="N7" s="11">
        <v>0.78148049116134644</v>
      </c>
      <c r="O7" s="11">
        <v>0.30691665410995483</v>
      </c>
      <c r="Q7" s="59">
        <v>13.848628049637162</v>
      </c>
      <c r="R7" s="78">
        <v>563.15244083582866</v>
      </c>
      <c r="S7" s="78">
        <v>13.893065653034142</v>
      </c>
      <c r="T7" s="78">
        <v>616.38050318288356</v>
      </c>
      <c r="U7" s="59">
        <v>13.898488729082143</v>
      </c>
      <c r="V7" s="78">
        <v>809.3582089404598</v>
      </c>
      <c r="X7" s="134">
        <f t="shared" ref="X7:X19" si="0">Q7*cRatio-R7</f>
        <v>1384299.6525228804</v>
      </c>
      <c r="Y7" s="134">
        <f t="shared" ref="Y7:Y19" si="1">S7*cRatio-T7</f>
        <v>1388690.1848002311</v>
      </c>
      <c r="Z7" s="134">
        <f t="shared" ref="Z7:Z19" si="2">U7*cRatio-V7</f>
        <v>1389039.514699274</v>
      </c>
      <c r="AB7" s="127">
        <f t="shared" ref="AB7:AB19" si="3">IF(X7=MAX($X7:$Z7),1,0)</f>
        <v>0</v>
      </c>
      <c r="AC7" s="127">
        <f t="shared" ref="AC7:AC19" si="4">IF(Y7=MAX($X7:$Z7),1,0)</f>
        <v>0</v>
      </c>
      <c r="AD7" s="127">
        <f t="shared" ref="AD7:AD19" si="5">IF(Z7=MAX($X7:$Z7),1,0)</f>
        <v>1</v>
      </c>
      <c r="AF7">
        <v>100</v>
      </c>
      <c r="AG7">
        <v>0.98699999999999999</v>
      </c>
      <c r="AH7">
        <v>1.2999999999999999E-2</v>
      </c>
      <c r="AI7">
        <v>0</v>
      </c>
    </row>
    <row r="8" spans="1:142" x14ac:dyDescent="0.25">
      <c r="A8">
        <v>3</v>
      </c>
      <c r="C8" s="11">
        <v>2.8765290975570679E-2</v>
      </c>
      <c r="D8" s="11">
        <v>3.02543044090271E-2</v>
      </c>
      <c r="E8" s="11">
        <v>0.26446602652297513</v>
      </c>
      <c r="F8" s="11">
        <v>0.12125372332861457</v>
      </c>
      <c r="G8" s="11">
        <v>2.120363712310791E-2</v>
      </c>
      <c r="H8" s="40">
        <v>6.6651584903280707E-4</v>
      </c>
      <c r="I8" s="40">
        <v>1.3785147550075108</v>
      </c>
      <c r="J8" s="59">
        <v>0</v>
      </c>
      <c r="K8" s="59">
        <v>9676.2180328369141</v>
      </c>
      <c r="L8" s="59">
        <v>0</v>
      </c>
      <c r="M8" s="11">
        <v>0.84799861907958984</v>
      </c>
      <c r="N8" s="11">
        <v>0.74047785997390747</v>
      </c>
      <c r="O8" s="11">
        <v>0.3029085099697113</v>
      </c>
      <c r="Q8" s="59">
        <v>14.475937459337873</v>
      </c>
      <c r="R8" s="78">
        <v>620.23195342882536</v>
      </c>
      <c r="S8" s="78">
        <v>14.528478879154473</v>
      </c>
      <c r="T8" s="78">
        <v>639.75263892562725</v>
      </c>
      <c r="U8" s="59">
        <v>14.538923869494134</v>
      </c>
      <c r="V8" s="78">
        <v>815.93785777768755</v>
      </c>
      <c r="X8" s="134">
        <f t="shared" si="0"/>
        <v>1446973.5139803584</v>
      </c>
      <c r="Y8" s="134">
        <f t="shared" si="1"/>
        <v>1452208.1352765218</v>
      </c>
      <c r="Z8" s="134">
        <f t="shared" si="2"/>
        <v>1453076.4490916359</v>
      </c>
      <c r="AB8" s="127">
        <f t="shared" si="3"/>
        <v>0</v>
      </c>
      <c r="AC8" s="127">
        <f t="shared" si="4"/>
        <v>0</v>
      </c>
      <c r="AD8" s="127">
        <f t="shared" si="5"/>
        <v>1</v>
      </c>
      <c r="AF8">
        <v>200</v>
      </c>
      <c r="AG8">
        <v>0.97899999999999998</v>
      </c>
      <c r="AH8">
        <v>2.1000000000000001E-2</v>
      </c>
      <c r="AI8">
        <v>0</v>
      </c>
    </row>
    <row r="9" spans="1:142" x14ac:dyDescent="0.25">
      <c r="A9">
        <v>4</v>
      </c>
      <c r="C9" s="11">
        <v>4.8084557056427002E-3</v>
      </c>
      <c r="D9" s="11">
        <v>9.9339932203292847E-3</v>
      </c>
      <c r="E9" s="11">
        <v>0.27957875931707604</v>
      </c>
      <c r="F9" s="11">
        <v>0.29182563917186427</v>
      </c>
      <c r="G9" s="11">
        <v>2.5944322347640991E-2</v>
      </c>
      <c r="H9" s="40">
        <v>4.5257752287108114E-4</v>
      </c>
      <c r="I9" s="40">
        <v>1.4086039890866895</v>
      </c>
      <c r="J9" s="59">
        <v>0</v>
      </c>
      <c r="K9" s="59">
        <v>7630.9870928525925</v>
      </c>
      <c r="L9" s="59">
        <v>0</v>
      </c>
      <c r="M9" s="11">
        <v>0.85864853858947754</v>
      </c>
      <c r="N9" s="11">
        <v>0.75136327743530273</v>
      </c>
      <c r="O9" s="11">
        <v>0.29083412885665894</v>
      </c>
      <c r="Q9" s="59">
        <v>15.042308532732871</v>
      </c>
      <c r="R9" s="78">
        <v>534.58062616551024</v>
      </c>
      <c r="S9" s="78">
        <v>15.079270111964837</v>
      </c>
      <c r="T9" s="78">
        <v>618.74828375995105</v>
      </c>
      <c r="U9" s="59">
        <v>15.078633679381884</v>
      </c>
      <c r="V9" s="78">
        <v>829.48147243924438</v>
      </c>
      <c r="X9" s="134">
        <f t="shared" si="0"/>
        <v>1503696.2726471217</v>
      </c>
      <c r="Y9" s="134">
        <f t="shared" si="1"/>
        <v>1507308.2629127237</v>
      </c>
      <c r="Z9" s="134">
        <f t="shared" si="2"/>
        <v>1507033.8864657492</v>
      </c>
      <c r="AB9" s="127">
        <f t="shared" si="3"/>
        <v>0</v>
      </c>
      <c r="AC9" s="127">
        <f t="shared" si="4"/>
        <v>1</v>
      </c>
      <c r="AD9" s="127">
        <f t="shared" si="5"/>
        <v>0</v>
      </c>
      <c r="AF9">
        <v>300</v>
      </c>
      <c r="AG9">
        <v>0.97599999999999998</v>
      </c>
      <c r="AH9">
        <v>2.4E-2</v>
      </c>
      <c r="AI9">
        <v>0</v>
      </c>
    </row>
    <row r="10" spans="1:142" x14ac:dyDescent="0.25">
      <c r="A10">
        <v>5</v>
      </c>
      <c r="C10" s="11">
        <v>5.3256750106811523E-2</v>
      </c>
      <c r="D10" s="11">
        <v>1.4836877584457397E-2</v>
      </c>
      <c r="E10" s="11">
        <v>0.19103659003016901</v>
      </c>
      <c r="F10" s="11">
        <v>0.10211017342295527</v>
      </c>
      <c r="G10" s="11">
        <v>3.7787675857543945E-2</v>
      </c>
      <c r="H10" s="40">
        <v>5.1272592819781343E-4</v>
      </c>
      <c r="I10" s="40">
        <v>1.4522469662318558</v>
      </c>
      <c r="J10" s="59">
        <v>0</v>
      </c>
      <c r="K10" s="59">
        <v>2800.4869818687439</v>
      </c>
      <c r="L10" s="59">
        <v>0</v>
      </c>
      <c r="M10" s="11">
        <v>0.83526426553726196</v>
      </c>
      <c r="N10" s="11">
        <v>0.80553078651428223</v>
      </c>
      <c r="O10" s="11">
        <v>0.38458633422851563</v>
      </c>
      <c r="Q10" s="59">
        <v>13.931810842486879</v>
      </c>
      <c r="R10" s="78">
        <v>461.01938073178138</v>
      </c>
      <c r="S10" s="78">
        <v>13.960960710602633</v>
      </c>
      <c r="T10" s="78">
        <v>592.01541714372706</v>
      </c>
      <c r="U10" s="59">
        <v>13.964237566026656</v>
      </c>
      <c r="V10" s="78">
        <v>794.9695019427819</v>
      </c>
      <c r="X10" s="134">
        <f t="shared" si="0"/>
        <v>1392720.0648679561</v>
      </c>
      <c r="Y10" s="134">
        <f t="shared" si="1"/>
        <v>1395504.0556431196</v>
      </c>
      <c r="Z10" s="134">
        <f t="shared" si="2"/>
        <v>1395628.7871007228</v>
      </c>
      <c r="AB10" s="127">
        <f t="shared" si="3"/>
        <v>0</v>
      </c>
      <c r="AC10" s="127">
        <f t="shared" si="4"/>
        <v>0</v>
      </c>
      <c r="AD10" s="127">
        <f t="shared" si="5"/>
        <v>1</v>
      </c>
      <c r="AF10">
        <v>400</v>
      </c>
      <c r="AG10">
        <v>0.96899999999999997</v>
      </c>
      <c r="AH10">
        <v>3.1E-2</v>
      </c>
      <c r="AI10">
        <v>0</v>
      </c>
    </row>
    <row r="11" spans="1:142" x14ac:dyDescent="0.25">
      <c r="A11">
        <v>6</v>
      </c>
      <c r="C11" s="11">
        <v>2.9645860195159912E-2</v>
      </c>
      <c r="D11" s="11">
        <v>8.9661180973052979E-3</v>
      </c>
      <c r="E11" s="11">
        <v>0.24918853477264394</v>
      </c>
      <c r="F11" s="11">
        <v>0.22433830178144004</v>
      </c>
      <c r="G11" s="11">
        <v>3.469124436378479E-2</v>
      </c>
      <c r="H11" s="40">
        <v>4.4458420110869614E-4</v>
      </c>
      <c r="I11" s="40">
        <v>1.5258618048254011</v>
      </c>
      <c r="J11" s="59">
        <v>0</v>
      </c>
      <c r="K11" s="59">
        <v>4170.1970621943474</v>
      </c>
      <c r="L11" s="59">
        <v>0</v>
      </c>
      <c r="M11" s="11">
        <v>0.81548595428466797</v>
      </c>
      <c r="N11" s="11">
        <v>0.72868990898132324</v>
      </c>
      <c r="O11" s="11">
        <v>0.26560866832733154</v>
      </c>
      <c r="Q11" s="59">
        <v>13.914610807254528</v>
      </c>
      <c r="R11" s="78">
        <v>502.23428922981037</v>
      </c>
      <c r="S11" s="78">
        <v>13.961407992792372</v>
      </c>
      <c r="T11" s="78">
        <v>606.43738887264578</v>
      </c>
      <c r="U11" s="59">
        <v>13.962989887331315</v>
      </c>
      <c r="V11" s="78">
        <v>812.71534550821798</v>
      </c>
      <c r="X11" s="134">
        <f t="shared" si="0"/>
        <v>1390958.846436223</v>
      </c>
      <c r="Y11" s="134">
        <f t="shared" si="1"/>
        <v>1395534.3618903644</v>
      </c>
      <c r="Z11" s="134">
        <f t="shared" si="2"/>
        <v>1395486.2733876233</v>
      </c>
      <c r="AB11" s="127">
        <f t="shared" si="3"/>
        <v>0</v>
      </c>
      <c r="AC11" s="127">
        <f t="shared" si="4"/>
        <v>1</v>
      </c>
      <c r="AD11" s="127">
        <f t="shared" si="5"/>
        <v>0</v>
      </c>
      <c r="AF11">
        <v>500</v>
      </c>
      <c r="AG11">
        <v>0.96</v>
      </c>
      <c r="AH11">
        <v>0.04</v>
      </c>
      <c r="AI11">
        <v>0</v>
      </c>
    </row>
    <row r="12" spans="1:142" x14ac:dyDescent="0.25">
      <c r="A12">
        <v>7</v>
      </c>
      <c r="C12" s="11">
        <v>2.3136615753173828E-2</v>
      </c>
      <c r="D12" s="11">
        <v>8.1944018602371216E-3</v>
      </c>
      <c r="E12" s="11">
        <v>0.13549770349728577</v>
      </c>
      <c r="F12" s="11">
        <v>0.16715359847945385</v>
      </c>
      <c r="G12" s="11">
        <v>1.3107240200042725E-2</v>
      </c>
      <c r="H12" s="40">
        <v>4.4940446224386659E-4</v>
      </c>
      <c r="I12" s="40">
        <v>1.4893641506934556</v>
      </c>
      <c r="J12" s="59">
        <v>0</v>
      </c>
      <c r="K12" s="59">
        <v>6140.5007727444172</v>
      </c>
      <c r="L12" s="59">
        <v>0</v>
      </c>
      <c r="M12" s="11">
        <v>0.8444972038269043</v>
      </c>
      <c r="N12" s="11">
        <v>0.74425327777862549</v>
      </c>
      <c r="O12" s="11">
        <v>0.34882426261901855</v>
      </c>
      <c r="Q12" s="59">
        <v>14.515744758087825</v>
      </c>
      <c r="R12" s="78">
        <v>522.93191875144873</v>
      </c>
      <c r="S12" s="78">
        <v>14.563974134612625</v>
      </c>
      <c r="T12" s="78">
        <v>596.78859276225262</v>
      </c>
      <c r="U12" s="59">
        <v>14.56217251992001</v>
      </c>
      <c r="V12" s="78">
        <v>809.92985804966543</v>
      </c>
      <c r="X12" s="134">
        <f t="shared" si="0"/>
        <v>1451051.5438900311</v>
      </c>
      <c r="Y12" s="134">
        <f t="shared" si="1"/>
        <v>1455800.6248685003</v>
      </c>
      <c r="Z12" s="134">
        <f t="shared" si="2"/>
        <v>1455407.3221339514</v>
      </c>
      <c r="AB12" s="127">
        <f t="shared" si="3"/>
        <v>0</v>
      </c>
      <c r="AC12" s="127">
        <f t="shared" si="4"/>
        <v>1</v>
      </c>
      <c r="AD12" s="127">
        <f t="shared" si="5"/>
        <v>0</v>
      </c>
      <c r="AF12">
        <v>600</v>
      </c>
      <c r="AG12">
        <v>0.94799999999999995</v>
      </c>
      <c r="AH12">
        <v>5.1999999999999998E-2</v>
      </c>
      <c r="AI12">
        <v>0</v>
      </c>
    </row>
    <row r="13" spans="1:142" x14ac:dyDescent="0.25">
      <c r="A13">
        <v>8</v>
      </c>
      <c r="C13" s="11">
        <v>2.641063928604126E-2</v>
      </c>
      <c r="D13" s="11">
        <v>5.1511526107788086E-2</v>
      </c>
      <c r="E13" s="11">
        <v>0.37913231401380743</v>
      </c>
      <c r="F13" s="11">
        <v>0.19592588095550659</v>
      </c>
      <c r="G13" s="11">
        <v>5.981290340423584E-2</v>
      </c>
      <c r="H13" s="40">
        <v>6.0799155046510666E-4</v>
      </c>
      <c r="I13" s="40">
        <v>1.382046919422119</v>
      </c>
      <c r="J13" s="59">
        <v>0</v>
      </c>
      <c r="K13" s="59">
        <v>4801.2309707701206</v>
      </c>
      <c r="L13" s="59">
        <v>0</v>
      </c>
      <c r="M13" s="11">
        <v>0.83169847726821899</v>
      </c>
      <c r="N13" s="11">
        <v>0.77763944864273071</v>
      </c>
      <c r="O13" s="11">
        <v>0.31848275661468506</v>
      </c>
      <c r="Q13" s="59">
        <v>14.239722098209695</v>
      </c>
      <c r="R13" s="78">
        <v>519.28369764866216</v>
      </c>
      <c r="S13" s="78">
        <v>14.278547973680455</v>
      </c>
      <c r="T13" s="78">
        <v>627.04857122494104</v>
      </c>
      <c r="U13" s="59">
        <v>14.290206487543516</v>
      </c>
      <c r="V13" s="78">
        <v>812.91521907890296</v>
      </c>
      <c r="X13" s="134">
        <f t="shared" si="0"/>
        <v>1423452.9261233208</v>
      </c>
      <c r="Y13" s="134">
        <f t="shared" si="1"/>
        <v>1427227.7487968204</v>
      </c>
      <c r="Z13" s="134">
        <f t="shared" si="2"/>
        <v>1428207.7335352725</v>
      </c>
      <c r="AB13" s="127">
        <f t="shared" si="3"/>
        <v>0</v>
      </c>
      <c r="AC13" s="127">
        <f t="shared" si="4"/>
        <v>0</v>
      </c>
      <c r="AD13" s="127">
        <f t="shared" si="5"/>
        <v>1</v>
      </c>
      <c r="AF13">
        <v>700</v>
      </c>
      <c r="AG13">
        <v>0.93500000000000005</v>
      </c>
      <c r="AH13">
        <v>6.5000000000000002E-2</v>
      </c>
      <c r="AI13">
        <v>0</v>
      </c>
    </row>
    <row r="14" spans="1:142" x14ac:dyDescent="0.25">
      <c r="A14">
        <v>9</v>
      </c>
      <c r="C14" s="11">
        <v>1.8136590719223022E-2</v>
      </c>
      <c r="D14" s="11">
        <v>9.4664990901947021E-3</v>
      </c>
      <c r="E14" s="11">
        <v>0.20427136053288986</v>
      </c>
      <c r="F14" s="11">
        <v>0.4022296193050286</v>
      </c>
      <c r="G14" s="11">
        <v>3.314286470413208E-2</v>
      </c>
      <c r="H14" s="40">
        <v>5.6668762066761525E-4</v>
      </c>
      <c r="I14" s="40">
        <v>1.4027977053509553</v>
      </c>
      <c r="J14" s="59">
        <v>0</v>
      </c>
      <c r="K14" s="59">
        <v>7429.1229248046875</v>
      </c>
      <c r="L14" s="59">
        <v>0</v>
      </c>
      <c r="M14" s="11">
        <v>0.81714987754821777</v>
      </c>
      <c r="N14" s="11">
        <v>0.70845246315002441</v>
      </c>
      <c r="O14" s="11">
        <v>0.30588266253471375</v>
      </c>
      <c r="Q14" s="59">
        <v>14.110937467693804</v>
      </c>
      <c r="R14" s="78">
        <v>566.4442537580469</v>
      </c>
      <c r="S14" s="78">
        <v>14.159315517726279</v>
      </c>
      <c r="T14" s="78">
        <v>614.76184243892146</v>
      </c>
      <c r="U14" s="59">
        <v>14.147121561429797</v>
      </c>
      <c r="V14" s="78">
        <v>858.15292995356629</v>
      </c>
      <c r="X14" s="134">
        <f t="shared" si="0"/>
        <v>1410527.3025156222</v>
      </c>
      <c r="Y14" s="134">
        <f t="shared" si="1"/>
        <v>1415316.789930189</v>
      </c>
      <c r="Z14" s="134">
        <f t="shared" si="2"/>
        <v>1413854.0032130261</v>
      </c>
      <c r="AB14" s="127">
        <f t="shared" si="3"/>
        <v>0</v>
      </c>
      <c r="AC14" s="127">
        <f t="shared" si="4"/>
        <v>1</v>
      </c>
      <c r="AD14" s="127">
        <f t="shared" si="5"/>
        <v>0</v>
      </c>
      <c r="AF14">
        <v>800</v>
      </c>
      <c r="AG14">
        <v>0.92</v>
      </c>
      <c r="AH14">
        <v>0.08</v>
      </c>
      <c r="AI14">
        <v>0</v>
      </c>
    </row>
    <row r="15" spans="1:142" x14ac:dyDescent="0.25">
      <c r="A15">
        <v>10</v>
      </c>
      <c r="C15" s="11">
        <v>1.3242572546005249E-2</v>
      </c>
      <c r="D15" s="11">
        <v>3.5347938537597656E-3</v>
      </c>
      <c r="E15" s="11">
        <v>0.35796471303560995</v>
      </c>
      <c r="F15" s="11">
        <v>0.19016821656626462</v>
      </c>
      <c r="G15" s="11">
        <v>2.6956826448440552E-2</v>
      </c>
      <c r="H15" s="40">
        <v>3.5190256114822209E-4</v>
      </c>
      <c r="I15" s="40">
        <v>1.578040610544271</v>
      </c>
      <c r="J15" s="59">
        <v>0</v>
      </c>
      <c r="K15" s="59">
        <v>5662.867333739996</v>
      </c>
      <c r="L15" s="59">
        <v>0</v>
      </c>
      <c r="M15" s="11">
        <v>0.86970114707946777</v>
      </c>
      <c r="N15" s="11">
        <v>0.72751510143280029</v>
      </c>
      <c r="O15" s="11">
        <v>0.29013705253601074</v>
      </c>
      <c r="Q15" s="59">
        <v>15.081989769247606</v>
      </c>
      <c r="R15" s="78">
        <v>526.60838904206946</v>
      </c>
      <c r="S15" s="78">
        <v>15.130726676694144</v>
      </c>
      <c r="T15" s="78">
        <v>627.14159797419165</v>
      </c>
      <c r="U15" s="59">
        <v>15.1437290797475</v>
      </c>
      <c r="V15" s="78">
        <v>813.67011899944089</v>
      </c>
      <c r="X15" s="134">
        <f t="shared" si="0"/>
        <v>1507672.3685357184</v>
      </c>
      <c r="Y15" s="134">
        <f t="shared" si="1"/>
        <v>1512445.5260714402</v>
      </c>
      <c r="Z15" s="134">
        <f t="shared" si="2"/>
        <v>1513559.2378557506</v>
      </c>
      <c r="AB15" s="127">
        <f t="shared" si="3"/>
        <v>0</v>
      </c>
      <c r="AC15" s="127">
        <f t="shared" si="4"/>
        <v>0</v>
      </c>
      <c r="AD15" s="127">
        <f t="shared" si="5"/>
        <v>1</v>
      </c>
      <c r="AF15">
        <v>900</v>
      </c>
      <c r="AG15">
        <v>0.90300000000000002</v>
      </c>
      <c r="AH15">
        <v>9.7000000000000003E-2</v>
      </c>
      <c r="AI15">
        <v>0</v>
      </c>
    </row>
    <row r="16" spans="1:142" x14ac:dyDescent="0.25">
      <c r="A16">
        <v>11</v>
      </c>
      <c r="C16" s="11">
        <v>1.0936558246612549E-2</v>
      </c>
      <c r="D16" s="11">
        <v>8.0227106809616089E-3</v>
      </c>
      <c r="E16" s="11">
        <v>0.19645364516161123</v>
      </c>
      <c r="F16" s="11">
        <v>0.26303463283581863</v>
      </c>
      <c r="G16" s="11">
        <v>5.7030707597732544E-2</v>
      </c>
      <c r="H16" s="40">
        <v>3.5123599067492088E-4</v>
      </c>
      <c r="I16" s="40">
        <v>1.4597588379572635</v>
      </c>
      <c r="J16" s="59">
        <v>0</v>
      </c>
      <c r="K16" s="59">
        <v>5032.7763892710209</v>
      </c>
      <c r="L16" s="59">
        <v>0</v>
      </c>
      <c r="M16" s="11">
        <v>0.83132976293563843</v>
      </c>
      <c r="N16" s="11">
        <v>0.77377474308013916</v>
      </c>
      <c r="O16" s="11">
        <v>0.27811437845230103</v>
      </c>
      <c r="Q16" s="59">
        <v>14.486256862777019</v>
      </c>
      <c r="R16" s="78">
        <v>491.56428975646025</v>
      </c>
      <c r="S16" s="78">
        <v>14.516211679506059</v>
      </c>
      <c r="T16" s="78">
        <v>598.38496925663094</v>
      </c>
      <c r="U16" s="59">
        <v>14.513697906136887</v>
      </c>
      <c r="V16" s="78">
        <v>813.93038244236618</v>
      </c>
      <c r="X16" s="134">
        <f t="shared" si="0"/>
        <v>1448134.1219879456</v>
      </c>
      <c r="Y16" s="134">
        <f t="shared" si="1"/>
        <v>1451022.7829813494</v>
      </c>
      <c r="Z16" s="134">
        <f t="shared" si="2"/>
        <v>1450555.8602312463</v>
      </c>
      <c r="AB16" s="127">
        <f t="shared" si="3"/>
        <v>0</v>
      </c>
      <c r="AC16" s="127">
        <f t="shared" si="4"/>
        <v>1</v>
      </c>
      <c r="AD16" s="127">
        <f t="shared" si="5"/>
        <v>0</v>
      </c>
      <c r="AF16">
        <v>1000</v>
      </c>
      <c r="AG16">
        <v>0.88200000000000001</v>
      </c>
      <c r="AH16">
        <v>0.11799999999999999</v>
      </c>
      <c r="AI16">
        <v>0</v>
      </c>
    </row>
    <row r="17" spans="1:35" x14ac:dyDescent="0.25">
      <c r="A17">
        <v>12</v>
      </c>
      <c r="C17" s="11">
        <v>1.9860565662384033E-2</v>
      </c>
      <c r="D17" s="11">
        <v>6.7713111639022827E-3</v>
      </c>
      <c r="E17" s="11">
        <v>0.19739700365643598</v>
      </c>
      <c r="F17" s="11">
        <v>3.3785498806929729E-2</v>
      </c>
      <c r="G17" s="11">
        <v>1.4699935913085938E-2</v>
      </c>
      <c r="H17" s="40">
        <v>5.0631322801032209E-4</v>
      </c>
      <c r="I17" s="40">
        <v>1.4922519042127551</v>
      </c>
      <c r="J17" s="59">
        <v>0</v>
      </c>
      <c r="K17" s="59">
        <v>4810.8468763530254</v>
      </c>
      <c r="L17" s="59">
        <v>0</v>
      </c>
      <c r="M17" s="11">
        <v>0.82117938995361328</v>
      </c>
      <c r="N17" s="11">
        <v>0.73703396320343018</v>
      </c>
      <c r="O17" s="11">
        <v>0.30487346649169922</v>
      </c>
      <c r="Q17" s="59">
        <v>14.158682901409286</v>
      </c>
      <c r="R17" s="78">
        <v>510.00277647539372</v>
      </c>
      <c r="S17" s="78">
        <v>14.205142041416162</v>
      </c>
      <c r="T17" s="78">
        <v>602.33820583497845</v>
      </c>
      <c r="U17" s="59">
        <v>14.214869480132959</v>
      </c>
      <c r="V17" s="78">
        <v>792.01012047880943</v>
      </c>
      <c r="X17" s="134">
        <f t="shared" si="0"/>
        <v>1415358.2873644531</v>
      </c>
      <c r="Y17" s="134">
        <f t="shared" si="1"/>
        <v>1419911.865935781</v>
      </c>
      <c r="Z17" s="134">
        <f t="shared" si="2"/>
        <v>1420694.937892817</v>
      </c>
      <c r="AB17" s="127">
        <f t="shared" si="3"/>
        <v>0</v>
      </c>
      <c r="AC17" s="127">
        <f t="shared" si="4"/>
        <v>0</v>
      </c>
      <c r="AD17" s="127">
        <f t="shared" si="5"/>
        <v>1</v>
      </c>
      <c r="AF17">
        <v>1500</v>
      </c>
      <c r="AG17">
        <v>0.75600000000000001</v>
      </c>
      <c r="AH17">
        <v>0.24399999999999999</v>
      </c>
      <c r="AI17">
        <v>0</v>
      </c>
    </row>
    <row r="18" spans="1:35" x14ac:dyDescent="0.25">
      <c r="A18">
        <v>13</v>
      </c>
      <c r="C18" s="11">
        <v>6.1233043670654297E-3</v>
      </c>
      <c r="D18" s="11">
        <v>3.3186078071594238E-2</v>
      </c>
      <c r="E18" s="11">
        <v>0.16431062538749946</v>
      </c>
      <c r="F18" s="11">
        <v>0.15262026494435607</v>
      </c>
      <c r="G18" s="11">
        <v>2.8905361890792847E-2</v>
      </c>
      <c r="H18" s="40">
        <v>4.9834440360285314E-4</v>
      </c>
      <c r="I18" s="40">
        <v>1.4581348972225001</v>
      </c>
      <c r="J18" s="59">
        <v>0</v>
      </c>
      <c r="K18" s="59">
        <v>5413.1750948727131</v>
      </c>
      <c r="L18" s="59">
        <v>0</v>
      </c>
      <c r="M18" s="11">
        <v>0.82561218738555908</v>
      </c>
      <c r="N18" s="11">
        <v>0.71593457460403442</v>
      </c>
      <c r="O18" s="11">
        <v>0.28761833906173706</v>
      </c>
      <c r="Q18" s="59">
        <v>14.421479705542346</v>
      </c>
      <c r="R18" s="78">
        <v>521.78194057946575</v>
      </c>
      <c r="S18" s="78">
        <v>14.481822003832676</v>
      </c>
      <c r="T18" s="78">
        <v>600.35661897288685</v>
      </c>
      <c r="U18" s="59">
        <v>14.482683015132945</v>
      </c>
      <c r="V18" s="78">
        <v>807.84190212482065</v>
      </c>
      <c r="X18" s="134">
        <f t="shared" si="0"/>
        <v>1441626.1886136553</v>
      </c>
      <c r="Y18" s="134">
        <f t="shared" si="1"/>
        <v>1447581.8437642946</v>
      </c>
      <c r="Z18" s="134">
        <f t="shared" si="2"/>
        <v>1447460.4596111695</v>
      </c>
      <c r="AB18" s="127">
        <f t="shared" si="3"/>
        <v>0</v>
      </c>
      <c r="AC18" s="127">
        <f t="shared" si="4"/>
        <v>1</v>
      </c>
      <c r="AD18" s="127">
        <f t="shared" si="5"/>
        <v>0</v>
      </c>
      <c r="AF18">
        <v>2000</v>
      </c>
      <c r="AG18">
        <v>0.60599999999999998</v>
      </c>
      <c r="AH18">
        <v>0.39400000000000002</v>
      </c>
      <c r="AI18">
        <v>0</v>
      </c>
    </row>
    <row r="19" spans="1:35" x14ac:dyDescent="0.25">
      <c r="A19">
        <v>14</v>
      </c>
      <c r="C19" s="11">
        <v>4.2078375816345215E-2</v>
      </c>
      <c r="D19" s="11">
        <v>2.4221628904342651E-2</v>
      </c>
      <c r="E19" s="11">
        <v>0.331362883176825</v>
      </c>
      <c r="F19" s="11">
        <v>0.31929948302815048</v>
      </c>
      <c r="G19" s="11">
        <v>2.5666654109954834E-2</v>
      </c>
      <c r="H19" s="40">
        <v>3.4393370881106067E-4</v>
      </c>
      <c r="I19" s="40">
        <v>1.595731652646686</v>
      </c>
      <c r="J19" s="59">
        <v>0</v>
      </c>
      <c r="K19" s="59">
        <v>4601.6951091587543</v>
      </c>
      <c r="L19" s="59">
        <v>0</v>
      </c>
      <c r="M19" s="11">
        <v>0.84254640340805054</v>
      </c>
      <c r="N19" s="11">
        <v>0.76117944717407227</v>
      </c>
      <c r="O19" s="11">
        <v>0.35418009757995605</v>
      </c>
      <c r="Q19" s="59">
        <v>14.197934085275371</v>
      </c>
      <c r="R19" s="78">
        <v>500.47552978276781</v>
      </c>
      <c r="S19" s="78">
        <v>14.236516181994679</v>
      </c>
      <c r="T19" s="78">
        <v>614.82500119813494</v>
      </c>
      <c r="U19" s="59">
        <v>14.237225069325778</v>
      </c>
      <c r="V19" s="78">
        <v>822.53035870549888</v>
      </c>
      <c r="X19" s="134">
        <f t="shared" si="0"/>
        <v>1419292.9329977543</v>
      </c>
      <c r="Y19" s="134">
        <f t="shared" si="1"/>
        <v>1423036.7931982698</v>
      </c>
      <c r="Z19" s="134">
        <f t="shared" si="2"/>
        <v>1422899.9765738724</v>
      </c>
      <c r="AB19" s="127">
        <f t="shared" si="3"/>
        <v>0</v>
      </c>
      <c r="AC19" s="127">
        <f t="shared" si="4"/>
        <v>1</v>
      </c>
      <c r="AD19" s="127">
        <f t="shared" si="5"/>
        <v>0</v>
      </c>
      <c r="AF19">
        <v>2500</v>
      </c>
      <c r="AG19">
        <v>0.45700000000000002</v>
      </c>
      <c r="AH19">
        <v>0.54200000000000004</v>
      </c>
      <c r="AI19">
        <v>1E-3</v>
      </c>
    </row>
    <row r="20" spans="1:35" x14ac:dyDescent="0.25">
      <c r="A20">
        <v>15</v>
      </c>
      <c r="C20" s="11">
        <v>8.1444382667541504E-3</v>
      </c>
      <c r="D20" s="11">
        <v>2.7461647987365723E-3</v>
      </c>
      <c r="E20" s="11">
        <v>0.24563299810570449</v>
      </c>
      <c r="F20" s="11">
        <v>0.4055373153029761</v>
      </c>
      <c r="G20" s="11">
        <v>4.1267216205596924E-2</v>
      </c>
      <c r="H20" s="40">
        <v>4.6982378956443609E-4</v>
      </c>
      <c r="I20" s="40">
        <v>1.4755035933774392</v>
      </c>
      <c r="J20" s="59">
        <v>0</v>
      </c>
      <c r="K20" s="59">
        <v>5104.9003377556801</v>
      </c>
      <c r="L20" s="59">
        <v>0</v>
      </c>
      <c r="M20" s="11">
        <v>0.90450930595397949</v>
      </c>
      <c r="N20" s="11">
        <v>0.79276823997497559</v>
      </c>
      <c r="O20" s="11">
        <v>0.28557997941970825</v>
      </c>
      <c r="Q20" s="59">
        <v>15.77759430982562</v>
      </c>
      <c r="R20" s="78">
        <v>522.26628961694917</v>
      </c>
      <c r="S20" s="78">
        <v>15.829453202692786</v>
      </c>
      <c r="T20" s="78">
        <v>610.98817933884857</v>
      </c>
      <c r="U20" s="59">
        <v>15.818303861057769</v>
      </c>
      <c r="V20" s="78">
        <v>840.64163384170377</v>
      </c>
      <c r="X20" s="134">
        <f t="shared" ref="X20:X83" si="6">Q20*cRatio-R20</f>
        <v>1577237.1646929451</v>
      </c>
      <c r="Y20" s="134">
        <f t="shared" ref="Y20:Y83" si="7">S20*cRatio-T20</f>
        <v>1582334.3320899399</v>
      </c>
      <c r="Z20" s="134">
        <f t="shared" ref="Z20:Z83" si="8">U20*cRatio-V20</f>
        <v>1580989.7444719353</v>
      </c>
      <c r="AB20" s="127">
        <f t="shared" ref="AB20:AB83" si="9">IF(X20=MAX($X20:$Z20),1,0)</f>
        <v>0</v>
      </c>
      <c r="AC20" s="127">
        <f t="shared" ref="AC20:AC83" si="10">IF(Y20=MAX($X20:$Z20),1,0)</f>
        <v>1</v>
      </c>
      <c r="AD20" s="127">
        <f t="shared" ref="AD20:AD83" si="11">IF(Z20=MAX($X20:$Z20),1,0)</f>
        <v>0</v>
      </c>
      <c r="AF20">
        <v>3000</v>
      </c>
      <c r="AG20">
        <v>0.32700000000000001</v>
      </c>
      <c r="AH20">
        <v>0.67200000000000004</v>
      </c>
      <c r="AI20">
        <v>1E-3</v>
      </c>
    </row>
    <row r="21" spans="1:35" x14ac:dyDescent="0.25">
      <c r="A21">
        <v>16</v>
      </c>
      <c r="C21" s="11">
        <v>1.6055122017860413E-2</v>
      </c>
      <c r="D21" s="11">
        <v>3.9143979549407959E-2</v>
      </c>
      <c r="E21" s="11">
        <v>0.24348557218663808</v>
      </c>
      <c r="F21" s="11">
        <v>0.19159642432949189</v>
      </c>
      <c r="G21" s="11">
        <v>3.3711373805999756E-2</v>
      </c>
      <c r="H21" s="40">
        <v>4.5365167676457674E-4</v>
      </c>
      <c r="I21" s="40">
        <v>1.4169858961343704</v>
      </c>
      <c r="J21" s="59">
        <v>0</v>
      </c>
      <c r="K21" s="59">
        <v>5314.7575818002224</v>
      </c>
      <c r="L21" s="59">
        <v>0</v>
      </c>
      <c r="M21" s="11">
        <v>0.84167748689651489</v>
      </c>
      <c r="N21" s="11">
        <v>0.67837047576904297</v>
      </c>
      <c r="O21" s="11">
        <v>0.32401329278945923</v>
      </c>
      <c r="Q21" s="59">
        <v>14.554871287384614</v>
      </c>
      <c r="R21" s="78">
        <v>497.08617293493904</v>
      </c>
      <c r="S21" s="78">
        <v>14.610209529792368</v>
      </c>
      <c r="T21" s="78">
        <v>604.40585459634985</v>
      </c>
      <c r="U21" s="59">
        <v>14.614060724794127</v>
      </c>
      <c r="V21" s="78">
        <v>808.00832520266727</v>
      </c>
      <c r="X21" s="134">
        <f t="shared" si="6"/>
        <v>1454990.0425655267</v>
      </c>
      <c r="Y21" s="134">
        <f t="shared" si="7"/>
        <v>1460416.5471246406</v>
      </c>
      <c r="Z21" s="134">
        <f t="shared" si="8"/>
        <v>1460598.06415421</v>
      </c>
      <c r="AB21" s="127">
        <f t="shared" si="9"/>
        <v>0</v>
      </c>
      <c r="AC21" s="127">
        <f t="shared" si="10"/>
        <v>0</v>
      </c>
      <c r="AD21" s="127">
        <f t="shared" si="11"/>
        <v>1</v>
      </c>
      <c r="AF21">
        <v>3500</v>
      </c>
      <c r="AG21">
        <v>0.247</v>
      </c>
      <c r="AH21">
        <v>0.751</v>
      </c>
      <c r="AI21">
        <v>2E-3</v>
      </c>
    </row>
    <row r="22" spans="1:35" x14ac:dyDescent="0.25">
      <c r="A22">
        <v>17</v>
      </c>
      <c r="C22" s="11">
        <v>1.3405650854110718E-2</v>
      </c>
      <c r="D22" s="11">
        <v>1.0425031185150146E-2</v>
      </c>
      <c r="E22" s="11">
        <v>0.22003312833555691</v>
      </c>
      <c r="F22" s="11">
        <v>0.11985079255741331</v>
      </c>
      <c r="G22" s="11">
        <v>5.3308844566345215E-2</v>
      </c>
      <c r="H22" s="40">
        <v>5.0394699936287556E-4</v>
      </c>
      <c r="I22" s="40">
        <v>1.3926671561589745</v>
      </c>
      <c r="J22" s="59">
        <v>0</v>
      </c>
      <c r="K22" s="59">
        <v>9537.3392105102539</v>
      </c>
      <c r="L22" s="59">
        <v>0</v>
      </c>
      <c r="M22" s="11">
        <v>0.86113440990447998</v>
      </c>
      <c r="N22" s="11">
        <v>0.69701004028320313</v>
      </c>
      <c r="O22" s="11">
        <v>0.30026960372924805</v>
      </c>
      <c r="Q22" s="59">
        <v>14.933600473442443</v>
      </c>
      <c r="R22" s="78">
        <v>607.21183198119297</v>
      </c>
      <c r="S22" s="78">
        <v>14.990464300444959</v>
      </c>
      <c r="T22" s="78">
        <v>626.5032660869856</v>
      </c>
      <c r="U22" s="59">
        <v>14.997887826765073</v>
      </c>
      <c r="V22" s="78">
        <v>813.91654815105665</v>
      </c>
      <c r="X22" s="134">
        <f t="shared" si="6"/>
        <v>1492752.8355122632</v>
      </c>
      <c r="Y22" s="134">
        <f t="shared" si="7"/>
        <v>1498419.9267784089</v>
      </c>
      <c r="Z22" s="134">
        <f t="shared" si="8"/>
        <v>1498974.8661283562</v>
      </c>
      <c r="AB22" s="127">
        <f t="shared" si="9"/>
        <v>0</v>
      </c>
      <c r="AC22" s="127">
        <f t="shared" si="10"/>
        <v>0</v>
      </c>
      <c r="AD22" s="127">
        <f t="shared" si="11"/>
        <v>1</v>
      </c>
      <c r="AF22">
        <v>4000</v>
      </c>
      <c r="AG22">
        <v>0.17199999999999999</v>
      </c>
      <c r="AH22">
        <v>0.82599999999999996</v>
      </c>
      <c r="AI22">
        <v>2E-3</v>
      </c>
    </row>
    <row r="23" spans="1:35" x14ac:dyDescent="0.25">
      <c r="A23">
        <v>18</v>
      </c>
      <c r="C23" s="11">
        <v>4.1240334510803223E-2</v>
      </c>
      <c r="D23" s="11">
        <v>3.665238618850708E-2</v>
      </c>
      <c r="E23" s="11">
        <v>0.28006753664304657</v>
      </c>
      <c r="F23" s="11">
        <v>0.23917294451486906</v>
      </c>
      <c r="G23" s="11">
        <v>1.4926016330718994E-2</v>
      </c>
      <c r="H23" s="40">
        <v>4.1256900216201525E-4</v>
      </c>
      <c r="I23" s="40">
        <v>1.4295134396264333</v>
      </c>
      <c r="J23" s="59">
        <v>0</v>
      </c>
      <c r="K23" s="59">
        <v>6001.4077462255955</v>
      </c>
      <c r="L23" s="59">
        <v>0</v>
      </c>
      <c r="M23" s="11">
        <v>0.86071950197219849</v>
      </c>
      <c r="N23" s="11">
        <v>0.78085607290267944</v>
      </c>
      <c r="O23" s="11">
        <v>0.2773977518081665</v>
      </c>
      <c r="Q23" s="59">
        <v>14.529764051977047</v>
      </c>
      <c r="R23" s="78">
        <v>490.43645779976646</v>
      </c>
      <c r="S23" s="78">
        <v>14.563164083189372</v>
      </c>
      <c r="T23" s="78">
        <v>606.31280166336217</v>
      </c>
      <c r="U23" s="59">
        <v>14.565087421724964</v>
      </c>
      <c r="V23" s="78">
        <v>811.33958237862112</v>
      </c>
      <c r="X23" s="134">
        <f t="shared" si="6"/>
        <v>1452485.9687399049</v>
      </c>
      <c r="Y23" s="134">
        <f t="shared" si="7"/>
        <v>1455710.095517274</v>
      </c>
      <c r="Z23" s="134">
        <f t="shared" si="8"/>
        <v>1455697.4025901179</v>
      </c>
      <c r="AB23" s="127">
        <f t="shared" si="9"/>
        <v>0</v>
      </c>
      <c r="AC23" s="127">
        <f t="shared" si="10"/>
        <v>1</v>
      </c>
      <c r="AD23" s="127">
        <f t="shared" si="11"/>
        <v>0</v>
      </c>
      <c r="AF23">
        <v>4500</v>
      </c>
      <c r="AG23">
        <v>0.13800000000000001</v>
      </c>
      <c r="AH23">
        <v>0.85699999999999998</v>
      </c>
      <c r="AI23">
        <v>5.0000000000000001E-3</v>
      </c>
    </row>
    <row r="24" spans="1:35" x14ac:dyDescent="0.25">
      <c r="A24">
        <v>19</v>
      </c>
      <c r="C24" s="11">
        <v>2.2607624530792236E-2</v>
      </c>
      <c r="D24" s="11">
        <v>2.325361967086792E-2</v>
      </c>
      <c r="E24" s="11">
        <v>0.24643017573101308</v>
      </c>
      <c r="F24" s="11">
        <v>0.25330136388530028</v>
      </c>
      <c r="G24" s="11">
        <v>2.7176067233085632E-2</v>
      </c>
      <c r="H24" s="40">
        <v>4.6827964483319958E-4</v>
      </c>
      <c r="I24" s="40">
        <v>1.526904393875772</v>
      </c>
      <c r="J24" s="59">
        <v>0</v>
      </c>
      <c r="K24" s="59">
        <v>5311.9845688343048</v>
      </c>
      <c r="L24" s="59">
        <v>0</v>
      </c>
      <c r="M24" s="11">
        <v>0.88618350028991699</v>
      </c>
      <c r="N24" s="11">
        <v>0.73433738946914673</v>
      </c>
      <c r="O24" s="11">
        <v>0.36009407043457031</v>
      </c>
      <c r="Q24" s="59">
        <v>15.205117267798668</v>
      </c>
      <c r="R24" s="78">
        <v>534.28404889961075</v>
      </c>
      <c r="S24" s="78">
        <v>15.275595325340936</v>
      </c>
      <c r="T24" s="78">
        <v>614.21052485554492</v>
      </c>
      <c r="U24" s="59">
        <v>15.274939305752856</v>
      </c>
      <c r="V24" s="78">
        <v>824.18619143920773</v>
      </c>
      <c r="X24" s="134">
        <f t="shared" si="6"/>
        <v>1519977.4427309672</v>
      </c>
      <c r="Y24" s="134">
        <f t="shared" si="7"/>
        <v>1526945.3220092379</v>
      </c>
      <c r="Z24" s="134">
        <f t="shared" si="8"/>
        <v>1526669.7443838464</v>
      </c>
      <c r="AB24" s="127">
        <f t="shared" si="9"/>
        <v>0</v>
      </c>
      <c r="AC24" s="127">
        <f t="shared" si="10"/>
        <v>1</v>
      </c>
      <c r="AD24" s="127">
        <f t="shared" si="11"/>
        <v>0</v>
      </c>
      <c r="AF24">
        <v>5000</v>
      </c>
      <c r="AG24">
        <v>0.10299999999999999</v>
      </c>
      <c r="AH24">
        <v>0.88800000000000001</v>
      </c>
      <c r="AI24">
        <v>8.9999999999999993E-3</v>
      </c>
    </row>
    <row r="25" spans="1:35" x14ac:dyDescent="0.25">
      <c r="A25">
        <v>20</v>
      </c>
      <c r="C25" s="11">
        <v>3.6946654319763184E-2</v>
      </c>
      <c r="D25" s="11">
        <v>1.2745320796966553E-2</v>
      </c>
      <c r="E25" s="11">
        <v>0.21431572064174137</v>
      </c>
      <c r="F25" s="11">
        <v>0.17865301012964763</v>
      </c>
      <c r="G25" s="11">
        <v>3.781244158744812E-2</v>
      </c>
      <c r="H25" s="40">
        <v>3.361876646699012E-4</v>
      </c>
      <c r="I25" s="40">
        <v>1.582334782264333</v>
      </c>
      <c r="J25" s="59">
        <v>0</v>
      </c>
      <c r="K25" s="59">
        <v>4178.6418296396732</v>
      </c>
      <c r="L25" s="59">
        <v>0</v>
      </c>
      <c r="M25" s="11">
        <v>0.86564955115318298</v>
      </c>
      <c r="N25" s="11">
        <v>0.79160547256469727</v>
      </c>
      <c r="O25" s="11">
        <v>0.31057906150817871</v>
      </c>
      <c r="Q25" s="59">
        <v>14.671266141134859</v>
      </c>
      <c r="R25" s="78">
        <v>491.7828703859542</v>
      </c>
      <c r="S25" s="78">
        <v>14.713671518086706</v>
      </c>
      <c r="T25" s="78">
        <v>600.30576154972982</v>
      </c>
      <c r="U25" s="59">
        <v>14.715636868270108</v>
      </c>
      <c r="V25" s="78">
        <v>805.77386599972624</v>
      </c>
      <c r="X25" s="134">
        <f t="shared" si="6"/>
        <v>1466634.8312430999</v>
      </c>
      <c r="Y25" s="134">
        <f t="shared" si="7"/>
        <v>1470766.8460471209</v>
      </c>
      <c r="Z25" s="134">
        <f t="shared" si="8"/>
        <v>1470757.9129610111</v>
      </c>
      <c r="AB25" s="127">
        <f t="shared" si="9"/>
        <v>0</v>
      </c>
      <c r="AC25" s="127">
        <f t="shared" si="10"/>
        <v>1</v>
      </c>
      <c r="AD25" s="127">
        <f t="shared" si="11"/>
        <v>0</v>
      </c>
      <c r="AF25">
        <v>6000</v>
      </c>
      <c r="AG25">
        <v>0.06</v>
      </c>
      <c r="AH25">
        <v>0.92400000000000004</v>
      </c>
      <c r="AI25">
        <v>1.6E-2</v>
      </c>
    </row>
    <row r="26" spans="1:35" x14ac:dyDescent="0.25">
      <c r="A26">
        <v>21</v>
      </c>
      <c r="C26" s="11">
        <v>1.3003230094909668E-2</v>
      </c>
      <c r="D26" s="11">
        <v>1.4356553554534912E-2</v>
      </c>
      <c r="E26" s="11">
        <v>0.25153908045090428</v>
      </c>
      <c r="F26" s="11">
        <v>0.31011780853445958</v>
      </c>
      <c r="G26" s="11">
        <v>1.5171825885772705E-2</v>
      </c>
      <c r="H26" s="40">
        <v>3.7546844451692685E-4</v>
      </c>
      <c r="I26" s="40">
        <v>1.5602251642654357</v>
      </c>
      <c r="J26" s="59">
        <v>0</v>
      </c>
      <c r="K26" s="59">
        <v>5294.6642972528934</v>
      </c>
      <c r="L26" s="59">
        <v>0</v>
      </c>
      <c r="M26" s="11">
        <v>0.81425654888153076</v>
      </c>
      <c r="N26" s="11">
        <v>0.71202600002288818</v>
      </c>
      <c r="O26" s="11">
        <v>0.30162894725799561</v>
      </c>
      <c r="Q26" s="59">
        <v>14.133721379278224</v>
      </c>
      <c r="R26" s="78">
        <v>511.00777912105639</v>
      </c>
      <c r="S26" s="78">
        <v>14.179779171724153</v>
      </c>
      <c r="T26" s="78">
        <v>608.92772426480724</v>
      </c>
      <c r="U26" s="59">
        <v>14.176109934063705</v>
      </c>
      <c r="V26" s="78">
        <v>824.84879799304758</v>
      </c>
      <c r="X26" s="134">
        <f t="shared" si="6"/>
        <v>1412861.1301487014</v>
      </c>
      <c r="Y26" s="134">
        <f t="shared" si="7"/>
        <v>1417368.9894481506</v>
      </c>
      <c r="Z26" s="134">
        <f t="shared" si="8"/>
        <v>1416786.1446083775</v>
      </c>
      <c r="AB26" s="127">
        <f t="shared" si="9"/>
        <v>0</v>
      </c>
      <c r="AC26" s="127">
        <f t="shared" si="10"/>
        <v>1</v>
      </c>
      <c r="AD26" s="127">
        <f t="shared" si="11"/>
        <v>0</v>
      </c>
      <c r="AF26">
        <v>7000</v>
      </c>
      <c r="AG26">
        <v>3.5000000000000003E-2</v>
      </c>
      <c r="AH26">
        <v>0.93500000000000005</v>
      </c>
      <c r="AI26">
        <v>0.03</v>
      </c>
    </row>
    <row r="27" spans="1:35" x14ac:dyDescent="0.25">
      <c r="A27">
        <v>22</v>
      </c>
      <c r="C27" s="11">
        <v>1.9856065511703491E-2</v>
      </c>
      <c r="D27" s="11">
        <v>1.6094863414764404E-2</v>
      </c>
      <c r="E27" s="11">
        <v>0.32815173927432267</v>
      </c>
      <c r="F27" s="11">
        <v>0.18630241424678576</v>
      </c>
      <c r="G27" s="11">
        <v>2.2217780351638794E-2</v>
      </c>
      <c r="H27" s="40">
        <v>7.8046533826470969E-4</v>
      </c>
      <c r="I27" s="40">
        <v>1.3925284790673116</v>
      </c>
      <c r="J27" s="59">
        <v>0</v>
      </c>
      <c r="K27" s="59">
        <v>3980.0652302801609</v>
      </c>
      <c r="L27" s="59">
        <v>0</v>
      </c>
      <c r="M27" s="11">
        <v>0.83641386032104492</v>
      </c>
      <c r="N27" s="11">
        <v>0.77667725086212158</v>
      </c>
      <c r="O27" s="11">
        <v>0.26449573040008545</v>
      </c>
      <c r="Q27" s="59">
        <v>14.416754826912026</v>
      </c>
      <c r="R27" s="78">
        <v>508.98402472159341</v>
      </c>
      <c r="S27" s="78">
        <v>14.45929047053734</v>
      </c>
      <c r="T27" s="78">
        <v>617.38279337146923</v>
      </c>
      <c r="U27" s="59">
        <v>14.468495248341627</v>
      </c>
      <c r="V27" s="78">
        <v>809.87063011840939</v>
      </c>
      <c r="X27" s="134">
        <f t="shared" si="6"/>
        <v>1441166.4986664809</v>
      </c>
      <c r="Y27" s="134">
        <f t="shared" si="7"/>
        <v>1445311.6642603625</v>
      </c>
      <c r="Z27" s="134">
        <f t="shared" si="8"/>
        <v>1446039.6542040445</v>
      </c>
      <c r="AB27" s="127">
        <f t="shared" si="9"/>
        <v>0</v>
      </c>
      <c r="AC27" s="127">
        <f t="shared" si="10"/>
        <v>0</v>
      </c>
      <c r="AD27" s="127">
        <f t="shared" si="11"/>
        <v>1</v>
      </c>
      <c r="AF27">
        <v>8000</v>
      </c>
      <c r="AG27">
        <v>2.1999999999999999E-2</v>
      </c>
      <c r="AH27">
        <v>0.93100000000000005</v>
      </c>
      <c r="AI27">
        <v>4.7E-2</v>
      </c>
    </row>
    <row r="28" spans="1:35" x14ac:dyDescent="0.25">
      <c r="A28">
        <v>23</v>
      </c>
      <c r="C28" s="11">
        <v>1.2402534484863281E-2</v>
      </c>
      <c r="D28" s="11">
        <v>8.9331567287445068E-3</v>
      </c>
      <c r="E28" s="11">
        <v>0.23757339079925946</v>
      </c>
      <c r="F28" s="11">
        <v>0.17107137106128281</v>
      </c>
      <c r="G28" s="11">
        <v>4.7462999820709229E-2</v>
      </c>
      <c r="H28" s="40">
        <v>4.0017682156503668E-4</v>
      </c>
      <c r="I28" s="40">
        <v>1.5691130205959201</v>
      </c>
      <c r="J28" s="59">
        <v>0</v>
      </c>
      <c r="K28" s="59">
        <v>3890.900406986475</v>
      </c>
      <c r="L28" s="59">
        <v>0</v>
      </c>
      <c r="M28" s="11">
        <v>0.79956042766571045</v>
      </c>
      <c r="N28" s="11">
        <v>0.80880498886108398</v>
      </c>
      <c r="O28" s="11">
        <v>0.30833199620246887</v>
      </c>
      <c r="Q28" s="59">
        <v>13.918684849979206</v>
      </c>
      <c r="R28" s="78">
        <v>505.93900614105183</v>
      </c>
      <c r="S28" s="78">
        <v>13.940814784046999</v>
      </c>
      <c r="T28" s="78">
        <v>606.07721820532686</v>
      </c>
      <c r="U28" s="59">
        <v>13.942797034538517</v>
      </c>
      <c r="V28" s="78">
        <v>807.52865420061141</v>
      </c>
      <c r="X28" s="134">
        <f t="shared" si="6"/>
        <v>1391362.5459917795</v>
      </c>
      <c r="Y28" s="134">
        <f t="shared" si="7"/>
        <v>1393475.4011864944</v>
      </c>
      <c r="Z28" s="134">
        <f t="shared" si="8"/>
        <v>1393472.1747996509</v>
      </c>
      <c r="AB28" s="127">
        <f t="shared" si="9"/>
        <v>0</v>
      </c>
      <c r="AC28" s="127">
        <f t="shared" si="10"/>
        <v>1</v>
      </c>
      <c r="AD28" s="127">
        <f t="shared" si="11"/>
        <v>0</v>
      </c>
      <c r="AF28">
        <v>9000</v>
      </c>
      <c r="AG28">
        <v>1.2E-2</v>
      </c>
      <c r="AH28">
        <v>0.92400000000000004</v>
      </c>
      <c r="AI28">
        <v>6.4000000000000001E-2</v>
      </c>
    </row>
    <row r="29" spans="1:35" x14ac:dyDescent="0.25">
      <c r="A29">
        <v>24</v>
      </c>
      <c r="C29" s="11">
        <v>2.8783231973648071E-2</v>
      </c>
      <c r="D29" s="11">
        <v>9.7918063402175903E-3</v>
      </c>
      <c r="E29" s="11">
        <v>0.19128964363236389</v>
      </c>
      <c r="F29" s="11">
        <v>0.23517594712415427</v>
      </c>
      <c r="G29" s="11">
        <v>2.1839380264282227E-2</v>
      </c>
      <c r="H29" s="40">
        <v>3.580496886814144E-4</v>
      </c>
      <c r="I29" s="40">
        <v>1.5404288198691869</v>
      </c>
      <c r="J29" s="59">
        <v>0</v>
      </c>
      <c r="K29" s="59">
        <v>7158.5271507501602</v>
      </c>
      <c r="L29" s="59">
        <v>0</v>
      </c>
      <c r="M29" s="11">
        <v>0.88747966289520264</v>
      </c>
      <c r="N29" s="11">
        <v>0.79053568840026855</v>
      </c>
      <c r="O29" s="11">
        <v>0.31655979156494141</v>
      </c>
      <c r="Q29" s="59">
        <v>15.169240491588784</v>
      </c>
      <c r="R29" s="78">
        <v>540.0845036530111</v>
      </c>
      <c r="S29" s="78">
        <v>15.214018411605926</v>
      </c>
      <c r="T29" s="78">
        <v>607.39340462083567</v>
      </c>
      <c r="U29" s="59">
        <v>15.211545109168032</v>
      </c>
      <c r="V29" s="78">
        <v>822.87713171924099</v>
      </c>
      <c r="X29" s="134">
        <f t="shared" si="6"/>
        <v>1516383.9646552254</v>
      </c>
      <c r="Y29" s="134">
        <f t="shared" si="7"/>
        <v>1520794.4477559717</v>
      </c>
      <c r="Z29" s="134">
        <f t="shared" si="8"/>
        <v>1520331.6337850841</v>
      </c>
      <c r="AB29" s="127">
        <f t="shared" si="9"/>
        <v>0</v>
      </c>
      <c r="AC29" s="127">
        <f t="shared" si="10"/>
        <v>1</v>
      </c>
      <c r="AD29" s="127">
        <f t="shared" si="11"/>
        <v>0</v>
      </c>
      <c r="AF29">
        <v>10000</v>
      </c>
      <c r="AG29">
        <v>8.9999999999999993E-3</v>
      </c>
      <c r="AH29">
        <v>0.91400000000000003</v>
      </c>
      <c r="AI29">
        <v>7.6999999999999999E-2</v>
      </c>
    </row>
    <row r="30" spans="1:35" x14ac:dyDescent="0.25">
      <c r="A30">
        <v>25</v>
      </c>
      <c r="C30" s="11">
        <v>2.2294372320175171E-2</v>
      </c>
      <c r="D30" s="11">
        <v>3.2097280025482178E-2</v>
      </c>
      <c r="E30" s="11">
        <v>0.21951547554600051</v>
      </c>
      <c r="F30" s="11">
        <v>0.20040795059387922</v>
      </c>
      <c r="G30" s="11">
        <v>6.1494708061218262E-2</v>
      </c>
      <c r="H30" s="40">
        <v>5.2428686564158413E-4</v>
      </c>
      <c r="I30" s="40">
        <v>1.533228169020225</v>
      </c>
      <c r="J30" s="59">
        <v>0</v>
      </c>
      <c r="K30" s="59">
        <v>5074.0432925522327</v>
      </c>
      <c r="L30" s="59">
        <v>0</v>
      </c>
      <c r="M30" s="11">
        <v>0.82040274143218994</v>
      </c>
      <c r="N30" s="11">
        <v>0.71604716777801514</v>
      </c>
      <c r="O30" s="11">
        <v>0.30226302146911621</v>
      </c>
      <c r="Q30" s="59">
        <v>14.071310942521745</v>
      </c>
      <c r="R30" s="78">
        <v>573.47424892410413</v>
      </c>
      <c r="S30" s="78">
        <v>14.146378841228952</v>
      </c>
      <c r="T30" s="78">
        <v>619.23499806167797</v>
      </c>
      <c r="U30" s="59">
        <v>14.148263823002688</v>
      </c>
      <c r="V30" s="78">
        <v>824.751890894898</v>
      </c>
      <c r="X30" s="134">
        <f t="shared" si="6"/>
        <v>1406557.6200032504</v>
      </c>
      <c r="Y30" s="134">
        <f t="shared" si="7"/>
        <v>1414018.6491248333</v>
      </c>
      <c r="Z30" s="134">
        <f t="shared" si="8"/>
        <v>1414001.6304093739</v>
      </c>
      <c r="AB30" s="127">
        <f t="shared" si="9"/>
        <v>0</v>
      </c>
      <c r="AC30" s="127">
        <f t="shared" si="10"/>
        <v>1</v>
      </c>
      <c r="AD30" s="127">
        <f t="shared" si="11"/>
        <v>0</v>
      </c>
      <c r="AF30">
        <v>11000</v>
      </c>
      <c r="AG30">
        <v>7.0000000000000001E-3</v>
      </c>
      <c r="AH30">
        <v>0.89600000000000002</v>
      </c>
      <c r="AI30">
        <v>9.7000000000000003E-2</v>
      </c>
    </row>
    <row r="31" spans="1:35" x14ac:dyDescent="0.25">
      <c r="A31">
        <v>26</v>
      </c>
      <c r="C31" s="11">
        <v>4.3877840042114258E-2</v>
      </c>
      <c r="D31" s="11">
        <v>8.1794261932373047E-3</v>
      </c>
      <c r="E31" s="11">
        <v>0.34761553652410371</v>
      </c>
      <c r="F31" s="11">
        <v>5.155378675258248E-2</v>
      </c>
      <c r="G31" s="11">
        <v>5.2994787693023682E-2</v>
      </c>
      <c r="H31" s="40">
        <v>4.0492548386629853E-4</v>
      </c>
      <c r="I31" s="40">
        <v>1.4898815693305199</v>
      </c>
      <c r="J31" s="59">
        <v>0</v>
      </c>
      <c r="K31" s="59">
        <v>4709.616769105196</v>
      </c>
      <c r="L31" s="59">
        <v>0</v>
      </c>
      <c r="M31" s="11">
        <v>0.86574751138687134</v>
      </c>
      <c r="N31" s="11">
        <v>0.74419522285461426</v>
      </c>
      <c r="O31" s="11">
        <v>0.29510784149169922</v>
      </c>
      <c r="Q31" s="59">
        <v>14.557216012172281</v>
      </c>
      <c r="R31" s="78">
        <v>502.6250824551874</v>
      </c>
      <c r="S31" s="78">
        <v>14.598653252865583</v>
      </c>
      <c r="T31" s="78">
        <v>617.20692212111123</v>
      </c>
      <c r="U31" s="59">
        <v>14.617843283714825</v>
      </c>
      <c r="V31" s="78">
        <v>793.69693750586464</v>
      </c>
      <c r="X31" s="134">
        <f t="shared" si="6"/>
        <v>1455218.9761347731</v>
      </c>
      <c r="Y31" s="134">
        <f t="shared" si="7"/>
        <v>1459248.1183644373</v>
      </c>
      <c r="Z31" s="134">
        <f t="shared" si="8"/>
        <v>1460990.6314339766</v>
      </c>
      <c r="AB31" s="127">
        <f t="shared" si="9"/>
        <v>0</v>
      </c>
      <c r="AC31" s="127">
        <f t="shared" si="10"/>
        <v>0</v>
      </c>
      <c r="AD31" s="127">
        <f t="shared" si="11"/>
        <v>1</v>
      </c>
      <c r="AF31">
        <v>12000</v>
      </c>
      <c r="AG31">
        <v>6.0000000000000001E-3</v>
      </c>
      <c r="AH31">
        <v>0.88</v>
      </c>
      <c r="AI31">
        <v>0.114</v>
      </c>
    </row>
    <row r="32" spans="1:35" x14ac:dyDescent="0.25">
      <c r="A32">
        <v>27</v>
      </c>
      <c r="C32" s="11">
        <v>5.4165422916412354E-3</v>
      </c>
      <c r="D32" s="11">
        <v>5.3009092807769775E-3</v>
      </c>
      <c r="E32" s="11">
        <v>0.36656384536774805</v>
      </c>
      <c r="F32" s="11">
        <v>0.1425624628118832</v>
      </c>
      <c r="G32" s="11">
        <v>8.1470489501953125E-2</v>
      </c>
      <c r="H32" s="40">
        <v>4.7062186038263168E-4</v>
      </c>
      <c r="I32" s="40">
        <v>1.4443808422913349</v>
      </c>
      <c r="J32" s="59">
        <v>0</v>
      </c>
      <c r="K32" s="59">
        <v>2731.3455939292908</v>
      </c>
      <c r="L32" s="59">
        <v>0</v>
      </c>
      <c r="M32" s="11">
        <v>0.82542288303375244</v>
      </c>
      <c r="N32" s="11">
        <v>0.83122968673706055</v>
      </c>
      <c r="O32" s="11">
        <v>0.2696344256401062</v>
      </c>
      <c r="Q32" s="59">
        <v>14.468891450375958</v>
      </c>
      <c r="R32" s="78">
        <v>469.51974398016472</v>
      </c>
      <c r="S32" s="78">
        <v>14.489023831704575</v>
      </c>
      <c r="T32" s="78">
        <v>606.99132588713258</v>
      </c>
      <c r="U32" s="59">
        <v>14.496286556175818</v>
      </c>
      <c r="V32" s="78">
        <v>798.92930359397258</v>
      </c>
      <c r="X32" s="134">
        <f t="shared" si="6"/>
        <v>1446419.6252936157</v>
      </c>
      <c r="Y32" s="134">
        <f t="shared" si="7"/>
        <v>1448295.3918445704</v>
      </c>
      <c r="Z32" s="134">
        <f t="shared" si="8"/>
        <v>1448829.7263139877</v>
      </c>
      <c r="AB32" s="127">
        <f t="shared" si="9"/>
        <v>0</v>
      </c>
      <c r="AC32" s="127">
        <f t="shared" si="10"/>
        <v>0</v>
      </c>
      <c r="AD32" s="127">
        <f t="shared" si="11"/>
        <v>1</v>
      </c>
      <c r="AF32">
        <v>13000</v>
      </c>
      <c r="AG32">
        <v>5.0000000000000001E-3</v>
      </c>
      <c r="AH32">
        <v>0.86799999999999999</v>
      </c>
      <c r="AI32">
        <v>0.127</v>
      </c>
    </row>
    <row r="33" spans="1:35" x14ac:dyDescent="0.25">
      <c r="A33">
        <v>28</v>
      </c>
      <c r="C33" s="11">
        <v>2.0203694701194763E-2</v>
      </c>
      <c r="D33" s="11">
        <v>6.9118499755859375E-2</v>
      </c>
      <c r="E33" s="11">
        <v>0.78385466282880489</v>
      </c>
      <c r="F33" s="11">
        <v>0.18542955023422189</v>
      </c>
      <c r="G33" s="11">
        <v>6.8065822124481201E-2</v>
      </c>
      <c r="H33" s="40">
        <v>4.8414515562221824E-4</v>
      </c>
      <c r="I33" s="40">
        <v>1.3879811377130995</v>
      </c>
      <c r="J33" s="59">
        <v>0</v>
      </c>
      <c r="K33" s="59">
        <v>4791.6872426867485</v>
      </c>
      <c r="L33" s="59">
        <v>0</v>
      </c>
      <c r="M33" s="11">
        <v>0.89454472064971924</v>
      </c>
      <c r="N33" s="11">
        <v>0.7702258825302124</v>
      </c>
      <c r="O33" s="11">
        <v>0.35208702087402344</v>
      </c>
      <c r="Q33" s="59">
        <v>15.404124811071449</v>
      </c>
      <c r="R33" s="78">
        <v>499.06299302372702</v>
      </c>
      <c r="S33" s="78">
        <v>15.42065127385437</v>
      </c>
      <c r="T33" s="78">
        <v>661.62126976119487</v>
      </c>
      <c r="U33" s="59">
        <v>15.467051547111081</v>
      </c>
      <c r="V33" s="78">
        <v>807.72194163589018</v>
      </c>
      <c r="X33" s="134">
        <f t="shared" si="6"/>
        <v>1539913.4181141211</v>
      </c>
      <c r="Y33" s="134">
        <f t="shared" si="7"/>
        <v>1541403.5061156759</v>
      </c>
      <c r="Z33" s="134">
        <f t="shared" si="8"/>
        <v>1545897.4327694722</v>
      </c>
      <c r="AB33" s="127">
        <f t="shared" si="9"/>
        <v>0</v>
      </c>
      <c r="AC33" s="127">
        <f t="shared" si="10"/>
        <v>0</v>
      </c>
      <c r="AD33" s="127">
        <f t="shared" si="11"/>
        <v>1</v>
      </c>
      <c r="AF33">
        <v>14000</v>
      </c>
      <c r="AG33">
        <v>4.0000000000000001E-3</v>
      </c>
      <c r="AH33">
        <v>0.85099999999999998</v>
      </c>
      <c r="AI33">
        <v>0.14499999999999999</v>
      </c>
    </row>
    <row r="34" spans="1:35" x14ac:dyDescent="0.25">
      <c r="A34">
        <v>29</v>
      </c>
      <c r="C34" s="11">
        <v>1.7172574996948242E-2</v>
      </c>
      <c r="D34" s="11">
        <v>3.2710433006286621E-2</v>
      </c>
      <c r="E34" s="11">
        <v>0.23209121695385793</v>
      </c>
      <c r="F34" s="11">
        <v>0.38665511534974767</v>
      </c>
      <c r="G34" s="11">
        <v>3.2775908708572388E-2</v>
      </c>
      <c r="H34" s="40">
        <v>3.8985283355215953E-4</v>
      </c>
      <c r="I34" s="40">
        <v>1.4012315386980123</v>
      </c>
      <c r="J34" s="59">
        <v>0</v>
      </c>
      <c r="K34" s="59">
        <v>6489.10878226161</v>
      </c>
      <c r="L34" s="59">
        <v>0</v>
      </c>
      <c r="M34" s="11">
        <v>0.81475114822387695</v>
      </c>
      <c r="N34" s="11">
        <v>0.7498854398727417</v>
      </c>
      <c r="O34" s="11">
        <v>0.29827743768692017</v>
      </c>
      <c r="Q34" s="59">
        <v>14.106650182989629</v>
      </c>
      <c r="R34" s="78">
        <v>497.11194648072626</v>
      </c>
      <c r="S34" s="78">
        <v>14.135445483200803</v>
      </c>
      <c r="T34" s="78">
        <v>603.17241727287296</v>
      </c>
      <c r="U34" s="59">
        <v>14.129595111511925</v>
      </c>
      <c r="V34" s="78">
        <v>828.18890463497416</v>
      </c>
      <c r="X34" s="134">
        <f t="shared" si="6"/>
        <v>1410167.906352482</v>
      </c>
      <c r="Y34" s="134">
        <f t="shared" si="7"/>
        <v>1412941.3759028076</v>
      </c>
      <c r="Z34" s="134">
        <f t="shared" si="8"/>
        <v>1412131.3222465576</v>
      </c>
      <c r="AB34" s="127">
        <f t="shared" si="9"/>
        <v>0</v>
      </c>
      <c r="AC34" s="127">
        <f t="shared" si="10"/>
        <v>1</v>
      </c>
      <c r="AD34" s="127">
        <f t="shared" si="11"/>
        <v>0</v>
      </c>
      <c r="AF34">
        <v>15000</v>
      </c>
      <c r="AG34">
        <v>2E-3</v>
      </c>
      <c r="AH34">
        <v>0.83499999999999996</v>
      </c>
      <c r="AI34">
        <v>0.16300000000000001</v>
      </c>
    </row>
    <row r="35" spans="1:35" x14ac:dyDescent="0.25">
      <c r="A35">
        <v>30</v>
      </c>
      <c r="C35" s="11">
        <v>4.1111588478088379E-2</v>
      </c>
      <c r="D35" s="11">
        <v>7.6808929443359375E-2</v>
      </c>
      <c r="E35" s="11">
        <v>0.25654548152890005</v>
      </c>
      <c r="F35" s="11">
        <v>0.30315437320303451</v>
      </c>
      <c r="G35" s="11">
        <v>8.7634563446044922E-2</v>
      </c>
      <c r="H35" s="40">
        <v>5.6106850439236269E-4</v>
      </c>
      <c r="I35" s="40">
        <v>1.449450077462705</v>
      </c>
      <c r="J35" s="59">
        <v>0</v>
      </c>
      <c r="K35" s="59">
        <v>3814.0080869197845</v>
      </c>
      <c r="L35" s="59">
        <v>0</v>
      </c>
      <c r="M35" s="11">
        <v>0.8301929235458374</v>
      </c>
      <c r="N35" s="11">
        <v>0.77380281686782837</v>
      </c>
      <c r="O35" s="11">
        <v>0.3126797080039978</v>
      </c>
      <c r="Q35" s="59">
        <v>13.97355218295421</v>
      </c>
      <c r="R35" s="78">
        <v>514.68542816691001</v>
      </c>
      <c r="S35" s="78">
        <v>14.038377448077</v>
      </c>
      <c r="T35" s="78">
        <v>610.45494026830011</v>
      </c>
      <c r="U35" s="59">
        <v>14.034242648463453</v>
      </c>
      <c r="V35" s="78">
        <v>825.13255492636119</v>
      </c>
      <c r="X35" s="134">
        <f t="shared" si="6"/>
        <v>1396840.532867254</v>
      </c>
      <c r="Y35" s="134">
        <f t="shared" si="7"/>
        <v>1403227.2898674316</v>
      </c>
      <c r="Z35" s="134">
        <f t="shared" si="8"/>
        <v>1402599.1322914187</v>
      </c>
      <c r="AB35" s="127">
        <f t="shared" si="9"/>
        <v>0</v>
      </c>
      <c r="AC35" s="127">
        <f t="shared" si="10"/>
        <v>1</v>
      </c>
      <c r="AD35" s="127">
        <f t="shared" si="11"/>
        <v>0</v>
      </c>
      <c r="AF35">
        <v>16000</v>
      </c>
      <c r="AG35">
        <v>2E-3</v>
      </c>
      <c r="AH35">
        <v>0.81100000000000005</v>
      </c>
      <c r="AI35">
        <v>0.187</v>
      </c>
    </row>
    <row r="36" spans="1:35" x14ac:dyDescent="0.25">
      <c r="A36">
        <v>31</v>
      </c>
      <c r="C36" s="11">
        <v>1.6975432634353638E-2</v>
      </c>
      <c r="D36" s="11">
        <v>1.7892330884933472E-2</v>
      </c>
      <c r="E36" s="11">
        <v>0.12269098578002774</v>
      </c>
      <c r="F36" s="11">
        <v>0.31314731566616744</v>
      </c>
      <c r="G36" s="11">
        <v>1.0593771934509277E-2</v>
      </c>
      <c r="H36" s="40">
        <v>5.1435942606504082E-4</v>
      </c>
      <c r="I36" s="40">
        <v>1.5167045399102999</v>
      </c>
      <c r="J36" s="59">
        <v>0</v>
      </c>
      <c r="K36" s="59">
        <v>4978.0181143432856</v>
      </c>
      <c r="L36" s="59">
        <v>0</v>
      </c>
      <c r="M36" s="11">
        <v>0.88335508108139038</v>
      </c>
      <c r="N36" s="11">
        <v>0.77176535129547119</v>
      </c>
      <c r="O36" s="11">
        <v>0.33052241802215576</v>
      </c>
      <c r="Q36" s="59">
        <v>15.257959607339904</v>
      </c>
      <c r="R36" s="78">
        <v>521.6939050035819</v>
      </c>
      <c r="S36" s="78">
        <v>15.328214385240159</v>
      </c>
      <c r="T36" s="78">
        <v>595.03364342824216</v>
      </c>
      <c r="U36" s="59">
        <v>15.312645091089561</v>
      </c>
      <c r="V36" s="78">
        <v>828.7164083896082</v>
      </c>
      <c r="X36" s="134">
        <f t="shared" si="6"/>
        <v>1525274.2668289868</v>
      </c>
      <c r="Y36" s="134">
        <f t="shared" si="7"/>
        <v>1532226.4048805877</v>
      </c>
      <c r="Z36" s="134">
        <f t="shared" si="8"/>
        <v>1530435.7927005664</v>
      </c>
      <c r="AB36" s="127">
        <f t="shared" si="9"/>
        <v>0</v>
      </c>
      <c r="AC36" s="127">
        <f t="shared" si="10"/>
        <v>1</v>
      </c>
      <c r="AD36" s="127">
        <f t="shared" si="11"/>
        <v>0</v>
      </c>
      <c r="AF36">
        <v>17000</v>
      </c>
      <c r="AG36">
        <v>1E-3</v>
      </c>
      <c r="AH36">
        <v>0.80400000000000005</v>
      </c>
      <c r="AI36">
        <v>0.19500000000000001</v>
      </c>
    </row>
    <row r="37" spans="1:35" x14ac:dyDescent="0.25">
      <c r="A37">
        <v>32</v>
      </c>
      <c r="C37" s="11">
        <v>3.8139224052429199E-3</v>
      </c>
      <c r="D37" s="11">
        <v>2.1241068840026855E-2</v>
      </c>
      <c r="E37" s="11">
        <v>0.34857312778874189</v>
      </c>
      <c r="F37" s="11">
        <v>0.11712851938910003</v>
      </c>
      <c r="G37" s="11">
        <v>1.748231053352356E-2</v>
      </c>
      <c r="H37" s="40">
        <v>4.1937786950799427E-4</v>
      </c>
      <c r="I37" s="40">
        <v>1.4821384096486265</v>
      </c>
      <c r="J37" s="59">
        <v>0</v>
      </c>
      <c r="K37" s="59">
        <v>5749.8249225318432</v>
      </c>
      <c r="L37" s="59">
        <v>0</v>
      </c>
      <c r="M37" s="11">
        <v>0.86134183406829834</v>
      </c>
      <c r="N37" s="11">
        <v>0.78850126266479492</v>
      </c>
      <c r="O37" s="11">
        <v>0.29646992683410645</v>
      </c>
      <c r="Q37" s="59">
        <v>15.105494057642428</v>
      </c>
      <c r="R37" s="78">
        <v>509.57153222429838</v>
      </c>
      <c r="S37" s="78">
        <v>15.138366226715286</v>
      </c>
      <c r="T37" s="78">
        <v>619.78414444238763</v>
      </c>
      <c r="U37" s="59">
        <v>15.150277065434873</v>
      </c>
      <c r="V37" s="78">
        <v>801.76490875714705</v>
      </c>
      <c r="X37" s="134">
        <f t="shared" si="6"/>
        <v>1510039.8342320186</v>
      </c>
      <c r="Y37" s="134">
        <f t="shared" si="7"/>
        <v>1513216.8385270864</v>
      </c>
      <c r="Z37" s="134">
        <f t="shared" si="8"/>
        <v>1514225.9416347302</v>
      </c>
      <c r="AB37" s="127">
        <f t="shared" si="9"/>
        <v>0</v>
      </c>
      <c r="AC37" s="127">
        <f t="shared" si="10"/>
        <v>0</v>
      </c>
      <c r="AD37" s="127">
        <f t="shared" si="11"/>
        <v>1</v>
      </c>
      <c r="AF37">
        <v>18000</v>
      </c>
      <c r="AG37">
        <v>1E-3</v>
      </c>
      <c r="AH37">
        <v>0.78900000000000003</v>
      </c>
      <c r="AI37">
        <v>0.21</v>
      </c>
    </row>
    <row r="38" spans="1:35" x14ac:dyDescent="0.25">
      <c r="A38">
        <v>33</v>
      </c>
      <c r="C38" s="11">
        <v>3.6931514739990234E-2</v>
      </c>
      <c r="D38" s="11">
        <v>4.155576229095459E-3</v>
      </c>
      <c r="E38" s="11">
        <v>0.23126733579713424</v>
      </c>
      <c r="F38" s="11">
        <v>0.17543334915641776</v>
      </c>
      <c r="G38" s="11">
        <v>4.7435402870178223E-2</v>
      </c>
      <c r="H38" s="40">
        <v>5.6855968510347769E-4</v>
      </c>
      <c r="I38" s="40">
        <v>1.3984828073866686</v>
      </c>
      <c r="J38" s="59">
        <v>0</v>
      </c>
      <c r="K38" s="59">
        <v>6845.034658908844</v>
      </c>
      <c r="L38" s="59">
        <v>0</v>
      </c>
      <c r="M38" s="11">
        <v>0.83966851234436035</v>
      </c>
      <c r="N38" s="11">
        <v>0.70795011520385742</v>
      </c>
      <c r="O38" s="11">
        <v>0.33519101142883301</v>
      </c>
      <c r="Q38" s="59">
        <v>14.217400181570751</v>
      </c>
      <c r="R38" s="78">
        <v>560.56622203617349</v>
      </c>
      <c r="S38" s="78">
        <v>14.268187948070452</v>
      </c>
      <c r="T38" s="78">
        <v>618.07307837341443</v>
      </c>
      <c r="U38" s="59">
        <v>14.271942487845392</v>
      </c>
      <c r="V38" s="78">
        <v>817.6706445074409</v>
      </c>
      <c r="X38" s="134">
        <f t="shared" si="6"/>
        <v>1421179.4519350389</v>
      </c>
      <c r="Y38" s="134">
        <f t="shared" si="7"/>
        <v>1426200.7217286718</v>
      </c>
      <c r="Z38" s="134">
        <f t="shared" si="8"/>
        <v>1426376.5781400318</v>
      </c>
      <c r="AB38" s="127">
        <f t="shared" si="9"/>
        <v>0</v>
      </c>
      <c r="AC38" s="127">
        <f t="shared" si="10"/>
        <v>0</v>
      </c>
      <c r="AD38" s="127">
        <f t="shared" si="11"/>
        <v>1</v>
      </c>
      <c r="AF38">
        <v>19000</v>
      </c>
      <c r="AG38">
        <v>1E-3</v>
      </c>
      <c r="AH38">
        <v>0.77100000000000002</v>
      </c>
      <c r="AI38">
        <v>0.22800000000000001</v>
      </c>
    </row>
    <row r="39" spans="1:35" x14ac:dyDescent="0.25">
      <c r="A39">
        <v>34</v>
      </c>
      <c r="C39" s="11">
        <v>3.4544229507446289E-2</v>
      </c>
      <c r="D39" s="11">
        <v>7.5280666351318359E-4</v>
      </c>
      <c r="E39" s="11">
        <v>0.22249006054805659</v>
      </c>
      <c r="F39" s="11">
        <v>0.13994542043088048</v>
      </c>
      <c r="G39" s="11">
        <v>7.2314143180847168E-2</v>
      </c>
      <c r="H39" s="40">
        <v>5.0335642873334066E-4</v>
      </c>
      <c r="I39" s="40">
        <v>1.4689937263581077</v>
      </c>
      <c r="J39" s="59">
        <v>0</v>
      </c>
      <c r="K39" s="59">
        <v>4741.6472807526588</v>
      </c>
      <c r="L39" s="59">
        <v>0</v>
      </c>
      <c r="M39" s="11">
        <v>0.86013889312744141</v>
      </c>
      <c r="N39" s="11">
        <v>0.69723403453826904</v>
      </c>
      <c r="O39" s="11">
        <v>0.27626317739486694</v>
      </c>
      <c r="Q39" s="59">
        <v>14.578690913424497</v>
      </c>
      <c r="R39" s="78">
        <v>534.76051943823597</v>
      </c>
      <c r="S39" s="78">
        <v>14.647980207416612</v>
      </c>
      <c r="T39" s="78">
        <v>610.82118616011257</v>
      </c>
      <c r="U39" s="59">
        <v>14.655491389711816</v>
      </c>
      <c r="V39" s="78">
        <v>808.04958691860122</v>
      </c>
      <c r="X39" s="134">
        <f t="shared" si="6"/>
        <v>1457334.3308230115</v>
      </c>
      <c r="Y39" s="134">
        <f t="shared" si="7"/>
        <v>1464187.1995555011</v>
      </c>
      <c r="Z39" s="134">
        <f t="shared" si="8"/>
        <v>1464741.0893842629</v>
      </c>
      <c r="AB39" s="127">
        <f t="shared" si="9"/>
        <v>0</v>
      </c>
      <c r="AC39" s="127">
        <f t="shared" si="10"/>
        <v>0</v>
      </c>
      <c r="AD39" s="127">
        <f t="shared" si="11"/>
        <v>1</v>
      </c>
      <c r="AF39">
        <v>20000</v>
      </c>
      <c r="AG39">
        <v>1E-3</v>
      </c>
      <c r="AH39">
        <v>0.76</v>
      </c>
      <c r="AI39">
        <v>0.23899999999999999</v>
      </c>
    </row>
    <row r="40" spans="1:35" x14ac:dyDescent="0.25">
      <c r="A40">
        <v>35</v>
      </c>
      <c r="C40" s="11">
        <v>4.824674129486084E-2</v>
      </c>
      <c r="D40" s="11">
        <v>1.3240635395050049E-2</v>
      </c>
      <c r="E40" s="11">
        <v>0.17636177132180605</v>
      </c>
      <c r="F40" s="11">
        <v>0.13182375904966756</v>
      </c>
      <c r="G40" s="11">
        <v>8.0261468887329102E-2</v>
      </c>
      <c r="H40" s="40">
        <v>3.2388211145334769E-4</v>
      </c>
      <c r="I40" s="40">
        <v>1.4802676460232003</v>
      </c>
      <c r="J40" s="59">
        <v>0</v>
      </c>
      <c r="K40" s="59">
        <v>3280.0668850541115</v>
      </c>
      <c r="L40" s="59">
        <v>0</v>
      </c>
      <c r="M40" s="11">
        <v>0.85827994346618652</v>
      </c>
      <c r="N40" s="11">
        <v>0.74669414758682251</v>
      </c>
      <c r="O40" s="11">
        <v>0.35288357734680176</v>
      </c>
      <c r="Q40" s="59">
        <v>14.379944174089342</v>
      </c>
      <c r="R40" s="78">
        <v>459.96382067085597</v>
      </c>
      <c r="S40" s="78">
        <v>14.420116058386002</v>
      </c>
      <c r="T40" s="78">
        <v>590.76572331643877</v>
      </c>
      <c r="U40" s="59">
        <v>14.422319401215709</v>
      </c>
      <c r="V40" s="78">
        <v>796.79983877452742</v>
      </c>
      <c r="X40" s="134">
        <f t="shared" si="6"/>
        <v>1437534.4535882631</v>
      </c>
      <c r="Y40" s="134">
        <f t="shared" si="7"/>
        <v>1441420.8401152836</v>
      </c>
      <c r="Z40" s="134">
        <f t="shared" si="8"/>
        <v>1441435.1402827962</v>
      </c>
      <c r="AB40" s="127">
        <f t="shared" si="9"/>
        <v>0</v>
      </c>
      <c r="AC40" s="127">
        <f t="shared" si="10"/>
        <v>0</v>
      </c>
      <c r="AD40" s="127">
        <f t="shared" si="11"/>
        <v>1</v>
      </c>
      <c r="AF40">
        <v>21000</v>
      </c>
      <c r="AG40">
        <v>1E-3</v>
      </c>
      <c r="AH40">
        <v>0.74</v>
      </c>
      <c r="AI40">
        <v>0.25900000000000001</v>
      </c>
    </row>
    <row r="41" spans="1:35" x14ac:dyDescent="0.25">
      <c r="A41">
        <v>36</v>
      </c>
      <c r="C41" s="11">
        <v>1.6532212495803833E-2</v>
      </c>
      <c r="D41" s="11">
        <v>7.3142647743225098E-3</v>
      </c>
      <c r="E41" s="11">
        <v>0.23441747297933188</v>
      </c>
      <c r="F41" s="11">
        <v>0.14693199809535359</v>
      </c>
      <c r="G41" s="11">
        <v>4.0899932384490967E-2</v>
      </c>
      <c r="H41" s="40">
        <v>4.5332387601756458E-4</v>
      </c>
      <c r="I41" s="40">
        <v>1.5069439525212469</v>
      </c>
      <c r="J41" s="59">
        <v>0</v>
      </c>
      <c r="K41" s="59">
        <v>3130.4638832807541</v>
      </c>
      <c r="L41" s="59">
        <v>0</v>
      </c>
      <c r="M41" s="11">
        <v>0.82066190242767334</v>
      </c>
      <c r="N41" s="11">
        <v>0.74191099405288696</v>
      </c>
      <c r="O41" s="11">
        <v>0.30346596240997314</v>
      </c>
      <c r="Q41" s="59">
        <v>14.198887364700017</v>
      </c>
      <c r="R41" s="78">
        <v>476.14096829770961</v>
      </c>
      <c r="S41" s="78">
        <v>14.242478502811972</v>
      </c>
      <c r="T41" s="78">
        <v>598.57741354676648</v>
      </c>
      <c r="U41" s="59">
        <v>14.247571293169301</v>
      </c>
      <c r="V41" s="78">
        <v>800.29452975735114</v>
      </c>
      <c r="X41" s="134">
        <f t="shared" si="6"/>
        <v>1419412.5955017041</v>
      </c>
      <c r="Y41" s="134">
        <f t="shared" si="7"/>
        <v>1423649.2728676503</v>
      </c>
      <c r="Z41" s="134">
        <f t="shared" si="8"/>
        <v>1423956.8347871727</v>
      </c>
      <c r="AB41" s="127">
        <f t="shared" si="9"/>
        <v>0</v>
      </c>
      <c r="AC41" s="127">
        <f t="shared" si="10"/>
        <v>0</v>
      </c>
      <c r="AD41" s="127">
        <f t="shared" si="11"/>
        <v>1</v>
      </c>
      <c r="AF41">
        <v>22000</v>
      </c>
      <c r="AG41">
        <v>1E-3</v>
      </c>
      <c r="AH41">
        <v>0.72499999999999998</v>
      </c>
      <c r="AI41">
        <v>0.27400000000000002</v>
      </c>
    </row>
    <row r="42" spans="1:35" x14ac:dyDescent="0.25">
      <c r="A42">
        <v>37</v>
      </c>
      <c r="C42" s="11">
        <v>2.4199157953262329E-2</v>
      </c>
      <c r="D42" s="11">
        <v>1.9457608461380005E-2</v>
      </c>
      <c r="E42" s="11">
        <v>0.21067965012525455</v>
      </c>
      <c r="F42" s="11">
        <v>0.10874030839321147</v>
      </c>
      <c r="G42" s="11">
        <v>3.2405823469161987E-2</v>
      </c>
      <c r="H42" s="40">
        <v>6.0014977898157663E-4</v>
      </c>
      <c r="I42" s="40">
        <v>1.4169020454476937</v>
      </c>
      <c r="J42" s="59">
        <v>0</v>
      </c>
      <c r="K42" s="59">
        <v>4939.4508823752403</v>
      </c>
      <c r="L42" s="59">
        <v>0</v>
      </c>
      <c r="M42" s="11">
        <v>0.84170442819595337</v>
      </c>
      <c r="N42" s="11">
        <v>0.79285430908203125</v>
      </c>
      <c r="O42" s="11">
        <v>0.29705935716629028</v>
      </c>
      <c r="Q42" s="59">
        <v>14.456502718717426</v>
      </c>
      <c r="R42" s="78">
        <v>518.72201080984814</v>
      </c>
      <c r="S42" s="78">
        <v>14.496719466125835</v>
      </c>
      <c r="T42" s="78">
        <v>605.71839511906626</v>
      </c>
      <c r="U42" s="59">
        <v>14.502032386043</v>
      </c>
      <c r="V42" s="78">
        <v>801.82042571887337</v>
      </c>
      <c r="X42" s="134">
        <f t="shared" si="6"/>
        <v>1445131.5498609326</v>
      </c>
      <c r="Y42" s="134">
        <f t="shared" si="7"/>
        <v>1449066.2282174644</v>
      </c>
      <c r="Z42" s="134">
        <f t="shared" si="8"/>
        <v>1449401.4181785812</v>
      </c>
      <c r="AB42" s="127">
        <f t="shared" si="9"/>
        <v>0</v>
      </c>
      <c r="AC42" s="127">
        <f t="shared" si="10"/>
        <v>0</v>
      </c>
      <c r="AD42" s="127">
        <f t="shared" si="11"/>
        <v>1</v>
      </c>
      <c r="AF42">
        <v>23000</v>
      </c>
      <c r="AG42">
        <v>1E-3</v>
      </c>
      <c r="AH42">
        <v>0.71599999999999997</v>
      </c>
      <c r="AI42">
        <v>0.28299999999999997</v>
      </c>
    </row>
    <row r="43" spans="1:35" x14ac:dyDescent="0.25">
      <c r="A43">
        <v>38</v>
      </c>
      <c r="C43" s="11">
        <v>5.2328109741210938E-2</v>
      </c>
      <c r="D43" s="11">
        <v>2.3193359375E-3</v>
      </c>
      <c r="E43" s="11">
        <v>0.21252297477417653</v>
      </c>
      <c r="F43" s="11">
        <v>0.14330346654821854</v>
      </c>
      <c r="G43" s="11">
        <v>1.6470074653625488E-2</v>
      </c>
      <c r="H43" s="40">
        <v>4.2288138866199794E-4</v>
      </c>
      <c r="I43" s="40">
        <v>1.3692687807478909</v>
      </c>
      <c r="J43" s="59">
        <v>0</v>
      </c>
      <c r="K43" s="59">
        <v>6346.9819724559784</v>
      </c>
      <c r="L43" s="59">
        <v>0</v>
      </c>
      <c r="M43" s="11">
        <v>0.88037592172622681</v>
      </c>
      <c r="N43" s="11">
        <v>0.73442792892456055</v>
      </c>
      <c r="O43" s="11">
        <v>0.3294370174407959</v>
      </c>
      <c r="Q43" s="59">
        <v>14.690558535339683</v>
      </c>
      <c r="R43" s="78">
        <v>481.90447213039886</v>
      </c>
      <c r="S43" s="78">
        <v>14.726903696391512</v>
      </c>
      <c r="T43" s="78">
        <v>597.87238739873317</v>
      </c>
      <c r="U43" s="59">
        <v>14.730138356900286</v>
      </c>
      <c r="V43" s="78">
        <v>800.73699625835241</v>
      </c>
      <c r="X43" s="134">
        <f t="shared" si="6"/>
        <v>1468573.949061838</v>
      </c>
      <c r="Y43" s="134">
        <f t="shared" si="7"/>
        <v>1472092.4972517525</v>
      </c>
      <c r="Z43" s="134">
        <f t="shared" si="8"/>
        <v>1472213.0986937701</v>
      </c>
      <c r="AB43" s="127">
        <f t="shared" si="9"/>
        <v>0</v>
      </c>
      <c r="AC43" s="127">
        <f t="shared" si="10"/>
        <v>0</v>
      </c>
      <c r="AD43" s="127">
        <f t="shared" si="11"/>
        <v>1</v>
      </c>
      <c r="AF43">
        <v>24000</v>
      </c>
      <c r="AG43">
        <v>1E-3</v>
      </c>
      <c r="AH43">
        <v>0.71</v>
      </c>
      <c r="AI43">
        <v>0.28899999999999998</v>
      </c>
    </row>
    <row r="44" spans="1:35" x14ac:dyDescent="0.25">
      <c r="A44">
        <v>39</v>
      </c>
      <c r="C44" s="11">
        <v>1.1442810297012329E-2</v>
      </c>
      <c r="D44" s="11">
        <v>8.6780637502670288E-3</v>
      </c>
      <c r="E44" s="11">
        <v>0.2809821557409406</v>
      </c>
      <c r="F44" s="11">
        <v>0.23953298177048657</v>
      </c>
      <c r="G44" s="11">
        <v>7.4932336807250977E-2</v>
      </c>
      <c r="H44" s="40">
        <v>3.6969036833985308E-4</v>
      </c>
      <c r="I44" s="40">
        <v>1.4095983948381599</v>
      </c>
      <c r="J44" s="59">
        <v>0</v>
      </c>
      <c r="K44" s="59">
        <v>5751.8179528415203</v>
      </c>
      <c r="L44" s="59">
        <v>0</v>
      </c>
      <c r="M44" s="11">
        <v>0.86890250444412231</v>
      </c>
      <c r="N44" s="11">
        <v>0.70176160335540771</v>
      </c>
      <c r="O44" s="11">
        <v>0.29827439785003662</v>
      </c>
      <c r="Q44" s="59">
        <v>15.11294506493245</v>
      </c>
      <c r="R44" s="78">
        <v>503.69527419409923</v>
      </c>
      <c r="S44" s="78">
        <v>15.155451785866761</v>
      </c>
      <c r="T44" s="78">
        <v>610.09563534045208</v>
      </c>
      <c r="U44" s="59">
        <v>15.157929098358174</v>
      </c>
      <c r="V44" s="78">
        <v>814.52209668696287</v>
      </c>
      <c r="X44" s="134">
        <f t="shared" si="6"/>
        <v>1510790.811219051</v>
      </c>
      <c r="Y44" s="134">
        <f t="shared" si="7"/>
        <v>1514935.0829513355</v>
      </c>
      <c r="Z44" s="134">
        <f t="shared" si="8"/>
        <v>1514978.3877391305</v>
      </c>
      <c r="AB44" s="127">
        <f t="shared" si="9"/>
        <v>0</v>
      </c>
      <c r="AC44" s="127">
        <f t="shared" si="10"/>
        <v>0</v>
      </c>
      <c r="AD44" s="127">
        <f t="shared" si="11"/>
        <v>1</v>
      </c>
      <c r="AF44">
        <v>25000</v>
      </c>
      <c r="AG44">
        <v>1E-3</v>
      </c>
      <c r="AH44">
        <v>0.69</v>
      </c>
      <c r="AI44">
        <v>0.309</v>
      </c>
    </row>
    <row r="45" spans="1:35" x14ac:dyDescent="0.25">
      <c r="A45">
        <v>40</v>
      </c>
      <c r="C45" s="11">
        <v>9.4467103481292725E-3</v>
      </c>
      <c r="D45" s="11">
        <v>1.9804075360298157E-2</v>
      </c>
      <c r="E45" s="11">
        <v>0.15391778722278388</v>
      </c>
      <c r="F45" s="11">
        <v>0.27936254100758323</v>
      </c>
      <c r="G45" s="11">
        <v>1.86576247215271E-2</v>
      </c>
      <c r="H45" s="40">
        <v>4.1691253772696714E-4</v>
      </c>
      <c r="I45" s="40">
        <v>1.5236911397568544</v>
      </c>
      <c r="J45" s="59">
        <v>0</v>
      </c>
      <c r="K45" s="59">
        <v>4506.6908933222294</v>
      </c>
      <c r="L45" s="59">
        <v>0</v>
      </c>
      <c r="M45" s="11">
        <v>0.86857891082763672</v>
      </c>
      <c r="N45" s="11">
        <v>0.78453147411346436</v>
      </c>
      <c r="O45" s="11">
        <v>0.36734104156494141</v>
      </c>
      <c r="Q45" s="59">
        <v>15.139539160931111</v>
      </c>
      <c r="R45" s="78">
        <v>495.68835689413538</v>
      </c>
      <c r="S45" s="78">
        <v>15.188199231739201</v>
      </c>
      <c r="T45" s="78">
        <v>594.94185295589659</v>
      </c>
      <c r="U45" s="59">
        <v>15.180852525339191</v>
      </c>
      <c r="V45" s="78">
        <v>816.85539611682714</v>
      </c>
      <c r="X45" s="134">
        <f t="shared" si="6"/>
        <v>1513458.227736217</v>
      </c>
      <c r="Y45" s="134">
        <f t="shared" si="7"/>
        <v>1518224.9813209642</v>
      </c>
      <c r="Z45" s="134">
        <f t="shared" si="8"/>
        <v>1517268.3971378021</v>
      </c>
      <c r="AB45" s="127">
        <f t="shared" si="9"/>
        <v>0</v>
      </c>
      <c r="AC45" s="127">
        <f t="shared" si="10"/>
        <v>1</v>
      </c>
      <c r="AD45" s="127">
        <f t="shared" si="11"/>
        <v>0</v>
      </c>
      <c r="AF45">
        <v>26000</v>
      </c>
      <c r="AG45">
        <v>1E-3</v>
      </c>
      <c r="AH45">
        <v>0.67600000000000005</v>
      </c>
      <c r="AI45">
        <v>0.32300000000000001</v>
      </c>
    </row>
    <row r="46" spans="1:35" x14ac:dyDescent="0.25">
      <c r="A46">
        <v>41</v>
      </c>
      <c r="C46" s="11">
        <v>2.3606687784194946E-2</v>
      </c>
      <c r="D46" s="11">
        <v>3.2013684511184692E-2</v>
      </c>
      <c r="E46" s="11">
        <v>0.14031305414998335</v>
      </c>
      <c r="F46" s="11">
        <v>0.48017543085255898</v>
      </c>
      <c r="G46" s="11">
        <v>1.2442827224731445E-2</v>
      </c>
      <c r="H46" s="40">
        <v>3.2591759857765918E-4</v>
      </c>
      <c r="I46" s="40">
        <v>1.4611268238698023</v>
      </c>
      <c r="J46" s="59">
        <v>0</v>
      </c>
      <c r="K46" s="59">
        <v>4539.7435314953327</v>
      </c>
      <c r="L46" s="59">
        <v>0</v>
      </c>
      <c r="M46" s="11">
        <v>0.86077189445495605</v>
      </c>
      <c r="N46" s="11">
        <v>0.72133708000183105</v>
      </c>
      <c r="O46" s="11">
        <v>0.35180282592773438</v>
      </c>
      <c r="Q46" s="59">
        <v>14.794330617191996</v>
      </c>
      <c r="R46" s="78">
        <v>457.60941556711958</v>
      </c>
      <c r="S46" s="78">
        <v>14.83812874166672</v>
      </c>
      <c r="T46" s="78">
        <v>588.03171117274314</v>
      </c>
      <c r="U46" s="59">
        <v>14.820675414746908</v>
      </c>
      <c r="V46" s="78">
        <v>818.76306259390071</v>
      </c>
      <c r="X46" s="134">
        <f t="shared" si="6"/>
        <v>1478975.4523036326</v>
      </c>
      <c r="Y46" s="134">
        <f t="shared" si="7"/>
        <v>1483224.8424554993</v>
      </c>
      <c r="Z46" s="134">
        <f t="shared" si="8"/>
        <v>1481248.7784120969</v>
      </c>
      <c r="AB46" s="127">
        <f t="shared" si="9"/>
        <v>0</v>
      </c>
      <c r="AC46" s="127">
        <f t="shared" si="10"/>
        <v>1</v>
      </c>
      <c r="AD46" s="127">
        <f t="shared" si="11"/>
        <v>0</v>
      </c>
      <c r="AF46">
        <v>27000</v>
      </c>
      <c r="AG46">
        <v>1E-3</v>
      </c>
      <c r="AH46">
        <v>0.66600000000000004</v>
      </c>
      <c r="AI46">
        <v>0.33300000000000002</v>
      </c>
    </row>
    <row r="47" spans="1:35" x14ac:dyDescent="0.25">
      <c r="A47">
        <v>42</v>
      </c>
      <c r="C47" s="11">
        <v>2.5104820728302002E-2</v>
      </c>
      <c r="D47" s="11">
        <v>1.1355414986610413E-2</v>
      </c>
      <c r="E47" s="11">
        <v>0.20981899667619056</v>
      </c>
      <c r="F47" s="11">
        <v>0.19451578844660261</v>
      </c>
      <c r="G47" s="11">
        <v>3.3891081809997559E-2</v>
      </c>
      <c r="H47" s="40">
        <v>4.2916855415201031E-4</v>
      </c>
      <c r="I47" s="40">
        <v>1.5010964957284949</v>
      </c>
      <c r="J47" s="59">
        <v>0</v>
      </c>
      <c r="K47" s="59">
        <v>4752.4436376988888</v>
      </c>
      <c r="L47" s="59">
        <v>0</v>
      </c>
      <c r="M47" s="11">
        <v>0.75564765930175781</v>
      </c>
      <c r="N47" s="11">
        <v>0.82564640045166016</v>
      </c>
      <c r="O47" s="11">
        <v>0.3309938907623291</v>
      </c>
      <c r="Q47" s="59">
        <v>13.011404735810139</v>
      </c>
      <c r="R47" s="78">
        <v>504.97357725344557</v>
      </c>
      <c r="S47" s="78">
        <v>13.012131922378618</v>
      </c>
      <c r="T47" s="78">
        <v>602.6603515133811</v>
      </c>
      <c r="U47" s="59">
        <v>13.012147823778815</v>
      </c>
      <c r="V47" s="78">
        <v>809.9415320153638</v>
      </c>
      <c r="X47" s="134">
        <f t="shared" si="6"/>
        <v>1300635.5000037604</v>
      </c>
      <c r="Y47" s="134">
        <f t="shared" si="7"/>
        <v>1300610.5318863485</v>
      </c>
      <c r="Z47" s="134">
        <f t="shared" si="8"/>
        <v>1300404.8408458661</v>
      </c>
      <c r="AB47" s="127">
        <f t="shared" si="9"/>
        <v>1</v>
      </c>
      <c r="AC47" s="127">
        <f t="shared" si="10"/>
        <v>0</v>
      </c>
      <c r="AD47" s="127">
        <f t="shared" si="11"/>
        <v>0</v>
      </c>
      <c r="AF47">
        <v>28000</v>
      </c>
      <c r="AG47">
        <v>1E-3</v>
      </c>
      <c r="AH47">
        <v>0.65700000000000003</v>
      </c>
      <c r="AI47">
        <v>0.34200000000000003</v>
      </c>
    </row>
    <row r="48" spans="1:35" x14ac:dyDescent="0.25">
      <c r="A48">
        <v>43</v>
      </c>
      <c r="C48" s="11">
        <v>1.3361960649490356E-2</v>
      </c>
      <c r="D48" s="11">
        <v>1.0446235537528992E-2</v>
      </c>
      <c r="E48" s="11">
        <v>0.25303494736993948</v>
      </c>
      <c r="F48" s="11">
        <v>0.16810868948890312</v>
      </c>
      <c r="G48" s="11">
        <v>3.2257527112960815E-2</v>
      </c>
      <c r="H48" s="40">
        <v>5.4909569164381805E-4</v>
      </c>
      <c r="I48" s="40">
        <v>1.4221878203877729</v>
      </c>
      <c r="J48" s="59">
        <v>0</v>
      </c>
      <c r="K48" s="59">
        <v>7452.4525552988052</v>
      </c>
      <c r="L48" s="59">
        <v>0</v>
      </c>
      <c r="M48" s="11">
        <v>0.84512275457382202</v>
      </c>
      <c r="N48" s="11">
        <v>0.78427863121032715</v>
      </c>
      <c r="O48" s="11">
        <v>0.30453801155090332</v>
      </c>
      <c r="Q48" s="59">
        <v>14.679512052826333</v>
      </c>
      <c r="R48" s="78">
        <v>571.27161159748255</v>
      </c>
      <c r="S48" s="78">
        <v>14.715828712757693</v>
      </c>
      <c r="T48" s="78">
        <v>624.52085565702816</v>
      </c>
      <c r="U48" s="59">
        <v>14.720039720736064</v>
      </c>
      <c r="V48" s="78">
        <v>818.29365721145973</v>
      </c>
      <c r="X48" s="134">
        <f t="shared" si="6"/>
        <v>1467379.9336710358</v>
      </c>
      <c r="Y48" s="134">
        <f t="shared" si="7"/>
        <v>1470958.3504201123</v>
      </c>
      <c r="Z48" s="134">
        <f t="shared" si="8"/>
        <v>1471185.6784163951</v>
      </c>
      <c r="AB48" s="127">
        <f t="shared" si="9"/>
        <v>0</v>
      </c>
      <c r="AC48" s="127">
        <f t="shared" si="10"/>
        <v>0</v>
      </c>
      <c r="AD48" s="127">
        <f t="shared" si="11"/>
        <v>1</v>
      </c>
      <c r="AF48">
        <v>29000</v>
      </c>
      <c r="AG48">
        <v>1E-3</v>
      </c>
      <c r="AH48">
        <v>0.65</v>
      </c>
      <c r="AI48">
        <v>0.34899999999999998</v>
      </c>
    </row>
    <row r="49" spans="1:35" x14ac:dyDescent="0.25">
      <c r="A49">
        <v>44</v>
      </c>
      <c r="C49" s="11">
        <v>2.5577276945114136E-2</v>
      </c>
      <c r="D49" s="11">
        <v>4.3703317642211914E-2</v>
      </c>
      <c r="E49" s="11">
        <v>0.30659570987389995</v>
      </c>
      <c r="F49" s="11">
        <v>0.20052614298039301</v>
      </c>
      <c r="G49" s="11">
        <v>6.9519519805908203E-2</v>
      </c>
      <c r="H49" s="40">
        <v>3.949251717277006E-4</v>
      </c>
      <c r="I49" s="40">
        <v>1.4449313488255355</v>
      </c>
      <c r="J49" s="59">
        <v>0</v>
      </c>
      <c r="K49" s="59">
        <v>9586.3640308380127</v>
      </c>
      <c r="L49" s="59">
        <v>0</v>
      </c>
      <c r="M49" s="11">
        <v>0.88310682773590088</v>
      </c>
      <c r="N49" s="11">
        <v>0.74769878387451172</v>
      </c>
      <c r="O49" s="11">
        <v>0.31333208084106445</v>
      </c>
      <c r="Q49" s="59">
        <v>15.128768248388358</v>
      </c>
      <c r="R49" s="78">
        <v>598.78922253864141</v>
      </c>
      <c r="S49" s="78">
        <v>15.177794234816155</v>
      </c>
      <c r="T49" s="78">
        <v>642.44012525189964</v>
      </c>
      <c r="U49" s="59">
        <v>15.185398234796022</v>
      </c>
      <c r="V49" s="78">
        <v>829.55846659026588</v>
      </c>
      <c r="X49" s="134">
        <f t="shared" si="6"/>
        <v>1512278.035616297</v>
      </c>
      <c r="Y49" s="134">
        <f t="shared" si="7"/>
        <v>1517136.9833563636</v>
      </c>
      <c r="Z49" s="134">
        <f t="shared" si="8"/>
        <v>1517710.2650130119</v>
      </c>
      <c r="AB49" s="127">
        <f t="shared" si="9"/>
        <v>0</v>
      </c>
      <c r="AC49" s="127">
        <f t="shared" si="10"/>
        <v>0</v>
      </c>
      <c r="AD49" s="127">
        <f t="shared" si="11"/>
        <v>1</v>
      </c>
      <c r="AF49">
        <v>30000</v>
      </c>
      <c r="AG49">
        <v>1E-3</v>
      </c>
      <c r="AH49">
        <v>0.64400000000000002</v>
      </c>
      <c r="AI49">
        <v>0.35499999999999998</v>
      </c>
    </row>
    <row r="50" spans="1:35" x14ac:dyDescent="0.25">
      <c r="A50">
        <v>45</v>
      </c>
      <c r="C50" s="11">
        <v>3.7283182144165039E-2</v>
      </c>
      <c r="D50" s="11">
        <v>1.8181458115577698E-2</v>
      </c>
      <c r="E50" s="11">
        <v>0.21760071969687944</v>
      </c>
      <c r="F50" s="11">
        <v>0.22000781644536899</v>
      </c>
      <c r="G50" s="11">
        <v>1.2338042259216309E-2</v>
      </c>
      <c r="H50" s="40">
        <v>4.9611411057602238E-4</v>
      </c>
      <c r="I50" s="40">
        <v>1.4502759196472392</v>
      </c>
      <c r="J50" s="59">
        <v>0</v>
      </c>
      <c r="K50" s="59">
        <v>5513.8487368822098</v>
      </c>
      <c r="L50" s="59">
        <v>0</v>
      </c>
      <c r="M50" s="11">
        <v>0.83528214693069458</v>
      </c>
      <c r="N50" s="11">
        <v>0.71635037660598755</v>
      </c>
      <c r="O50" s="11">
        <v>0.3726649284362793</v>
      </c>
      <c r="Q50" s="59">
        <v>14.142580228773403</v>
      </c>
      <c r="R50" s="78">
        <v>505.64501795515719</v>
      </c>
      <c r="S50" s="78">
        <v>14.190391400936447</v>
      </c>
      <c r="T50" s="78">
        <v>603.67982925409763</v>
      </c>
      <c r="U50" s="59">
        <v>14.190241697156335</v>
      </c>
      <c r="V50" s="78">
        <v>812.95161977678936</v>
      </c>
      <c r="X50" s="134">
        <f t="shared" si="6"/>
        <v>1413752.377859385</v>
      </c>
      <c r="Y50" s="134">
        <f t="shared" si="7"/>
        <v>1418435.4602643906</v>
      </c>
      <c r="Z50" s="134">
        <f t="shared" si="8"/>
        <v>1418211.2180958565</v>
      </c>
      <c r="AB50" s="127">
        <f t="shared" si="9"/>
        <v>0</v>
      </c>
      <c r="AC50" s="127">
        <f t="shared" si="10"/>
        <v>1</v>
      </c>
      <c r="AD50" s="127">
        <f t="shared" si="11"/>
        <v>0</v>
      </c>
      <c r="AF50">
        <v>35000</v>
      </c>
      <c r="AG50">
        <v>1E-3</v>
      </c>
      <c r="AH50">
        <v>0.60599999999999998</v>
      </c>
      <c r="AI50">
        <v>0.39300000000000002</v>
      </c>
    </row>
    <row r="51" spans="1:35" x14ac:dyDescent="0.25">
      <c r="A51">
        <v>46</v>
      </c>
      <c r="C51" s="11">
        <v>2.1218746900558472E-2</v>
      </c>
      <c r="D51" s="11">
        <v>1.1409342288970947E-2</v>
      </c>
      <c r="E51" s="11">
        <v>0.41773922693183985</v>
      </c>
      <c r="F51" s="11">
        <v>0.3003636433121713</v>
      </c>
      <c r="G51" s="11">
        <v>4.7755628824234009E-2</v>
      </c>
      <c r="H51" s="40">
        <v>4.3517211917281414E-4</v>
      </c>
      <c r="I51" s="40">
        <v>1.4977974421497446</v>
      </c>
      <c r="J51" s="59">
        <v>0</v>
      </c>
      <c r="K51" s="59">
        <v>5018.4386782348156</v>
      </c>
      <c r="L51" s="59">
        <v>0</v>
      </c>
      <c r="M51" s="11">
        <v>0.83511149883270264</v>
      </c>
      <c r="N51" s="11">
        <v>0.77855384349822998</v>
      </c>
      <c r="O51" s="11">
        <v>0.28471261262893677</v>
      </c>
      <c r="Q51" s="59">
        <v>14.387647365773041</v>
      </c>
      <c r="R51" s="78">
        <v>520.74268742115078</v>
      </c>
      <c r="S51" s="78">
        <v>14.416698254645555</v>
      </c>
      <c r="T51" s="78">
        <v>632.56563699062156</v>
      </c>
      <c r="U51" s="59">
        <v>14.422655521113771</v>
      </c>
      <c r="V51" s="78">
        <v>826.60596364752871</v>
      </c>
      <c r="X51" s="134">
        <f t="shared" si="6"/>
        <v>1438243.9938898829</v>
      </c>
      <c r="Y51" s="134">
        <f t="shared" si="7"/>
        <v>1441037.2598275649</v>
      </c>
      <c r="Z51" s="134">
        <f t="shared" si="8"/>
        <v>1441438.9461477296</v>
      </c>
      <c r="AB51" s="127">
        <f t="shared" si="9"/>
        <v>0</v>
      </c>
      <c r="AC51" s="127">
        <f t="shared" si="10"/>
        <v>0</v>
      </c>
      <c r="AD51" s="127">
        <f t="shared" si="11"/>
        <v>1</v>
      </c>
      <c r="AF51">
        <v>40000</v>
      </c>
      <c r="AG51">
        <v>1E-3</v>
      </c>
      <c r="AH51">
        <v>0.56699999999999995</v>
      </c>
      <c r="AI51">
        <v>0.432</v>
      </c>
    </row>
    <row r="52" spans="1:35" x14ac:dyDescent="0.25">
      <c r="A52">
        <v>47</v>
      </c>
      <c r="C52" s="11">
        <v>7.6501369476318359E-3</v>
      </c>
      <c r="D52" s="11">
        <v>5.1570534706115723E-3</v>
      </c>
      <c r="E52" s="11">
        <v>0.17310895511229218</v>
      </c>
      <c r="F52" s="11">
        <v>8.0453032454316412E-2</v>
      </c>
      <c r="G52" s="11">
        <v>6.0816347599029541E-2</v>
      </c>
      <c r="H52" s="40">
        <v>4.6184262136679256E-4</v>
      </c>
      <c r="I52" s="40">
        <v>1.4092759456337367</v>
      </c>
      <c r="J52" s="59">
        <v>0</v>
      </c>
      <c r="K52" s="59">
        <v>3733.6628884077072</v>
      </c>
      <c r="L52" s="59">
        <v>0</v>
      </c>
      <c r="M52" s="11">
        <v>0.89850533008575439</v>
      </c>
      <c r="N52" s="11">
        <v>0.73656761646270752</v>
      </c>
      <c r="O52" s="11">
        <v>0.36538839340209961</v>
      </c>
      <c r="Q52" s="59">
        <v>15.680815707210121</v>
      </c>
      <c r="R52" s="78">
        <v>477.8166409188658</v>
      </c>
      <c r="S52" s="78">
        <v>15.737354210003126</v>
      </c>
      <c r="T52" s="78">
        <v>593.69606360811395</v>
      </c>
      <c r="U52" s="59">
        <v>15.743794948656834</v>
      </c>
      <c r="V52" s="78">
        <v>794.83989975196539</v>
      </c>
      <c r="X52" s="134">
        <f t="shared" si="6"/>
        <v>1567603.7540800932</v>
      </c>
      <c r="Y52" s="134">
        <f t="shared" si="7"/>
        <v>1573141.7249367044</v>
      </c>
      <c r="Z52" s="134">
        <f t="shared" si="8"/>
        <v>1573584.6549659313</v>
      </c>
      <c r="AB52" s="127">
        <f t="shared" si="9"/>
        <v>0</v>
      </c>
      <c r="AC52" s="127">
        <f t="shared" si="10"/>
        <v>0</v>
      </c>
      <c r="AD52" s="127">
        <f t="shared" si="11"/>
        <v>1</v>
      </c>
      <c r="AF52">
        <v>45000</v>
      </c>
      <c r="AG52">
        <v>1E-3</v>
      </c>
      <c r="AH52">
        <v>0.54900000000000004</v>
      </c>
      <c r="AI52">
        <v>0.45</v>
      </c>
    </row>
    <row r="53" spans="1:35" x14ac:dyDescent="0.25">
      <c r="A53">
        <v>48</v>
      </c>
      <c r="C53" s="11">
        <v>1.8533334136009216E-2</v>
      </c>
      <c r="D53" s="11">
        <v>6.1359405517578125E-2</v>
      </c>
      <c r="E53" s="11">
        <v>0.14004026738688471</v>
      </c>
      <c r="F53" s="11">
        <v>8.5448916948390435E-2</v>
      </c>
      <c r="G53" s="11">
        <v>2.3893773555755615E-2</v>
      </c>
      <c r="H53" s="40">
        <v>4.0839560372471734E-4</v>
      </c>
      <c r="I53" s="40">
        <v>1.4608591764050232</v>
      </c>
      <c r="J53" s="59">
        <v>0</v>
      </c>
      <c r="K53" s="59">
        <v>3192.1826303005219</v>
      </c>
      <c r="L53" s="59">
        <v>0</v>
      </c>
      <c r="M53" s="11">
        <v>0.87294840812683105</v>
      </c>
      <c r="N53" s="11">
        <v>0.71064329147338867</v>
      </c>
      <c r="O53" s="11">
        <v>0.26067435741424561</v>
      </c>
      <c r="Q53" s="59">
        <v>15.050820627008953</v>
      </c>
      <c r="R53" s="78">
        <v>453.72457688045193</v>
      </c>
      <c r="S53" s="78">
        <v>15.121832605811141</v>
      </c>
      <c r="T53" s="78">
        <v>587.48708355481222</v>
      </c>
      <c r="U53" s="59">
        <v>15.126419881972923</v>
      </c>
      <c r="V53" s="78">
        <v>793.18343973866672</v>
      </c>
      <c r="X53" s="134">
        <f t="shared" si="6"/>
        <v>1504628.3381240149</v>
      </c>
      <c r="Y53" s="134">
        <f t="shared" si="7"/>
        <v>1511595.7734975594</v>
      </c>
      <c r="Z53" s="134">
        <f t="shared" si="8"/>
        <v>1511848.8047575539</v>
      </c>
      <c r="AB53" s="127">
        <f t="shared" si="9"/>
        <v>0</v>
      </c>
      <c r="AC53" s="127">
        <f t="shared" si="10"/>
        <v>0</v>
      </c>
      <c r="AD53" s="127">
        <f t="shared" si="11"/>
        <v>1</v>
      </c>
      <c r="AF53">
        <v>50000</v>
      </c>
      <c r="AG53">
        <v>1E-3</v>
      </c>
      <c r="AH53">
        <v>0.53100000000000003</v>
      </c>
      <c r="AI53">
        <v>0.46800000000000003</v>
      </c>
    </row>
    <row r="54" spans="1:35" x14ac:dyDescent="0.25">
      <c r="A54">
        <v>49</v>
      </c>
      <c r="C54" s="11">
        <v>2.891618013381958E-2</v>
      </c>
      <c r="D54" s="11">
        <v>1.1596560478210449E-2</v>
      </c>
      <c r="E54" s="11">
        <v>0.30865929496007621</v>
      </c>
      <c r="F54" s="11">
        <v>0.11249747668202488</v>
      </c>
      <c r="G54" s="11">
        <v>3.6996304988861084E-2</v>
      </c>
      <c r="H54" s="40">
        <v>9.0525302278540395E-4</v>
      </c>
      <c r="I54" s="40">
        <v>1.3052044189639864</v>
      </c>
      <c r="J54" s="59">
        <v>0</v>
      </c>
      <c r="K54" s="59">
        <v>4224.6910743415356</v>
      </c>
      <c r="L54" s="59">
        <v>0</v>
      </c>
      <c r="M54" s="11">
        <v>0.86994719505310059</v>
      </c>
      <c r="N54" s="11">
        <v>0.78515458106994629</v>
      </c>
      <c r="O54" s="11">
        <v>0.35184073448181152</v>
      </c>
      <c r="Q54" s="59">
        <v>14.857325840512649</v>
      </c>
      <c r="R54" s="78">
        <v>512.48917954301862</v>
      </c>
      <c r="S54" s="78">
        <v>14.901719602594257</v>
      </c>
      <c r="T54" s="78">
        <v>616.11933528078089</v>
      </c>
      <c r="U54" s="59">
        <v>14.914599030534816</v>
      </c>
      <c r="V54" s="78">
        <v>801.58643194089154</v>
      </c>
      <c r="X54" s="134">
        <f t="shared" si="6"/>
        <v>1485220.0948717219</v>
      </c>
      <c r="Y54" s="134">
        <f t="shared" si="7"/>
        <v>1489555.840924145</v>
      </c>
      <c r="Z54" s="134">
        <f t="shared" si="8"/>
        <v>1490658.3166215408</v>
      </c>
      <c r="AB54" s="127">
        <f t="shared" si="9"/>
        <v>0</v>
      </c>
      <c r="AC54" s="127">
        <f t="shared" si="10"/>
        <v>0</v>
      </c>
      <c r="AD54" s="127">
        <f t="shared" si="11"/>
        <v>1</v>
      </c>
      <c r="AF54">
        <v>55000</v>
      </c>
      <c r="AG54">
        <v>1E-3</v>
      </c>
      <c r="AH54">
        <v>0.50800000000000001</v>
      </c>
      <c r="AI54">
        <v>0.49099999999999999</v>
      </c>
    </row>
    <row r="55" spans="1:35" x14ac:dyDescent="0.25">
      <c r="A55">
        <v>50</v>
      </c>
      <c r="C55" s="11">
        <v>6.1440467834472656E-4</v>
      </c>
      <c r="D55" s="11">
        <v>2.087700366973877E-2</v>
      </c>
      <c r="E55" s="11">
        <v>0.35984117737737592</v>
      </c>
      <c r="F55" s="11">
        <v>0.38536806343424612</v>
      </c>
      <c r="G55" s="11">
        <v>3.2663583755493164E-2</v>
      </c>
      <c r="H55" s="40">
        <v>6.180775401556062E-4</v>
      </c>
      <c r="I55" s="40">
        <v>1.3452232312246153</v>
      </c>
      <c r="J55" s="59">
        <v>0</v>
      </c>
      <c r="K55" s="59">
        <v>5147.9390822350979</v>
      </c>
      <c r="L55" s="59">
        <v>0</v>
      </c>
      <c r="M55" s="11">
        <v>0.82353430986404419</v>
      </c>
      <c r="N55" s="11">
        <v>0.76530343294143677</v>
      </c>
      <c r="O55" s="11">
        <v>0.28483062982559204</v>
      </c>
      <c r="Q55" s="59">
        <v>14.491143032561526</v>
      </c>
      <c r="R55" s="78">
        <v>505.69293841277948</v>
      </c>
      <c r="S55" s="78">
        <v>14.520682779935669</v>
      </c>
      <c r="T55" s="78">
        <v>619.63042178257729</v>
      </c>
      <c r="U55" s="59">
        <v>14.519490243157289</v>
      </c>
      <c r="V55" s="78">
        <v>831.49380402714144</v>
      </c>
      <c r="X55" s="134">
        <f t="shared" si="6"/>
        <v>1448608.6103177399</v>
      </c>
      <c r="Y55" s="134">
        <f t="shared" si="7"/>
        <v>1451448.6475717842</v>
      </c>
      <c r="Z55" s="134">
        <f t="shared" si="8"/>
        <v>1451117.5305117017</v>
      </c>
      <c r="AB55" s="127">
        <f t="shared" si="9"/>
        <v>0</v>
      </c>
      <c r="AC55" s="127">
        <f t="shared" si="10"/>
        <v>1</v>
      </c>
      <c r="AD55" s="127">
        <f t="shared" si="11"/>
        <v>0</v>
      </c>
      <c r="AF55">
        <v>60000</v>
      </c>
      <c r="AG55">
        <v>1E-3</v>
      </c>
      <c r="AH55">
        <v>0.49299999999999999</v>
      </c>
      <c r="AI55">
        <v>0.50600000000000001</v>
      </c>
    </row>
    <row r="56" spans="1:35" x14ac:dyDescent="0.25">
      <c r="A56">
        <v>51</v>
      </c>
      <c r="C56" s="11">
        <v>2.145993709564209E-2</v>
      </c>
      <c r="D56" s="11">
        <v>2.2763714194297791E-2</v>
      </c>
      <c r="E56" s="11">
        <v>0.18964774910956253</v>
      </c>
      <c r="F56" s="11">
        <v>0.35507431773843307</v>
      </c>
      <c r="G56" s="11">
        <v>8.4305286407470703E-2</v>
      </c>
      <c r="H56" s="40">
        <v>4.7549378521041466E-4</v>
      </c>
      <c r="I56" s="40">
        <v>1.5125697099215125</v>
      </c>
      <c r="J56" s="59">
        <v>0</v>
      </c>
      <c r="K56" s="59">
        <v>8707.1210145950317</v>
      </c>
      <c r="L56" s="59">
        <v>0</v>
      </c>
      <c r="M56" s="11">
        <v>0.87411797046661377</v>
      </c>
      <c r="N56" s="11">
        <v>0.83846282958984375</v>
      </c>
      <c r="O56" s="11">
        <v>0.3142399787902832</v>
      </c>
      <c r="Q56" s="59">
        <v>15.045312477253539</v>
      </c>
      <c r="R56" s="78">
        <v>684.92835483255908</v>
      </c>
      <c r="S56" s="78">
        <v>15.096412412802399</v>
      </c>
      <c r="T56" s="78">
        <v>635.18522268893298</v>
      </c>
      <c r="U56" s="59">
        <v>15.085793015850681</v>
      </c>
      <c r="V56" s="78">
        <v>892.80273975656121</v>
      </c>
      <c r="X56" s="134">
        <f t="shared" si="6"/>
        <v>1503846.3193705212</v>
      </c>
      <c r="Y56" s="134">
        <f t="shared" si="7"/>
        <v>1509006.0560575512</v>
      </c>
      <c r="Z56" s="134">
        <f t="shared" si="8"/>
        <v>1507686.4988453116</v>
      </c>
      <c r="AB56" s="127">
        <f t="shared" si="9"/>
        <v>0</v>
      </c>
      <c r="AC56" s="127">
        <f t="shared" si="10"/>
        <v>1</v>
      </c>
      <c r="AD56" s="127">
        <f t="shared" si="11"/>
        <v>0</v>
      </c>
      <c r="AF56">
        <v>65000</v>
      </c>
      <c r="AG56">
        <v>1E-3</v>
      </c>
      <c r="AH56">
        <v>0.48299999999999998</v>
      </c>
      <c r="AI56">
        <v>0.51600000000000001</v>
      </c>
    </row>
    <row r="57" spans="1:35" x14ac:dyDescent="0.25">
      <c r="A57">
        <v>52</v>
      </c>
      <c r="C57" s="11">
        <v>1.7039090394973755E-2</v>
      </c>
      <c r="D57" s="11">
        <v>2.9424071311950684E-2</v>
      </c>
      <c r="E57" s="11">
        <v>0.26450394820140843</v>
      </c>
      <c r="F57" s="11">
        <v>0.16593931929463845</v>
      </c>
      <c r="G57" s="11">
        <v>2.1497368812561035E-2</v>
      </c>
      <c r="H57" s="40">
        <v>5.2588919206366779E-4</v>
      </c>
      <c r="I57" s="40">
        <v>1.4577765736574213</v>
      </c>
      <c r="J57" s="59">
        <v>0</v>
      </c>
      <c r="K57" s="59">
        <v>9640.6787633895874</v>
      </c>
      <c r="L57" s="59">
        <v>0</v>
      </c>
      <c r="M57" s="11">
        <v>0.86294317245483398</v>
      </c>
      <c r="N57" s="11">
        <v>0.81029176712036133</v>
      </c>
      <c r="O57" s="11">
        <v>0.27946764230728149</v>
      </c>
      <c r="Q57" s="59">
        <v>14.927188550417776</v>
      </c>
      <c r="R57" s="78">
        <v>621.54927400462839</v>
      </c>
      <c r="S57" s="78">
        <v>14.967913858428657</v>
      </c>
      <c r="T57" s="78">
        <v>640.15296434709467</v>
      </c>
      <c r="U57" s="59">
        <v>14.973490082974982</v>
      </c>
      <c r="V57" s="78">
        <v>826.44747255579875</v>
      </c>
      <c r="X57" s="134">
        <f t="shared" si="6"/>
        <v>1492097.3057677732</v>
      </c>
      <c r="Y57" s="134">
        <f t="shared" si="7"/>
        <v>1496151.2328785188</v>
      </c>
      <c r="Z57" s="134">
        <f t="shared" si="8"/>
        <v>1496522.5608249423</v>
      </c>
      <c r="AB57" s="127">
        <f t="shared" si="9"/>
        <v>0</v>
      </c>
      <c r="AC57" s="127">
        <f t="shared" si="10"/>
        <v>0</v>
      </c>
      <c r="AD57" s="127">
        <f t="shared" si="11"/>
        <v>1</v>
      </c>
      <c r="AF57">
        <v>70000</v>
      </c>
      <c r="AG57">
        <v>1E-3</v>
      </c>
      <c r="AH57">
        <v>0.46899999999999997</v>
      </c>
      <c r="AI57">
        <v>0.53</v>
      </c>
    </row>
    <row r="58" spans="1:35" x14ac:dyDescent="0.25">
      <c r="A58">
        <v>53</v>
      </c>
      <c r="C58" s="11">
        <v>2.5403499603271484E-2</v>
      </c>
      <c r="D58" s="11">
        <v>4.0115416049957275E-3</v>
      </c>
      <c r="E58" s="11">
        <v>0.2156319627734673</v>
      </c>
      <c r="F58" s="11">
        <v>0.25259711727290257</v>
      </c>
      <c r="G58" s="11">
        <v>9.4079971313476563E-3</v>
      </c>
      <c r="H58" s="40">
        <v>4.6846870619227289E-4</v>
      </c>
      <c r="I58" s="40">
        <v>1.4832036095224213</v>
      </c>
      <c r="J58" s="59">
        <v>0</v>
      </c>
      <c r="K58" s="59">
        <v>5179.9044013023376</v>
      </c>
      <c r="L58" s="59">
        <v>0</v>
      </c>
      <c r="M58" s="11">
        <v>0.85004729032516479</v>
      </c>
      <c r="N58" s="11">
        <v>0.72028577327728271</v>
      </c>
      <c r="O58" s="11">
        <v>0.339302659034729</v>
      </c>
      <c r="Q58" s="59">
        <v>14.567369106840934</v>
      </c>
      <c r="R58" s="78">
        <v>502.46001840060507</v>
      </c>
      <c r="S58" s="78">
        <v>14.618926066977213</v>
      </c>
      <c r="T58" s="78">
        <v>602.7836622148393</v>
      </c>
      <c r="U58" s="59">
        <v>14.616452195212876</v>
      </c>
      <c r="V58" s="78">
        <v>815.8386262461737</v>
      </c>
      <c r="X58" s="134">
        <f t="shared" si="6"/>
        <v>1456234.4506656928</v>
      </c>
      <c r="Y58" s="134">
        <f t="shared" si="7"/>
        <v>1461289.8230355065</v>
      </c>
      <c r="Z58" s="134">
        <f t="shared" si="8"/>
        <v>1460829.3808950414</v>
      </c>
      <c r="AB58" s="127">
        <f t="shared" si="9"/>
        <v>0</v>
      </c>
      <c r="AC58" s="127">
        <f t="shared" si="10"/>
        <v>1</v>
      </c>
      <c r="AD58" s="127">
        <f t="shared" si="11"/>
        <v>0</v>
      </c>
      <c r="AF58">
        <v>75000</v>
      </c>
      <c r="AG58">
        <v>1E-3</v>
      </c>
      <c r="AH58">
        <v>0.46300000000000002</v>
      </c>
      <c r="AI58">
        <v>0.53600000000000003</v>
      </c>
    </row>
    <row r="59" spans="1:35" x14ac:dyDescent="0.25">
      <c r="A59">
        <v>54</v>
      </c>
      <c r="C59" s="11">
        <v>5.5960416793823242E-2</v>
      </c>
      <c r="D59" s="11">
        <v>8.8215619325637817E-3</v>
      </c>
      <c r="E59" s="11">
        <v>0.27286215085904625</v>
      </c>
      <c r="F59" s="11">
        <v>0.17771822083470293</v>
      </c>
      <c r="G59" s="11">
        <v>7.7355027198791504E-2</v>
      </c>
      <c r="H59" s="40">
        <v>4.0485240645556921E-4</v>
      </c>
      <c r="I59" s="40">
        <v>1.3702589234685818</v>
      </c>
      <c r="J59" s="59">
        <v>0</v>
      </c>
      <c r="K59" s="59">
        <v>6267.1070918440819</v>
      </c>
      <c r="L59" s="59">
        <v>0</v>
      </c>
      <c r="M59" s="11">
        <v>0.85248845815658569</v>
      </c>
      <c r="N59" s="11">
        <v>0.7796512246131897</v>
      </c>
      <c r="O59" s="11">
        <v>0.29061177372932434</v>
      </c>
      <c r="Q59" s="59">
        <v>14.178451591807059</v>
      </c>
      <c r="R59" s="78">
        <v>506.66497865673551</v>
      </c>
      <c r="S59" s="78">
        <v>14.205173542988245</v>
      </c>
      <c r="T59" s="78">
        <v>610.00473188888168</v>
      </c>
      <c r="U59" s="59">
        <v>14.208711070575838</v>
      </c>
      <c r="V59" s="78">
        <v>808.21632382676387</v>
      </c>
      <c r="X59" s="134">
        <f t="shared" si="6"/>
        <v>1417338.4942020492</v>
      </c>
      <c r="Y59" s="134">
        <f t="shared" si="7"/>
        <v>1419907.3495669356</v>
      </c>
      <c r="Z59" s="134">
        <f t="shared" si="8"/>
        <v>1420062.8907337571</v>
      </c>
      <c r="AB59" s="127">
        <f t="shared" si="9"/>
        <v>0</v>
      </c>
      <c r="AC59" s="127">
        <f t="shared" si="10"/>
        <v>0</v>
      </c>
      <c r="AD59" s="127">
        <f t="shared" si="11"/>
        <v>1</v>
      </c>
      <c r="AF59">
        <v>80000</v>
      </c>
      <c r="AG59">
        <v>1E-3</v>
      </c>
      <c r="AH59">
        <v>0.45600000000000002</v>
      </c>
      <c r="AI59">
        <v>0.54300000000000004</v>
      </c>
    </row>
    <row r="60" spans="1:35" x14ac:dyDescent="0.25">
      <c r="A60">
        <v>55</v>
      </c>
      <c r="C60" s="11">
        <v>2.3403763771057129E-3</v>
      </c>
      <c r="D60" s="11">
        <v>6.2628746032714844E-2</v>
      </c>
      <c r="E60" s="11">
        <v>0.43438175526905282</v>
      </c>
      <c r="F60" s="11">
        <v>0.36732263160016176</v>
      </c>
      <c r="G60" s="11">
        <v>2.8831422328948975E-2</v>
      </c>
      <c r="H60" s="40">
        <v>4.6756041705322323E-4</v>
      </c>
      <c r="I60" s="40">
        <v>1.4221996351993065</v>
      </c>
      <c r="J60" s="59">
        <v>0</v>
      </c>
      <c r="K60" s="59">
        <v>6521.148607134819</v>
      </c>
      <c r="L60" s="59">
        <v>0</v>
      </c>
      <c r="M60" s="11">
        <v>0.87450265884399414</v>
      </c>
      <c r="N60" s="11">
        <v>0.74215543270111084</v>
      </c>
      <c r="O60" s="11">
        <v>0.29097795486450195</v>
      </c>
      <c r="Q60" s="59">
        <v>15.33267800892663</v>
      </c>
      <c r="R60" s="78">
        <v>524.07060767313487</v>
      </c>
      <c r="S60" s="78">
        <v>15.3764389305053</v>
      </c>
      <c r="T60" s="78">
        <v>636.04226145712948</v>
      </c>
      <c r="U60" s="59">
        <v>15.38169006579515</v>
      </c>
      <c r="V60" s="78">
        <v>836.29104432133704</v>
      </c>
      <c r="X60" s="134">
        <f t="shared" si="6"/>
        <v>1532743.7302849898</v>
      </c>
      <c r="Y60" s="134">
        <f t="shared" si="7"/>
        <v>1537007.8507890729</v>
      </c>
      <c r="Z60" s="134">
        <f t="shared" si="8"/>
        <v>1537332.7155351937</v>
      </c>
      <c r="AB60" s="127">
        <f t="shared" si="9"/>
        <v>0</v>
      </c>
      <c r="AC60" s="127">
        <f t="shared" si="10"/>
        <v>0</v>
      </c>
      <c r="AD60" s="127">
        <f t="shared" si="11"/>
        <v>1</v>
      </c>
      <c r="AF60">
        <v>85000</v>
      </c>
      <c r="AG60">
        <v>1E-3</v>
      </c>
      <c r="AH60">
        <v>0.44900000000000001</v>
      </c>
      <c r="AI60">
        <v>0.55000000000000004</v>
      </c>
    </row>
    <row r="61" spans="1:35" x14ac:dyDescent="0.25">
      <c r="A61">
        <v>56</v>
      </c>
      <c r="C61" s="11">
        <v>3.5634994506835938E-2</v>
      </c>
      <c r="D61" s="11">
        <v>2.7544587850570679E-2</v>
      </c>
      <c r="E61" s="11">
        <v>0.25846440773240253</v>
      </c>
      <c r="F61" s="11">
        <v>8.0805491301684282E-2</v>
      </c>
      <c r="G61" s="11">
        <v>5.4788708686828613E-2</v>
      </c>
      <c r="H61" s="40">
        <v>5.0068680231326018E-4</v>
      </c>
      <c r="I61" s="40">
        <v>1.4908711837901321</v>
      </c>
      <c r="J61" s="59">
        <v>0</v>
      </c>
      <c r="K61" s="59">
        <v>5072.1666775643826</v>
      </c>
      <c r="L61" s="59">
        <v>0</v>
      </c>
      <c r="M61" s="11">
        <v>0.84876322746276855</v>
      </c>
      <c r="N61" s="11">
        <v>0.8186643123626709</v>
      </c>
      <c r="O61" s="11">
        <v>0.30150812864303589</v>
      </c>
      <c r="Q61" s="59">
        <v>14.40340947838367</v>
      </c>
      <c r="R61" s="78">
        <v>539.88869656739598</v>
      </c>
      <c r="S61" s="78">
        <v>14.443562921427747</v>
      </c>
      <c r="T61" s="78">
        <v>617.3371126233036</v>
      </c>
      <c r="U61" s="59">
        <v>14.453428915895621</v>
      </c>
      <c r="V61" s="78">
        <v>800.03371369312458</v>
      </c>
      <c r="X61" s="134">
        <f t="shared" si="6"/>
        <v>1439801.0591417996</v>
      </c>
      <c r="Y61" s="134">
        <f t="shared" si="7"/>
        <v>1443738.9550301514</v>
      </c>
      <c r="Z61" s="134">
        <f t="shared" si="8"/>
        <v>1444542.8578758691</v>
      </c>
      <c r="AB61" s="127">
        <f t="shared" si="9"/>
        <v>0</v>
      </c>
      <c r="AC61" s="127">
        <f t="shared" si="10"/>
        <v>0</v>
      </c>
      <c r="AD61" s="127">
        <f t="shared" si="11"/>
        <v>1</v>
      </c>
      <c r="AF61">
        <v>90000</v>
      </c>
      <c r="AG61">
        <v>1E-3</v>
      </c>
      <c r="AH61">
        <v>0.441</v>
      </c>
      <c r="AI61">
        <v>0.55800000000000005</v>
      </c>
    </row>
    <row r="62" spans="1:35" x14ac:dyDescent="0.25">
      <c r="A62">
        <v>57</v>
      </c>
      <c r="C62" s="11">
        <v>3.897547721862793E-3</v>
      </c>
      <c r="D62" s="11">
        <v>4.3704986572265625E-2</v>
      </c>
      <c r="E62" s="11">
        <v>0.17465419285520425</v>
      </c>
      <c r="F62" s="11">
        <v>0.31137832157341239</v>
      </c>
      <c r="G62" s="11">
        <v>7.3904991149902344E-3</v>
      </c>
      <c r="H62" s="40">
        <v>5.8046003839238029E-4</v>
      </c>
      <c r="I62" s="40">
        <v>1.4674681972846697</v>
      </c>
      <c r="J62" s="59">
        <v>0</v>
      </c>
      <c r="K62" s="59">
        <v>6336.1017964780331</v>
      </c>
      <c r="L62" s="59">
        <v>0</v>
      </c>
      <c r="M62" s="11">
        <v>0.85504850745201111</v>
      </c>
      <c r="N62" s="11">
        <v>0.71298032999038696</v>
      </c>
      <c r="O62" s="11">
        <v>0.33810883760452271</v>
      </c>
      <c r="Q62" s="59">
        <v>14.946883467843568</v>
      </c>
      <c r="R62" s="78">
        <v>551.324919300994</v>
      </c>
      <c r="S62" s="78">
        <v>15.026932646333663</v>
      </c>
      <c r="T62" s="78">
        <v>607.05402547563926</v>
      </c>
      <c r="U62" s="59">
        <v>15.013416244834978</v>
      </c>
      <c r="V62" s="78">
        <v>837.84248003953303</v>
      </c>
      <c r="X62" s="134">
        <f t="shared" si="6"/>
        <v>1494137.0218650557</v>
      </c>
      <c r="Y62" s="134">
        <f t="shared" si="7"/>
        <v>1502086.2106078905</v>
      </c>
      <c r="Z62" s="134">
        <f t="shared" si="8"/>
        <v>1500503.7820034584</v>
      </c>
      <c r="AB62" s="127">
        <f t="shared" si="9"/>
        <v>0</v>
      </c>
      <c r="AC62" s="127">
        <f t="shared" si="10"/>
        <v>1</v>
      </c>
      <c r="AD62" s="127">
        <f t="shared" si="11"/>
        <v>0</v>
      </c>
      <c r="AF62">
        <v>95000</v>
      </c>
      <c r="AG62">
        <v>1E-3</v>
      </c>
      <c r="AH62">
        <v>0.42699999999999999</v>
      </c>
      <c r="AI62">
        <v>0.57199999999999995</v>
      </c>
    </row>
    <row r="63" spans="1:35" x14ac:dyDescent="0.25">
      <c r="A63">
        <v>58</v>
      </c>
      <c r="C63" s="11">
        <v>4.5879960060119629E-2</v>
      </c>
      <c r="D63" s="11">
        <v>7.3516845703125E-2</v>
      </c>
      <c r="E63" s="11">
        <v>0.40871468237805036</v>
      </c>
      <c r="F63" s="11">
        <v>0.15188374408542321</v>
      </c>
      <c r="G63" s="11">
        <v>6.5024971961975098E-2</v>
      </c>
      <c r="H63" s="40">
        <v>3.9040988283672612E-4</v>
      </c>
      <c r="I63" s="40">
        <v>1.4414812139297046</v>
      </c>
      <c r="J63" s="59">
        <v>0</v>
      </c>
      <c r="K63" s="59">
        <v>3218.306228518486</v>
      </c>
      <c r="L63" s="59">
        <v>0</v>
      </c>
      <c r="M63" s="11">
        <v>0.79236173629760742</v>
      </c>
      <c r="N63" s="11">
        <v>0.75419002771377563</v>
      </c>
      <c r="O63" s="11">
        <v>0.30451151728630066</v>
      </c>
      <c r="Q63" s="59">
        <v>13.304778207668633</v>
      </c>
      <c r="R63" s="78">
        <v>457.89491821975332</v>
      </c>
      <c r="S63" s="78">
        <v>13.333566545435213</v>
      </c>
      <c r="T63" s="78">
        <v>605.34183249102659</v>
      </c>
      <c r="U63" s="59">
        <v>13.346253942915622</v>
      </c>
      <c r="V63" s="78">
        <v>797.82604674251354</v>
      </c>
      <c r="X63" s="134">
        <f t="shared" si="6"/>
        <v>1330019.9258486438</v>
      </c>
      <c r="Y63" s="134">
        <f t="shared" si="7"/>
        <v>1332751.3127110302</v>
      </c>
      <c r="Z63" s="134">
        <f t="shared" si="8"/>
        <v>1333827.5682448198</v>
      </c>
      <c r="AB63" s="127">
        <f t="shared" si="9"/>
        <v>0</v>
      </c>
      <c r="AC63" s="127">
        <f t="shared" si="10"/>
        <v>0</v>
      </c>
      <c r="AD63" s="127">
        <f t="shared" si="11"/>
        <v>1</v>
      </c>
      <c r="AF63">
        <v>100000</v>
      </c>
      <c r="AG63">
        <v>1E-3</v>
      </c>
      <c r="AH63">
        <v>0.41899999999999998</v>
      </c>
      <c r="AI63">
        <v>0.57999999999999996</v>
      </c>
    </row>
    <row r="64" spans="1:35" x14ac:dyDescent="0.25">
      <c r="A64">
        <v>59</v>
      </c>
      <c r="C64" s="11">
        <v>2.8381884098052979E-2</v>
      </c>
      <c r="D64" s="11">
        <v>1.3823643326759338E-2</v>
      </c>
      <c r="E64" s="11">
        <v>0.16008349939844466</v>
      </c>
      <c r="F64" s="11">
        <v>1.9366970793034136E-2</v>
      </c>
      <c r="G64" s="11">
        <v>3.4392476081848145E-2</v>
      </c>
      <c r="H64" s="40">
        <v>6.6294840563667747E-4</v>
      </c>
      <c r="I64" s="40">
        <v>1.2809351940529148</v>
      </c>
      <c r="J64" s="59">
        <v>0</v>
      </c>
      <c r="K64" s="59">
        <v>4306.6334910690784</v>
      </c>
      <c r="L64" s="59">
        <v>0</v>
      </c>
      <c r="M64" s="11">
        <v>0.86511427164077759</v>
      </c>
      <c r="N64" s="11">
        <v>0.76193696260452271</v>
      </c>
      <c r="O64" s="11">
        <v>0.33288997411727905</v>
      </c>
      <c r="Q64" s="59">
        <v>14.79739367526602</v>
      </c>
      <c r="R64" s="78">
        <v>475.81070670387601</v>
      </c>
      <c r="S64" s="78">
        <v>14.83920575846127</v>
      </c>
      <c r="T64" s="78">
        <v>592.25752238584403</v>
      </c>
      <c r="U64" s="59">
        <v>14.84632667912245</v>
      </c>
      <c r="V64" s="78">
        <v>789.60720531178742</v>
      </c>
      <c r="X64" s="134">
        <f t="shared" si="6"/>
        <v>1479263.5568198981</v>
      </c>
      <c r="Y64" s="134">
        <f t="shared" si="7"/>
        <v>1483328.3183237412</v>
      </c>
      <c r="Z64" s="134">
        <f t="shared" si="8"/>
        <v>1483843.0607069333</v>
      </c>
      <c r="AB64" s="127">
        <f t="shared" si="9"/>
        <v>0</v>
      </c>
      <c r="AC64" s="127">
        <f t="shared" si="10"/>
        <v>0</v>
      </c>
      <c r="AD64" s="127">
        <f t="shared" si="11"/>
        <v>1</v>
      </c>
    </row>
    <row r="65" spans="1:30" x14ac:dyDescent="0.25">
      <c r="A65">
        <v>60</v>
      </c>
      <c r="C65" s="11">
        <v>3.1521916389465332E-2</v>
      </c>
      <c r="D65" s="11">
        <v>3.3641606569290161E-2</v>
      </c>
      <c r="E65" s="11">
        <v>0.35825312229000977</v>
      </c>
      <c r="F65" s="11">
        <v>0.29067382608140491</v>
      </c>
      <c r="G65" s="11">
        <v>0.1216278076171875</v>
      </c>
      <c r="H65" s="40">
        <v>5.9835808077348871E-4</v>
      </c>
      <c r="I65" s="40">
        <v>1.3801679496354495</v>
      </c>
      <c r="J65" s="59">
        <v>0</v>
      </c>
      <c r="K65" s="59">
        <v>3158.3895906805992</v>
      </c>
      <c r="L65" s="59">
        <v>0</v>
      </c>
      <c r="M65" s="11">
        <v>0.8162771463394165</v>
      </c>
      <c r="N65" s="11">
        <v>0.68933391571044922</v>
      </c>
      <c r="O65" s="11">
        <v>0.24882245063781738</v>
      </c>
      <c r="Q65" s="59">
        <v>13.875248115264979</v>
      </c>
      <c r="R65" s="78">
        <v>495.4506641338096</v>
      </c>
      <c r="S65" s="78">
        <v>13.931703633399126</v>
      </c>
      <c r="T65" s="78">
        <v>615.75451001643341</v>
      </c>
      <c r="U65" s="59">
        <v>13.93773656394078</v>
      </c>
      <c r="V65" s="78">
        <v>817.85669379375713</v>
      </c>
      <c r="X65" s="134">
        <f t="shared" si="6"/>
        <v>1387029.3608623641</v>
      </c>
      <c r="Y65" s="134">
        <f t="shared" si="7"/>
        <v>1392554.6088298962</v>
      </c>
      <c r="Z65" s="134">
        <f t="shared" si="8"/>
        <v>1392955.7997002841</v>
      </c>
      <c r="AB65" s="127">
        <f t="shared" si="9"/>
        <v>0</v>
      </c>
      <c r="AC65" s="127">
        <f t="shared" si="10"/>
        <v>0</v>
      </c>
      <c r="AD65" s="127">
        <f t="shared" si="11"/>
        <v>1</v>
      </c>
    </row>
    <row r="66" spans="1:30" x14ac:dyDescent="0.25">
      <c r="A66">
        <v>61</v>
      </c>
      <c r="C66" s="11">
        <v>2.8367280960083008E-2</v>
      </c>
      <c r="D66" s="11">
        <v>2.1301761269569397E-2</v>
      </c>
      <c r="E66" s="11">
        <v>0.27956208879056837</v>
      </c>
      <c r="F66" s="11">
        <v>0.17842398205289359</v>
      </c>
      <c r="G66" s="11">
        <v>3.1351059675216675E-2</v>
      </c>
      <c r="H66" s="40">
        <v>3.8239414814158275E-4</v>
      </c>
      <c r="I66" s="40">
        <v>1.4604861595359047</v>
      </c>
      <c r="J66" s="59">
        <v>0</v>
      </c>
      <c r="K66" s="59">
        <v>6822.2545087337494</v>
      </c>
      <c r="L66" s="59">
        <v>0</v>
      </c>
      <c r="M66" s="11">
        <v>0.8291441798210144</v>
      </c>
      <c r="N66" s="11">
        <v>0.71549272537231445</v>
      </c>
      <c r="O66" s="11">
        <v>0.28335422277450562</v>
      </c>
      <c r="Q66" s="59">
        <v>14.176293336266871</v>
      </c>
      <c r="R66" s="78">
        <v>518.13756263197786</v>
      </c>
      <c r="S66" s="78">
        <v>14.214927914710442</v>
      </c>
      <c r="T66" s="78">
        <v>614.10000884771716</v>
      </c>
      <c r="U66" s="59">
        <v>14.220433265319794</v>
      </c>
      <c r="V66" s="78">
        <v>810.4376582053809</v>
      </c>
      <c r="X66" s="134">
        <f t="shared" si="6"/>
        <v>1417111.1960640552</v>
      </c>
      <c r="Y66" s="134">
        <f t="shared" si="7"/>
        <v>1420878.6914621966</v>
      </c>
      <c r="Z66" s="134">
        <f t="shared" si="8"/>
        <v>1421232.8888737741</v>
      </c>
      <c r="AB66" s="127">
        <f t="shared" si="9"/>
        <v>0</v>
      </c>
      <c r="AC66" s="127">
        <f t="shared" si="10"/>
        <v>0</v>
      </c>
      <c r="AD66" s="127">
        <f t="shared" si="11"/>
        <v>1</v>
      </c>
    </row>
    <row r="67" spans="1:30" x14ac:dyDescent="0.25">
      <c r="A67">
        <v>62</v>
      </c>
      <c r="C67" s="11">
        <v>6.3959956169128418E-3</v>
      </c>
      <c r="D67" s="11">
        <v>7.7107548713684082E-3</v>
      </c>
      <c r="E67" s="11">
        <v>0.32851388529742742</v>
      </c>
      <c r="F67" s="11">
        <v>0.25892514052738802</v>
      </c>
      <c r="G67" s="11">
        <v>2.0069599151611328E-2</v>
      </c>
      <c r="H67" s="40">
        <v>4.800551925387013E-4</v>
      </c>
      <c r="I67" s="40">
        <v>1.4335051234983234</v>
      </c>
      <c r="J67" s="59">
        <v>0</v>
      </c>
      <c r="K67" s="59">
        <v>2592.3736393451691</v>
      </c>
      <c r="L67" s="59">
        <v>0</v>
      </c>
      <c r="M67" s="11">
        <v>0.8105391263961792</v>
      </c>
      <c r="N67" s="11">
        <v>0.73695474863052368</v>
      </c>
      <c r="O67" s="11">
        <v>0.29861479997634888</v>
      </c>
      <c r="Q67" s="59">
        <v>14.18081019091044</v>
      </c>
      <c r="R67" s="78">
        <v>446.47066206365264</v>
      </c>
      <c r="S67" s="78">
        <v>14.210572957877151</v>
      </c>
      <c r="T67" s="78">
        <v>596.44907789018771</v>
      </c>
      <c r="U67" s="59">
        <v>14.21370666082645</v>
      </c>
      <c r="V67" s="78">
        <v>801.77036879790614</v>
      </c>
      <c r="X67" s="134">
        <f t="shared" si="6"/>
        <v>1417634.5484289804</v>
      </c>
      <c r="Y67" s="134">
        <f t="shared" si="7"/>
        <v>1420460.8467098249</v>
      </c>
      <c r="Z67" s="134">
        <f t="shared" si="8"/>
        <v>1420568.8957138471</v>
      </c>
      <c r="AB67" s="127">
        <f t="shared" si="9"/>
        <v>0</v>
      </c>
      <c r="AC67" s="127">
        <f t="shared" si="10"/>
        <v>0</v>
      </c>
      <c r="AD67" s="127">
        <f t="shared" si="11"/>
        <v>1</v>
      </c>
    </row>
    <row r="68" spans="1:30" x14ac:dyDescent="0.25">
      <c r="A68">
        <v>63</v>
      </c>
      <c r="C68" s="11">
        <v>2.1560430526733398E-2</v>
      </c>
      <c r="D68" s="11">
        <v>2.7360469102859497E-2</v>
      </c>
      <c r="E68" s="11">
        <v>0.44332532465795604</v>
      </c>
      <c r="F68" s="11">
        <v>0.19986816832665488</v>
      </c>
      <c r="G68" s="11">
        <v>3.4002602100372314E-2</v>
      </c>
      <c r="H68" s="40">
        <v>4.7016989034743791E-4</v>
      </c>
      <c r="I68" s="40">
        <v>1.3152033734248791</v>
      </c>
      <c r="J68" s="59">
        <v>0</v>
      </c>
      <c r="K68" s="59">
        <v>8380.2081644535065</v>
      </c>
      <c r="L68" s="59">
        <v>0</v>
      </c>
      <c r="M68" s="11">
        <v>0.8319585919380188</v>
      </c>
      <c r="N68" s="11">
        <v>0.70790207386016846</v>
      </c>
      <c r="O68" s="11">
        <v>0.28712707757949829</v>
      </c>
      <c r="Q68" s="59">
        <v>14.331790734560512</v>
      </c>
      <c r="R68" s="78">
        <v>519.38650830869744</v>
      </c>
      <c r="S68" s="78">
        <v>14.357654649486051</v>
      </c>
      <c r="T68" s="78">
        <v>634.9482168859073</v>
      </c>
      <c r="U68" s="59">
        <v>14.369086483611675</v>
      </c>
      <c r="V68" s="78">
        <v>813.29543243911326</v>
      </c>
      <c r="X68" s="134">
        <f t="shared" si="6"/>
        <v>1432659.6869477427</v>
      </c>
      <c r="Y68" s="134">
        <f t="shared" si="7"/>
        <v>1435130.5167317193</v>
      </c>
      <c r="Z68" s="134">
        <f t="shared" si="8"/>
        <v>1436095.3529287283</v>
      </c>
      <c r="AB68" s="127">
        <f t="shared" si="9"/>
        <v>0</v>
      </c>
      <c r="AC68" s="127">
        <f t="shared" si="10"/>
        <v>0</v>
      </c>
      <c r="AD68" s="127">
        <f t="shared" si="11"/>
        <v>1</v>
      </c>
    </row>
    <row r="69" spans="1:30" x14ac:dyDescent="0.25">
      <c r="A69">
        <v>64</v>
      </c>
      <c r="C69" s="11">
        <v>6.2700748443603516E-2</v>
      </c>
      <c r="D69" s="11">
        <v>1.106812059879303E-2</v>
      </c>
      <c r="E69" s="11">
        <v>0.16386772877358258</v>
      </c>
      <c r="F69" s="11">
        <v>0.19194022607574771</v>
      </c>
      <c r="G69" s="11">
        <v>4.3261945247650146E-2</v>
      </c>
      <c r="H69" s="40">
        <v>6.7416580483823415E-4</v>
      </c>
      <c r="I69" s="40">
        <v>1.466239802916478</v>
      </c>
      <c r="J69" s="59">
        <v>0</v>
      </c>
      <c r="K69" s="59">
        <v>3654.0674045681953</v>
      </c>
      <c r="L69" s="59">
        <v>0</v>
      </c>
      <c r="M69" s="11">
        <v>0.86765122413635254</v>
      </c>
      <c r="N69" s="11">
        <v>0.76957839727401733</v>
      </c>
      <c r="O69" s="11">
        <v>0.28327137231826782</v>
      </c>
      <c r="Q69" s="59">
        <v>14.278541763239669</v>
      </c>
      <c r="R69" s="78">
        <v>515.15857263460487</v>
      </c>
      <c r="S69" s="78">
        <v>14.350340689603499</v>
      </c>
      <c r="T69" s="78">
        <v>599.32106434897992</v>
      </c>
      <c r="U69" s="59">
        <v>14.347865115952171</v>
      </c>
      <c r="V69" s="78">
        <v>811.78354654844645</v>
      </c>
      <c r="X69" s="134">
        <f t="shared" si="6"/>
        <v>1427339.0177513324</v>
      </c>
      <c r="Y69" s="134">
        <f t="shared" si="7"/>
        <v>1434434.7478960007</v>
      </c>
      <c r="Z69" s="134">
        <f t="shared" si="8"/>
        <v>1433974.7280486687</v>
      </c>
      <c r="AB69" s="127">
        <f t="shared" si="9"/>
        <v>0</v>
      </c>
      <c r="AC69" s="127">
        <f t="shared" si="10"/>
        <v>1</v>
      </c>
      <c r="AD69" s="127">
        <f t="shared" si="11"/>
        <v>0</v>
      </c>
    </row>
    <row r="70" spans="1:30" x14ac:dyDescent="0.25">
      <c r="A70">
        <v>65</v>
      </c>
      <c r="C70" s="11">
        <v>2.5011032819747925E-2</v>
      </c>
      <c r="D70" s="11">
        <v>2.1399646997451782E-2</v>
      </c>
      <c r="E70" s="11">
        <v>0.11393093477963315</v>
      </c>
      <c r="F70" s="11">
        <v>0.133670991138853</v>
      </c>
      <c r="G70" s="11">
        <v>7.036125659942627E-2</v>
      </c>
      <c r="H70" s="40">
        <v>4.5800562950894908E-4</v>
      </c>
      <c r="I70" s="40">
        <v>1.4369659339032508</v>
      </c>
      <c r="J70" s="59">
        <v>0</v>
      </c>
      <c r="K70" s="59">
        <v>4371.67938798666</v>
      </c>
      <c r="L70" s="59">
        <v>0</v>
      </c>
      <c r="M70" s="11">
        <v>0.77263164520263672</v>
      </c>
      <c r="N70" s="11">
        <v>0.7708742618560791</v>
      </c>
      <c r="O70" s="11">
        <v>0.28436064720153809</v>
      </c>
      <c r="Q70" s="59">
        <v>13.27384541036519</v>
      </c>
      <c r="R70" s="78">
        <v>501.12608215101307</v>
      </c>
      <c r="S70" s="78">
        <v>13.302357844781367</v>
      </c>
      <c r="T70" s="78">
        <v>591.38783549697837</v>
      </c>
      <c r="U70" s="59">
        <v>13.301710852169984</v>
      </c>
      <c r="V70" s="78">
        <v>802.52934835042936</v>
      </c>
      <c r="X70" s="134">
        <f t="shared" si="6"/>
        <v>1326883.414954368</v>
      </c>
      <c r="Y70" s="134">
        <f t="shared" si="7"/>
        <v>1329644.3966426398</v>
      </c>
      <c r="Z70" s="134">
        <f t="shared" si="8"/>
        <v>1329368.555868648</v>
      </c>
      <c r="AB70" s="127">
        <f t="shared" si="9"/>
        <v>0</v>
      </c>
      <c r="AC70" s="127">
        <f t="shared" si="10"/>
        <v>1</v>
      </c>
      <c r="AD70" s="127">
        <f t="shared" si="11"/>
        <v>0</v>
      </c>
    </row>
    <row r="71" spans="1:30" x14ac:dyDescent="0.25">
      <c r="A71">
        <v>66</v>
      </c>
      <c r="C71" s="11">
        <v>1.5979498624801636E-2</v>
      </c>
      <c r="D71" s="11">
        <v>1.0131731629371643E-2</v>
      </c>
      <c r="E71" s="11">
        <v>0.4749607047436441</v>
      </c>
      <c r="F71" s="11">
        <v>0.15955483920095323</v>
      </c>
      <c r="G71" s="11">
        <v>2.9676705598831177E-2</v>
      </c>
      <c r="H71" s="40">
        <v>4.5331891997623357E-4</v>
      </c>
      <c r="I71" s="40">
        <v>1.553650237551101</v>
      </c>
      <c r="J71" s="59">
        <v>0</v>
      </c>
      <c r="K71" s="59">
        <v>4926.4857079833746</v>
      </c>
      <c r="L71" s="59">
        <v>0</v>
      </c>
      <c r="M71" s="11">
        <v>0.83474373817443848</v>
      </c>
      <c r="N71" s="11">
        <v>0.74095058441162109</v>
      </c>
      <c r="O71" s="11">
        <v>0.27938932180404663</v>
      </c>
      <c r="Q71" s="59">
        <v>14.435883880935407</v>
      </c>
      <c r="R71" s="78">
        <v>533.25308009041271</v>
      </c>
      <c r="S71" s="78">
        <v>14.473688736392747</v>
      </c>
      <c r="T71" s="78">
        <v>646.03914338391303</v>
      </c>
      <c r="U71" s="59">
        <v>14.49698943317615</v>
      </c>
      <c r="V71" s="78">
        <v>810.70592974189606</v>
      </c>
      <c r="X71" s="134">
        <f t="shared" si="6"/>
        <v>1443055.1350134502</v>
      </c>
      <c r="Y71" s="134">
        <f t="shared" si="7"/>
        <v>1446722.8344958907</v>
      </c>
      <c r="Z71" s="134">
        <f t="shared" si="8"/>
        <v>1448888.237387873</v>
      </c>
      <c r="AB71" s="127">
        <f t="shared" si="9"/>
        <v>0</v>
      </c>
      <c r="AC71" s="127">
        <f t="shared" si="10"/>
        <v>0</v>
      </c>
      <c r="AD71" s="127">
        <f t="shared" si="11"/>
        <v>1</v>
      </c>
    </row>
    <row r="72" spans="1:30" x14ac:dyDescent="0.25">
      <c r="A72">
        <v>67</v>
      </c>
      <c r="C72" s="11">
        <v>1.7272710800170898E-2</v>
      </c>
      <c r="D72" s="11">
        <v>4.1884481906890869E-2</v>
      </c>
      <c r="E72" s="11">
        <v>0.41612054035994406</v>
      </c>
      <c r="F72" s="11">
        <v>0.17649029881606129</v>
      </c>
      <c r="G72" s="11">
        <v>2.5498360395431519E-2</v>
      </c>
      <c r="H72" s="40">
        <v>4.9083848146703676E-4</v>
      </c>
      <c r="I72" s="40">
        <v>1.369001860303195</v>
      </c>
      <c r="J72" s="59">
        <v>0</v>
      </c>
      <c r="K72" s="59">
        <v>4312.4379590153694</v>
      </c>
      <c r="L72" s="59">
        <v>0</v>
      </c>
      <c r="M72" s="11">
        <v>0.7988133430480957</v>
      </c>
      <c r="N72" s="11">
        <v>0.79911291599273682</v>
      </c>
      <c r="O72" s="11">
        <v>0.34128928184509277</v>
      </c>
      <c r="Q72" s="59">
        <v>13.840280385061446</v>
      </c>
      <c r="R72" s="78">
        <v>469.17009364765028</v>
      </c>
      <c r="S72" s="78">
        <v>13.855291796629521</v>
      </c>
      <c r="T72" s="78">
        <v>610.55080511865049</v>
      </c>
      <c r="U72" s="59">
        <v>13.861544988457668</v>
      </c>
      <c r="V72" s="78">
        <v>801.42941946818007</v>
      </c>
      <c r="X72" s="134">
        <f t="shared" si="6"/>
        <v>1383558.868412497</v>
      </c>
      <c r="Y72" s="134">
        <f t="shared" si="7"/>
        <v>1384918.6288578333</v>
      </c>
      <c r="Z72" s="134">
        <f t="shared" si="8"/>
        <v>1385353.0694262986</v>
      </c>
      <c r="AB72" s="127">
        <f t="shared" si="9"/>
        <v>0</v>
      </c>
      <c r="AC72" s="127">
        <f t="shared" si="10"/>
        <v>0</v>
      </c>
      <c r="AD72" s="127">
        <f t="shared" si="11"/>
        <v>1</v>
      </c>
    </row>
    <row r="73" spans="1:30" x14ac:dyDescent="0.25">
      <c r="A73">
        <v>68</v>
      </c>
      <c r="C73" s="11">
        <v>1.9481480121612549E-3</v>
      </c>
      <c r="D73" s="11">
        <v>8.7201297283172607E-3</v>
      </c>
      <c r="E73" s="11">
        <v>0.30203423850674566</v>
      </c>
      <c r="F73" s="11">
        <v>0.1062817355208337</v>
      </c>
      <c r="G73" s="11">
        <v>6.3844799995422363E-2</v>
      </c>
      <c r="H73" s="40">
        <v>4.7713336685713498E-4</v>
      </c>
      <c r="I73" s="40">
        <v>1.36450661339654</v>
      </c>
      <c r="J73" s="59">
        <v>0</v>
      </c>
      <c r="K73" s="59">
        <v>6301.9176013767719</v>
      </c>
      <c r="L73" s="59">
        <v>0</v>
      </c>
      <c r="M73" s="11">
        <v>0.85973134636878967</v>
      </c>
      <c r="N73" s="11">
        <v>0.76966184377670288</v>
      </c>
      <c r="O73" s="11">
        <v>0.33469605445861816</v>
      </c>
      <c r="Q73" s="59">
        <v>15.110287327852339</v>
      </c>
      <c r="R73" s="78">
        <v>524.82934696828318</v>
      </c>
      <c r="S73" s="78">
        <v>15.142277338231617</v>
      </c>
      <c r="T73" s="78">
        <v>618.89276145597819</v>
      </c>
      <c r="U73" s="59">
        <v>15.151380368443833</v>
      </c>
      <c r="V73" s="78">
        <v>802.0754263600154</v>
      </c>
      <c r="X73" s="134">
        <f t="shared" si="6"/>
        <v>1510503.9034382654</v>
      </c>
      <c r="Y73" s="134">
        <f t="shared" si="7"/>
        <v>1513608.8410617057</v>
      </c>
      <c r="Z73" s="134">
        <f t="shared" si="8"/>
        <v>1514335.9614180231</v>
      </c>
      <c r="AB73" s="127">
        <f t="shared" si="9"/>
        <v>0</v>
      </c>
      <c r="AC73" s="127">
        <f t="shared" si="10"/>
        <v>0</v>
      </c>
      <c r="AD73" s="127">
        <f t="shared" si="11"/>
        <v>1</v>
      </c>
    </row>
    <row r="74" spans="1:30" x14ac:dyDescent="0.25">
      <c r="A74">
        <v>69</v>
      </c>
      <c r="C74" s="11">
        <v>7.4228644371032715E-3</v>
      </c>
      <c r="D74" s="11">
        <v>2.8799772262573242E-2</v>
      </c>
      <c r="E74" s="11">
        <v>0.22385218080767122</v>
      </c>
      <c r="F74" s="11">
        <v>0.18188906802914126</v>
      </c>
      <c r="G74" s="11">
        <v>3.969109058380127E-2</v>
      </c>
      <c r="H74" s="40">
        <v>4.6200353468148962E-4</v>
      </c>
      <c r="I74" s="40">
        <v>1.4679816517839659</v>
      </c>
      <c r="J74" s="59">
        <v>0</v>
      </c>
      <c r="K74" s="59">
        <v>6434.7381703555584</v>
      </c>
      <c r="L74" s="59">
        <v>0</v>
      </c>
      <c r="M74" s="11">
        <v>0.80485153198242188</v>
      </c>
      <c r="N74" s="11">
        <v>0.68502545356750488</v>
      </c>
      <c r="O74" s="11">
        <v>0.31730157136917114</v>
      </c>
      <c r="Q74" s="59">
        <v>14.040741858889422</v>
      </c>
      <c r="R74" s="78">
        <v>547.41807471183813</v>
      </c>
      <c r="S74" s="78">
        <v>14.095022718824227</v>
      </c>
      <c r="T74" s="78">
        <v>613.86224584524825</v>
      </c>
      <c r="U74" s="59">
        <v>14.09801124517889</v>
      </c>
      <c r="V74" s="78">
        <v>816.3501548632687</v>
      </c>
      <c r="X74" s="134">
        <f t="shared" si="6"/>
        <v>1403526.7678142304</v>
      </c>
      <c r="Y74" s="134">
        <f t="shared" si="7"/>
        <v>1408888.4096365776</v>
      </c>
      <c r="Z74" s="134">
        <f t="shared" si="8"/>
        <v>1408984.7743630258</v>
      </c>
      <c r="AB74" s="127">
        <f t="shared" si="9"/>
        <v>0</v>
      </c>
      <c r="AC74" s="127">
        <f t="shared" si="10"/>
        <v>0</v>
      </c>
      <c r="AD74" s="127">
        <f t="shared" si="11"/>
        <v>1</v>
      </c>
    </row>
    <row r="75" spans="1:30" x14ac:dyDescent="0.25">
      <c r="A75">
        <v>70</v>
      </c>
      <c r="C75" s="11">
        <v>7.40775465965271E-3</v>
      </c>
      <c r="D75" s="11">
        <v>5.0521045923233032E-3</v>
      </c>
      <c r="E75" s="11">
        <v>0.212294120325596</v>
      </c>
      <c r="F75" s="11">
        <v>0.1379775594591639</v>
      </c>
      <c r="G75" s="11">
        <v>5.4114162921905518E-2</v>
      </c>
      <c r="H75" s="40">
        <v>4.6773943346741908E-4</v>
      </c>
      <c r="I75" s="40">
        <v>1.4163167576073006</v>
      </c>
      <c r="J75" s="59">
        <v>0</v>
      </c>
      <c r="K75" s="59">
        <v>5557.7745661139488</v>
      </c>
      <c r="L75" s="59">
        <v>0</v>
      </c>
      <c r="M75" s="11">
        <v>0.83911669254302979</v>
      </c>
      <c r="N75" s="11">
        <v>0.75483983755111694</v>
      </c>
      <c r="O75" s="11">
        <v>0.26521170139312744</v>
      </c>
      <c r="Q75" s="59">
        <v>14.661394646397749</v>
      </c>
      <c r="R75" s="78">
        <v>519.01241269989134</v>
      </c>
      <c r="S75" s="78">
        <v>14.701096913784941</v>
      </c>
      <c r="T75" s="78">
        <v>605.87865126899908</v>
      </c>
      <c r="U75" s="59">
        <v>14.704905781706383</v>
      </c>
      <c r="V75" s="78">
        <v>805.49047138671085</v>
      </c>
      <c r="X75" s="134">
        <f t="shared" si="6"/>
        <v>1465620.4522270751</v>
      </c>
      <c r="Y75" s="134">
        <f t="shared" si="7"/>
        <v>1469503.812727225</v>
      </c>
      <c r="Z75" s="134">
        <f t="shared" si="8"/>
        <v>1469685.0876992515</v>
      </c>
      <c r="AB75" s="127">
        <f t="shared" si="9"/>
        <v>0</v>
      </c>
      <c r="AC75" s="127">
        <f t="shared" si="10"/>
        <v>0</v>
      </c>
      <c r="AD75" s="127">
        <f t="shared" si="11"/>
        <v>1</v>
      </c>
    </row>
    <row r="76" spans="1:30" x14ac:dyDescent="0.25">
      <c r="A76">
        <v>71</v>
      </c>
      <c r="C76" s="11">
        <v>2.7364075183868408E-2</v>
      </c>
      <c r="D76" s="11">
        <v>1.1333853006362915E-2</v>
      </c>
      <c r="E76" s="11">
        <v>0.19650791722752015</v>
      </c>
      <c r="F76" s="11">
        <v>0.16068688970923517</v>
      </c>
      <c r="G76" s="11">
        <v>4.9329936504364014E-2</v>
      </c>
      <c r="H76" s="40">
        <v>3.9795643207483423E-4</v>
      </c>
      <c r="I76" s="40">
        <v>1.4922966622223202</v>
      </c>
      <c r="J76" s="59">
        <v>0</v>
      </c>
      <c r="K76" s="59">
        <v>3313.1055533885956</v>
      </c>
      <c r="L76" s="59">
        <v>0</v>
      </c>
      <c r="M76" s="11">
        <v>0.84578144550323486</v>
      </c>
      <c r="N76" s="11">
        <v>0.75068271160125732</v>
      </c>
      <c r="O76" s="11">
        <v>0.25372481346130371</v>
      </c>
      <c r="Q76" s="59">
        <v>14.472419140752043</v>
      </c>
      <c r="R76" s="78">
        <v>469.54650855216016</v>
      </c>
      <c r="S76" s="78">
        <v>14.519064177245939</v>
      </c>
      <c r="T76" s="78">
        <v>594.06140860853952</v>
      </c>
      <c r="U76" s="59">
        <v>14.521181524703282</v>
      </c>
      <c r="V76" s="78">
        <v>800.32387942426897</v>
      </c>
      <c r="X76" s="134">
        <f t="shared" si="6"/>
        <v>1446772.3675666521</v>
      </c>
      <c r="Y76" s="134">
        <f t="shared" si="7"/>
        <v>1451312.3563159856</v>
      </c>
      <c r="Z76" s="134">
        <f t="shared" si="8"/>
        <v>1451317.8285909039</v>
      </c>
      <c r="AB76" s="127">
        <f t="shared" si="9"/>
        <v>0</v>
      </c>
      <c r="AC76" s="127">
        <f t="shared" si="10"/>
        <v>0</v>
      </c>
      <c r="AD76" s="127">
        <f t="shared" si="11"/>
        <v>1</v>
      </c>
    </row>
    <row r="77" spans="1:30" x14ac:dyDescent="0.25">
      <c r="A77">
        <v>72</v>
      </c>
      <c r="C77" s="11">
        <v>3.6885201930999756E-2</v>
      </c>
      <c r="D77" s="11">
        <v>1.1361211538314819E-2</v>
      </c>
      <c r="E77" s="11">
        <v>0.2997552586454052</v>
      </c>
      <c r="F77" s="11">
        <v>0.18980640326227818</v>
      </c>
      <c r="G77" s="11">
        <v>3.7050932645797729E-2</v>
      </c>
      <c r="H77" s="40">
        <v>3.2705717359274875E-4</v>
      </c>
      <c r="I77" s="40">
        <v>1.5726887710460167</v>
      </c>
      <c r="J77" s="59">
        <v>0</v>
      </c>
      <c r="K77" s="59">
        <v>5570.1029486954212</v>
      </c>
      <c r="L77" s="59">
        <v>0</v>
      </c>
      <c r="M77" s="11">
        <v>0.86991333961486816</v>
      </c>
      <c r="N77" s="11">
        <v>0.79158627986907959</v>
      </c>
      <c r="O77" s="11">
        <v>0.29609403014183044</v>
      </c>
      <c r="Q77" s="59">
        <v>14.746102683334863</v>
      </c>
      <c r="R77" s="78">
        <v>516.97183708899593</v>
      </c>
      <c r="S77" s="78">
        <v>14.782885270125357</v>
      </c>
      <c r="T77" s="78">
        <v>616.3760713466653</v>
      </c>
      <c r="U77" s="59">
        <v>14.788773469454245</v>
      </c>
      <c r="V77" s="78">
        <v>811.71865788442983</v>
      </c>
      <c r="X77" s="134">
        <f t="shared" si="6"/>
        <v>1474093.2964963973</v>
      </c>
      <c r="Y77" s="134">
        <f t="shared" si="7"/>
        <v>1477672.1509411889</v>
      </c>
      <c r="Z77" s="134">
        <f t="shared" si="8"/>
        <v>1478065.6282875401</v>
      </c>
      <c r="AB77" s="127">
        <f t="shared" si="9"/>
        <v>0</v>
      </c>
      <c r="AC77" s="127">
        <f t="shared" si="10"/>
        <v>0</v>
      </c>
      <c r="AD77" s="127">
        <f t="shared" si="11"/>
        <v>1</v>
      </c>
    </row>
    <row r="78" spans="1:30" x14ac:dyDescent="0.25">
      <c r="A78">
        <v>73</v>
      </c>
      <c r="C78" s="11">
        <v>1.6186833381652832E-3</v>
      </c>
      <c r="D78" s="11">
        <v>1.6726955771446228E-2</v>
      </c>
      <c r="E78" s="11">
        <v>0.16180917258521188</v>
      </c>
      <c r="F78" s="11">
        <v>0.30758443406080416</v>
      </c>
      <c r="G78" s="11">
        <v>4.8947334289550781E-2</v>
      </c>
      <c r="H78" s="40">
        <v>5.0293617051874924E-4</v>
      </c>
      <c r="I78" s="40">
        <v>1.4423992297603745</v>
      </c>
      <c r="J78" s="59">
        <v>0</v>
      </c>
      <c r="K78" s="59">
        <v>5985.8988970518112</v>
      </c>
      <c r="L78" s="59">
        <v>0</v>
      </c>
      <c r="M78" s="11">
        <v>0.86276593804359436</v>
      </c>
      <c r="N78" s="11">
        <v>0.68987441062927246</v>
      </c>
      <c r="O78" s="11">
        <v>0.29683879017829895</v>
      </c>
      <c r="Q78" s="59">
        <v>15.124804185685571</v>
      </c>
      <c r="R78" s="78">
        <v>546.28179004207004</v>
      </c>
      <c r="S78" s="78">
        <v>15.200022847604242</v>
      </c>
      <c r="T78" s="78">
        <v>604.03772430381707</v>
      </c>
      <c r="U78" s="59">
        <v>15.186741560205448</v>
      </c>
      <c r="V78" s="78">
        <v>835.46150794473363</v>
      </c>
      <c r="X78" s="134">
        <f t="shared" si="6"/>
        <v>1511934.1367785151</v>
      </c>
      <c r="Y78" s="134">
        <f t="shared" si="7"/>
        <v>1519398.2470361204</v>
      </c>
      <c r="Z78" s="134">
        <f t="shared" si="8"/>
        <v>1517838.6945126001</v>
      </c>
      <c r="AB78" s="127">
        <f t="shared" si="9"/>
        <v>0</v>
      </c>
      <c r="AC78" s="127">
        <f t="shared" si="10"/>
        <v>1</v>
      </c>
      <c r="AD78" s="127">
        <f t="shared" si="11"/>
        <v>0</v>
      </c>
    </row>
    <row r="79" spans="1:30" x14ac:dyDescent="0.25">
      <c r="A79">
        <v>74</v>
      </c>
      <c r="C79" s="11">
        <v>1.0326340794563293E-2</v>
      </c>
      <c r="D79" s="11">
        <v>4.846954345703125E-2</v>
      </c>
      <c r="E79" s="11">
        <v>0.37795123432421712</v>
      </c>
      <c r="F79" s="11">
        <v>0.33724985533939189</v>
      </c>
      <c r="G79" s="11">
        <v>3.4639418125152588E-2</v>
      </c>
      <c r="H79" s="40">
        <v>3.7948705843184185E-4</v>
      </c>
      <c r="I79" s="40">
        <v>1.5878249697932076</v>
      </c>
      <c r="J79" s="59">
        <v>0</v>
      </c>
      <c r="K79" s="59">
        <v>4434.0686872601509</v>
      </c>
      <c r="L79" s="59">
        <v>0</v>
      </c>
      <c r="M79" s="11">
        <v>0.84023839235305786</v>
      </c>
      <c r="N79" s="11">
        <v>0.74374163150787354</v>
      </c>
      <c r="O79" s="11">
        <v>0.29996007680892944</v>
      </c>
      <c r="Q79" s="59">
        <v>14.604913096414116</v>
      </c>
      <c r="R79" s="78">
        <v>512.96361034755</v>
      </c>
      <c r="S79" s="78">
        <v>14.656261754353578</v>
      </c>
      <c r="T79" s="78">
        <v>624.64589759450394</v>
      </c>
      <c r="U79" s="59">
        <v>14.659684904139883</v>
      </c>
      <c r="V79" s="78">
        <v>828.77083847533811</v>
      </c>
      <c r="X79" s="134">
        <f t="shared" si="6"/>
        <v>1459978.3460310639</v>
      </c>
      <c r="Y79" s="134">
        <f t="shared" si="7"/>
        <v>1465001.5295377632</v>
      </c>
      <c r="Z79" s="134">
        <f t="shared" si="8"/>
        <v>1465139.7195755129</v>
      </c>
      <c r="AB79" s="127">
        <f t="shared" si="9"/>
        <v>0</v>
      </c>
      <c r="AC79" s="127">
        <f t="shared" si="10"/>
        <v>0</v>
      </c>
      <c r="AD79" s="127">
        <f t="shared" si="11"/>
        <v>1</v>
      </c>
    </row>
    <row r="80" spans="1:30" x14ac:dyDescent="0.25">
      <c r="A80">
        <v>75</v>
      </c>
      <c r="C80" s="11">
        <v>4.5888572931289673E-3</v>
      </c>
      <c r="D80" s="11">
        <v>1.0788723826408386E-2</v>
      </c>
      <c r="E80" s="11">
        <v>0.20158603687398122</v>
      </c>
      <c r="F80" s="11">
        <v>0.14619410018940288</v>
      </c>
      <c r="G80" s="11">
        <v>3.3457040786743164E-2</v>
      </c>
      <c r="H80" s="40">
        <v>5.197638914892351E-4</v>
      </c>
      <c r="I80" s="40">
        <v>1.4559100920107604</v>
      </c>
      <c r="J80" s="59">
        <v>0</v>
      </c>
      <c r="K80" s="59">
        <v>5825.7905766367912</v>
      </c>
      <c r="L80" s="59">
        <v>0</v>
      </c>
      <c r="M80" s="11">
        <v>0.82858610153198242</v>
      </c>
      <c r="N80" s="11">
        <v>0.72738856077194214</v>
      </c>
      <c r="O80" s="11">
        <v>0.28995782136917114</v>
      </c>
      <c r="Q80" s="59">
        <v>14.502788710535453</v>
      </c>
      <c r="R80" s="78">
        <v>540.87293396529549</v>
      </c>
      <c r="S80" s="78">
        <v>14.555098275557661</v>
      </c>
      <c r="T80" s="78">
        <v>609.10703494919471</v>
      </c>
      <c r="U80" s="59">
        <v>14.558804077409746</v>
      </c>
      <c r="V80" s="78">
        <v>809.85975856446112</v>
      </c>
      <c r="X80" s="134">
        <f t="shared" si="6"/>
        <v>1449737.9981195799</v>
      </c>
      <c r="Y80" s="134">
        <f t="shared" si="7"/>
        <v>1454900.720520817</v>
      </c>
      <c r="Z80" s="134">
        <f t="shared" si="8"/>
        <v>1455070.5479824101</v>
      </c>
      <c r="AB80" s="127">
        <f t="shared" si="9"/>
        <v>0</v>
      </c>
      <c r="AC80" s="127">
        <f t="shared" si="10"/>
        <v>0</v>
      </c>
      <c r="AD80" s="127">
        <f t="shared" si="11"/>
        <v>1</v>
      </c>
    </row>
    <row r="81" spans="1:30" x14ac:dyDescent="0.25">
      <c r="A81">
        <v>76</v>
      </c>
      <c r="C81" s="11">
        <v>9.8886787891387939E-3</v>
      </c>
      <c r="D81" s="11">
        <v>2.486187219619751E-2</v>
      </c>
      <c r="E81" s="11">
        <v>0.43603425415870506</v>
      </c>
      <c r="F81" s="11">
        <v>0.10071339124927406</v>
      </c>
      <c r="G81" s="11">
        <v>4.7013163566589355E-2</v>
      </c>
      <c r="H81" s="40">
        <v>4.994247417189914E-4</v>
      </c>
      <c r="I81" s="40">
        <v>1.4863055833012655</v>
      </c>
      <c r="J81" s="59">
        <v>0</v>
      </c>
      <c r="K81" s="59">
        <v>8509.9600255489349</v>
      </c>
      <c r="L81" s="59">
        <v>0</v>
      </c>
      <c r="M81" s="11">
        <v>0.80724120140075684</v>
      </c>
      <c r="N81" s="11">
        <v>0.8220975399017334</v>
      </c>
      <c r="O81" s="11">
        <v>0.31411951780319214</v>
      </c>
      <c r="Q81" s="59">
        <v>14.084800817786268</v>
      </c>
      <c r="R81" s="78">
        <v>632.87376797874049</v>
      </c>
      <c r="S81" s="78">
        <v>14.103158596176991</v>
      </c>
      <c r="T81" s="78">
        <v>684.46045473868151</v>
      </c>
      <c r="U81" s="59">
        <v>14.114360231876981</v>
      </c>
      <c r="V81" s="78">
        <v>812.54119075967458</v>
      </c>
      <c r="X81" s="134">
        <f t="shared" si="6"/>
        <v>1407847.2080106481</v>
      </c>
      <c r="Y81" s="134">
        <f t="shared" si="7"/>
        <v>1409631.3991629605</v>
      </c>
      <c r="Z81" s="134">
        <f t="shared" si="8"/>
        <v>1410623.4819969384</v>
      </c>
      <c r="AB81" s="127">
        <f t="shared" si="9"/>
        <v>0</v>
      </c>
      <c r="AC81" s="127">
        <f t="shared" si="10"/>
        <v>0</v>
      </c>
      <c r="AD81" s="127">
        <f t="shared" si="11"/>
        <v>1</v>
      </c>
    </row>
    <row r="82" spans="1:30" x14ac:dyDescent="0.25">
      <c r="A82">
        <v>77</v>
      </c>
      <c r="C82" s="11">
        <v>1.3928830623626709E-2</v>
      </c>
      <c r="D82" s="11">
        <v>1.0802358388900757E-2</v>
      </c>
      <c r="E82" s="11">
        <v>0.23479143684417764</v>
      </c>
      <c r="F82" s="11">
        <v>0.22873132983068276</v>
      </c>
      <c r="G82" s="11">
        <v>2.8673887252807617E-2</v>
      </c>
      <c r="H82" s="40">
        <v>3.2317514987246609E-4</v>
      </c>
      <c r="I82" s="40">
        <v>1.3968792592766139</v>
      </c>
      <c r="J82" s="59">
        <v>0</v>
      </c>
      <c r="K82" s="59">
        <v>4446.1502693593502</v>
      </c>
      <c r="L82" s="59">
        <v>0</v>
      </c>
      <c r="M82" s="11">
        <v>0.84480145573616028</v>
      </c>
      <c r="N82" s="11">
        <v>0.74947142601013184</v>
      </c>
      <c r="O82" s="11">
        <v>0.28103142976760864</v>
      </c>
      <c r="Q82" s="59">
        <v>14.680868987678357</v>
      </c>
      <c r="R82" s="78">
        <v>451.13345474721712</v>
      </c>
      <c r="S82" s="78">
        <v>14.706426668233062</v>
      </c>
      <c r="T82" s="78">
        <v>592.52479207656938</v>
      </c>
      <c r="U82" s="59">
        <v>14.706631032930726</v>
      </c>
      <c r="V82" s="78">
        <v>801.1765669099151</v>
      </c>
      <c r="X82" s="134">
        <f t="shared" si="6"/>
        <v>1467635.7653130884</v>
      </c>
      <c r="Y82" s="134">
        <f t="shared" si="7"/>
        <v>1470050.1420312296</v>
      </c>
      <c r="Z82" s="134">
        <f t="shared" si="8"/>
        <v>1469861.9267261627</v>
      </c>
      <c r="AB82" s="127">
        <f t="shared" si="9"/>
        <v>0</v>
      </c>
      <c r="AC82" s="127">
        <f t="shared" si="10"/>
        <v>1</v>
      </c>
      <c r="AD82" s="127">
        <f t="shared" si="11"/>
        <v>0</v>
      </c>
    </row>
    <row r="83" spans="1:30" x14ac:dyDescent="0.25">
      <c r="A83">
        <v>78</v>
      </c>
      <c r="C83" s="11">
        <v>5.3095221519470215E-3</v>
      </c>
      <c r="D83" s="11">
        <v>1.4658033847808838E-2</v>
      </c>
      <c r="E83" s="11">
        <v>0.29140597635110455</v>
      </c>
      <c r="F83" s="11">
        <v>0.1312899494309612</v>
      </c>
      <c r="G83" s="11">
        <v>1.367110013961792E-2</v>
      </c>
      <c r="H83" s="40">
        <v>6.2987197288781268E-4</v>
      </c>
      <c r="I83" s="40">
        <v>1.3485611127355697</v>
      </c>
      <c r="J83" s="59">
        <v>0</v>
      </c>
      <c r="K83" s="59">
        <v>5392.683669924736</v>
      </c>
      <c r="L83" s="59">
        <v>0</v>
      </c>
      <c r="M83" s="11">
        <v>0.79259824752807617</v>
      </c>
      <c r="N83" s="11">
        <v>0.79682362079620361</v>
      </c>
      <c r="O83" s="11">
        <v>0.34088790416717529</v>
      </c>
      <c r="Q83" s="59">
        <v>13.906143198404804</v>
      </c>
      <c r="R83" s="78">
        <v>501.24957760703455</v>
      </c>
      <c r="S83" s="78">
        <v>13.919966906825682</v>
      </c>
      <c r="T83" s="78">
        <v>610.65174395653844</v>
      </c>
      <c r="U83" s="59">
        <v>13.923154866486716</v>
      </c>
      <c r="V83" s="78">
        <v>802.30151302610352</v>
      </c>
      <c r="X83" s="134">
        <f t="shared" si="6"/>
        <v>1390113.0702628733</v>
      </c>
      <c r="Y83" s="134">
        <f t="shared" si="7"/>
        <v>1391386.0389386115</v>
      </c>
      <c r="Z83" s="134">
        <f t="shared" si="8"/>
        <v>1391513.1851356456</v>
      </c>
      <c r="AB83" s="127">
        <f t="shared" si="9"/>
        <v>0</v>
      </c>
      <c r="AC83" s="127">
        <f t="shared" si="10"/>
        <v>0</v>
      </c>
      <c r="AD83" s="127">
        <f t="shared" si="11"/>
        <v>1</v>
      </c>
    </row>
    <row r="84" spans="1:30" x14ac:dyDescent="0.25">
      <c r="A84">
        <v>79</v>
      </c>
      <c r="C84" s="11">
        <v>3.6626338958740234E-2</v>
      </c>
      <c r="D84" s="11">
        <v>1.4116853475570679E-2</v>
      </c>
      <c r="E84" s="11">
        <v>0.2247546549199608</v>
      </c>
      <c r="F84" s="11">
        <v>0.37348930486580467</v>
      </c>
      <c r="G84" s="11">
        <v>2.0831525325775146E-2</v>
      </c>
      <c r="H84" s="40">
        <v>4.8180744294310434E-4</v>
      </c>
      <c r="I84" s="40">
        <v>1.5027996561764032</v>
      </c>
      <c r="J84" s="59">
        <v>0</v>
      </c>
      <c r="K84" s="59">
        <v>5648.3247317373753</v>
      </c>
      <c r="L84" s="59">
        <v>0</v>
      </c>
      <c r="M84" s="11">
        <v>0.88637125492095947</v>
      </c>
      <c r="N84" s="11">
        <v>0.7204136848449707</v>
      </c>
      <c r="O84" s="11">
        <v>0.32865142822265625</v>
      </c>
      <c r="Q84" s="59">
        <v>14.991621746823988</v>
      </c>
      <c r="R84" s="78">
        <v>530.28919581918228</v>
      </c>
      <c r="S84" s="78">
        <v>15.062078686188739</v>
      </c>
      <c r="T84" s="78">
        <v>610.187836342119</v>
      </c>
      <c r="U84" s="59">
        <v>15.048338268208074</v>
      </c>
      <c r="V84" s="78">
        <v>839.64708803101121</v>
      </c>
      <c r="X84" s="134">
        <f t="shared" ref="X84:X147" si="12">Q84*cRatio-R84</f>
        <v>1498631.8854865795</v>
      </c>
      <c r="Y84" s="134">
        <f t="shared" ref="Y84:Y147" si="13">S84*cRatio-T84</f>
        <v>1505597.6807825319</v>
      </c>
      <c r="Z84" s="134">
        <f t="shared" ref="Z84:Z147" si="14">U84*cRatio-V84</f>
        <v>1503994.1797327762</v>
      </c>
      <c r="AB84" s="127">
        <f t="shared" ref="AB84:AB147" si="15">IF(X84=MAX($X84:$Z84),1,0)</f>
        <v>0</v>
      </c>
      <c r="AC84" s="127">
        <f t="shared" ref="AC84:AC147" si="16">IF(Y84=MAX($X84:$Z84),1,0)</f>
        <v>1</v>
      </c>
      <c r="AD84" s="127">
        <f t="shared" ref="AD84:AD147" si="17">IF(Z84=MAX($X84:$Z84),1,0)</f>
        <v>0</v>
      </c>
    </row>
    <row r="85" spans="1:30" x14ac:dyDescent="0.25">
      <c r="A85">
        <v>80</v>
      </c>
      <c r="C85" s="11">
        <v>1.4091119170188904E-2</v>
      </c>
      <c r="D85" s="11">
        <v>1.6115933656692505E-2</v>
      </c>
      <c r="E85" s="11">
        <v>0.15876007522524407</v>
      </c>
      <c r="F85" s="11">
        <v>0.1951443560572112</v>
      </c>
      <c r="G85" s="11">
        <v>6.2981784343719482E-2</v>
      </c>
      <c r="H85" s="40">
        <v>4.2335190153171406E-4</v>
      </c>
      <c r="I85" s="40">
        <v>1.4259438819965391</v>
      </c>
      <c r="J85" s="59">
        <v>0</v>
      </c>
      <c r="K85" s="59">
        <v>4904.1747115552425</v>
      </c>
      <c r="L85" s="59">
        <v>0</v>
      </c>
      <c r="M85" s="11">
        <v>0.82718336582183838</v>
      </c>
      <c r="N85" s="11">
        <v>0.71996194124221802</v>
      </c>
      <c r="O85" s="11">
        <v>0.29087859392166138</v>
      </c>
      <c r="Q85" s="59">
        <v>14.349943855857306</v>
      </c>
      <c r="R85" s="78">
        <v>499.84373429646894</v>
      </c>
      <c r="S85" s="78">
        <v>14.396239013335979</v>
      </c>
      <c r="T85" s="78">
        <v>596.01730908624972</v>
      </c>
      <c r="U85" s="59">
        <v>14.394207970707553</v>
      </c>
      <c r="V85" s="78">
        <v>808.90581674042949</v>
      </c>
      <c r="X85" s="134">
        <f t="shared" si="12"/>
        <v>1434494.5418514342</v>
      </c>
      <c r="Y85" s="134">
        <f t="shared" si="13"/>
        <v>1439027.8840245118</v>
      </c>
      <c r="Z85" s="134">
        <f t="shared" si="14"/>
        <v>1438611.891254015</v>
      </c>
      <c r="AB85" s="127">
        <f t="shared" si="15"/>
        <v>0</v>
      </c>
      <c r="AC85" s="127">
        <f t="shared" si="16"/>
        <v>1</v>
      </c>
      <c r="AD85" s="127">
        <f t="shared" si="17"/>
        <v>0</v>
      </c>
    </row>
    <row r="86" spans="1:30" x14ac:dyDescent="0.25">
      <c r="A86">
        <v>81</v>
      </c>
      <c r="C86" s="11">
        <v>1.3867840170860291E-2</v>
      </c>
      <c r="D86" s="11">
        <v>3.795158863067627E-2</v>
      </c>
      <c r="E86" s="11">
        <v>0.24987082540156913</v>
      </c>
      <c r="F86" s="11">
        <v>0.1069487044183503</v>
      </c>
      <c r="G86" s="11">
        <v>4.7953486442565918E-2</v>
      </c>
      <c r="H86" s="40">
        <v>4.3771396021064727E-4</v>
      </c>
      <c r="I86" s="40">
        <v>1.3599573115337253</v>
      </c>
      <c r="J86" s="59">
        <v>0</v>
      </c>
      <c r="K86" s="59">
        <v>5236.694123595953</v>
      </c>
      <c r="L86" s="59">
        <v>0</v>
      </c>
      <c r="M86" s="11">
        <v>0.82939660549163818</v>
      </c>
      <c r="N86" s="11">
        <v>0.77421927452087402</v>
      </c>
      <c r="O86" s="11">
        <v>0.3128945529460907</v>
      </c>
      <c r="Q86" s="59">
        <v>14.408222070836848</v>
      </c>
      <c r="R86" s="78">
        <v>483.54210131206275</v>
      </c>
      <c r="S86" s="78">
        <v>14.437162881805925</v>
      </c>
      <c r="T86" s="78">
        <v>601.58487351724568</v>
      </c>
      <c r="U86" s="59">
        <v>14.442749901960454</v>
      </c>
      <c r="V86" s="78">
        <v>797.6840628115591</v>
      </c>
      <c r="X86" s="134">
        <f t="shared" si="12"/>
        <v>1440338.6649823729</v>
      </c>
      <c r="Y86" s="134">
        <f t="shared" si="13"/>
        <v>1443114.7033070752</v>
      </c>
      <c r="Z86" s="134">
        <f t="shared" si="14"/>
        <v>1443477.3061332339</v>
      </c>
      <c r="AB86" s="127">
        <f t="shared" si="15"/>
        <v>0</v>
      </c>
      <c r="AC86" s="127">
        <f t="shared" si="16"/>
        <v>0</v>
      </c>
      <c r="AD86" s="127">
        <f t="shared" si="17"/>
        <v>1</v>
      </c>
    </row>
    <row r="87" spans="1:30" x14ac:dyDescent="0.25">
      <c r="A87">
        <v>82</v>
      </c>
      <c r="C87" s="11">
        <v>1.0505959391593933E-2</v>
      </c>
      <c r="D87" s="11">
        <v>9.244874119758606E-3</v>
      </c>
      <c r="E87" s="11">
        <v>0.37731838094403614</v>
      </c>
      <c r="F87" s="11">
        <v>0.46220916329532319</v>
      </c>
      <c r="G87" s="11">
        <v>1.2198448181152344E-2</v>
      </c>
      <c r="H87" s="40">
        <v>5.6957977984352208E-4</v>
      </c>
      <c r="I87" s="40">
        <v>1.4815128276338665</v>
      </c>
      <c r="J87" s="59">
        <v>0</v>
      </c>
      <c r="K87" s="59">
        <v>6920.4159080982208</v>
      </c>
      <c r="L87" s="59">
        <v>0</v>
      </c>
      <c r="M87" s="11">
        <v>0.87211406230926514</v>
      </c>
      <c r="N87" s="11">
        <v>0.76855075359344482</v>
      </c>
      <c r="O87" s="11">
        <v>0.29401078820228577</v>
      </c>
      <c r="Q87" s="59">
        <v>15.1672341809626</v>
      </c>
      <c r="R87" s="78">
        <v>574.32816038010321</v>
      </c>
      <c r="S87" s="78">
        <v>15.213766057338169</v>
      </c>
      <c r="T87" s="78">
        <v>648.13788361879426</v>
      </c>
      <c r="U87" s="59">
        <v>15.207320609260712</v>
      </c>
      <c r="V87" s="78">
        <v>872.50731937107014</v>
      </c>
      <c r="X87" s="134">
        <f t="shared" si="12"/>
        <v>1516149.0899358799</v>
      </c>
      <c r="Y87" s="134">
        <f t="shared" si="13"/>
        <v>1520728.4678501983</v>
      </c>
      <c r="Z87" s="134">
        <f t="shared" si="14"/>
        <v>1519859.5536067002</v>
      </c>
      <c r="AB87" s="127">
        <f t="shared" si="15"/>
        <v>0</v>
      </c>
      <c r="AC87" s="127">
        <f t="shared" si="16"/>
        <v>1</v>
      </c>
      <c r="AD87" s="127">
        <f t="shared" si="17"/>
        <v>0</v>
      </c>
    </row>
    <row r="88" spans="1:30" x14ac:dyDescent="0.25">
      <c r="A88">
        <v>83</v>
      </c>
      <c r="C88" s="11">
        <v>8.1607699394226074E-3</v>
      </c>
      <c r="D88" s="11">
        <v>1.0520488023757935E-2</v>
      </c>
      <c r="E88" s="11">
        <v>0.39493988998037893</v>
      </c>
      <c r="F88" s="11">
        <v>0.30075712955705852</v>
      </c>
      <c r="G88" s="11">
        <v>1.6566991806030273E-2</v>
      </c>
      <c r="H88" s="40">
        <v>3.3691565827284213E-4</v>
      </c>
      <c r="I88" s="40">
        <v>1.5622882474789481</v>
      </c>
      <c r="J88" s="59">
        <v>0</v>
      </c>
      <c r="K88" s="59">
        <v>4115.8264502882957</v>
      </c>
      <c r="L88" s="59">
        <v>0</v>
      </c>
      <c r="M88" s="11">
        <v>0.81158685684204102</v>
      </c>
      <c r="N88" s="11">
        <v>0.80239689350128174</v>
      </c>
      <c r="O88" s="11">
        <v>0.3192131519317627</v>
      </c>
      <c r="Q88" s="59">
        <v>14.192906928510881</v>
      </c>
      <c r="R88" s="78">
        <v>477.43272940963863</v>
      </c>
      <c r="S88" s="78">
        <v>14.208254383307404</v>
      </c>
      <c r="T88" s="78">
        <v>612.35466623233378</v>
      </c>
      <c r="U88" s="59">
        <v>14.210687482098296</v>
      </c>
      <c r="V88" s="78">
        <v>813.4489593922342</v>
      </c>
      <c r="X88" s="134">
        <f t="shared" si="12"/>
        <v>1418813.2601216787</v>
      </c>
      <c r="Y88" s="134">
        <f t="shared" si="13"/>
        <v>1420213.0836645081</v>
      </c>
      <c r="Z88" s="134">
        <f t="shared" si="14"/>
        <v>1420255.2992504372</v>
      </c>
      <c r="AB88" s="127">
        <f t="shared" si="15"/>
        <v>0</v>
      </c>
      <c r="AC88" s="127">
        <f t="shared" si="16"/>
        <v>0</v>
      </c>
      <c r="AD88" s="127">
        <f t="shared" si="17"/>
        <v>1</v>
      </c>
    </row>
    <row r="89" spans="1:30" x14ac:dyDescent="0.25">
      <c r="A89">
        <v>84</v>
      </c>
      <c r="C89" s="11">
        <v>5.6090652942657471E-3</v>
      </c>
      <c r="D89" s="11">
        <v>3.051447868347168E-2</v>
      </c>
      <c r="E89" s="11">
        <v>0.13551010400559155</v>
      </c>
      <c r="F89" s="11">
        <v>0.29211042586718799</v>
      </c>
      <c r="G89" s="11">
        <v>6.9767951965332031E-2</v>
      </c>
      <c r="H89" s="40">
        <v>4.3265725451033395E-4</v>
      </c>
      <c r="I89" s="40">
        <v>1.4586734919691755</v>
      </c>
      <c r="J89" s="59">
        <v>0</v>
      </c>
      <c r="K89" s="59">
        <v>3913.7573912739754</v>
      </c>
      <c r="L89" s="59">
        <v>0</v>
      </c>
      <c r="M89" s="11">
        <v>0.87639516592025757</v>
      </c>
      <c r="N89" s="11">
        <v>0.76903766393661499</v>
      </c>
      <c r="O89" s="11">
        <v>0.23710393905639648</v>
      </c>
      <c r="Q89" s="59">
        <v>15.319326096650183</v>
      </c>
      <c r="R89" s="78">
        <v>491.75567312370896</v>
      </c>
      <c r="S89" s="78">
        <v>15.383222711914151</v>
      </c>
      <c r="T89" s="78">
        <v>592.4444030505997</v>
      </c>
      <c r="U89" s="59">
        <v>15.371480566433023</v>
      </c>
      <c r="V89" s="78">
        <v>816.90322283546777</v>
      </c>
      <c r="X89" s="134">
        <f t="shared" si="12"/>
        <v>1531440.8539918945</v>
      </c>
      <c r="Y89" s="134">
        <f t="shared" si="13"/>
        <v>1537729.8267883644</v>
      </c>
      <c r="Z89" s="134">
        <f t="shared" si="14"/>
        <v>1536331.1534204669</v>
      </c>
      <c r="AB89" s="127">
        <f t="shared" si="15"/>
        <v>0</v>
      </c>
      <c r="AC89" s="127">
        <f t="shared" si="16"/>
        <v>1</v>
      </c>
      <c r="AD89" s="127">
        <f t="shared" si="17"/>
        <v>0</v>
      </c>
    </row>
    <row r="90" spans="1:30" x14ac:dyDescent="0.25">
      <c r="A90">
        <v>85</v>
      </c>
      <c r="C90" s="11">
        <v>1.8436402082443237E-2</v>
      </c>
      <c r="D90" s="11">
        <v>3.6887109279632568E-2</v>
      </c>
      <c r="E90" s="11">
        <v>0.16792392428229225</v>
      </c>
      <c r="F90" s="11">
        <v>0.11955892399246215</v>
      </c>
      <c r="G90" s="11">
        <v>5.3756594657897949E-2</v>
      </c>
      <c r="H90" s="40">
        <v>4.7039159121092219E-4</v>
      </c>
      <c r="I90" s="40">
        <v>1.4588990276025493</v>
      </c>
      <c r="J90" s="59">
        <v>0</v>
      </c>
      <c r="K90" s="59">
        <v>3584.4976082444191</v>
      </c>
      <c r="L90" s="59">
        <v>0</v>
      </c>
      <c r="M90" s="11">
        <v>0.8792579174041748</v>
      </c>
      <c r="N90" s="11">
        <v>0.65453815460205078</v>
      </c>
      <c r="O90" s="11">
        <v>0.29886597394943237</v>
      </c>
      <c r="Q90" s="59">
        <v>15.134291051315268</v>
      </c>
      <c r="R90" s="78">
        <v>483.38437736692885</v>
      </c>
      <c r="S90" s="78">
        <v>15.225667767257706</v>
      </c>
      <c r="T90" s="78">
        <v>594.24704576007264</v>
      </c>
      <c r="U90" s="59">
        <v>15.231080059557021</v>
      </c>
      <c r="V90" s="78">
        <v>798.86560547844726</v>
      </c>
      <c r="X90" s="134">
        <f t="shared" si="12"/>
        <v>1512945.7207541598</v>
      </c>
      <c r="Y90" s="134">
        <f t="shared" si="13"/>
        <v>1521972.5296800106</v>
      </c>
      <c r="Z90" s="134">
        <f t="shared" si="14"/>
        <v>1522309.1403502238</v>
      </c>
      <c r="AB90" s="127">
        <f t="shared" si="15"/>
        <v>0</v>
      </c>
      <c r="AC90" s="127">
        <f t="shared" si="16"/>
        <v>0</v>
      </c>
      <c r="AD90" s="127">
        <f t="shared" si="17"/>
        <v>1</v>
      </c>
    </row>
    <row r="91" spans="1:30" x14ac:dyDescent="0.25">
      <c r="A91">
        <v>86</v>
      </c>
      <c r="C91" s="11">
        <v>4.1005134582519531E-2</v>
      </c>
      <c r="D91" s="11">
        <v>2.468380331993103E-2</v>
      </c>
      <c r="E91" s="11">
        <v>0.34718764435648219</v>
      </c>
      <c r="F91" s="11">
        <v>0.16541156579635372</v>
      </c>
      <c r="G91" s="11">
        <v>5.5616438388824463E-2</v>
      </c>
      <c r="H91" s="40">
        <v>3.151789150740062E-4</v>
      </c>
      <c r="I91" s="40">
        <v>1.5518182062472057</v>
      </c>
      <c r="J91" s="59">
        <v>0</v>
      </c>
      <c r="K91" s="59">
        <v>2719.2197740077972</v>
      </c>
      <c r="L91" s="59">
        <v>0</v>
      </c>
      <c r="M91" s="11">
        <v>0.87929481267929077</v>
      </c>
      <c r="N91" s="11">
        <v>0.76926141977310181</v>
      </c>
      <c r="O91" s="11">
        <v>0.29456079006195068</v>
      </c>
      <c r="Q91" s="59">
        <v>14.831366433550508</v>
      </c>
      <c r="R91" s="78">
        <v>453.1009158962305</v>
      </c>
      <c r="S91" s="78">
        <v>14.87236175081056</v>
      </c>
      <c r="T91" s="78">
        <v>599.75417418732627</v>
      </c>
      <c r="U91" s="59">
        <v>14.883975970383375</v>
      </c>
      <c r="V91" s="78">
        <v>797.91959267818754</v>
      </c>
      <c r="X91" s="134">
        <f t="shared" si="12"/>
        <v>1482683.5424391546</v>
      </c>
      <c r="Y91" s="134">
        <f t="shared" si="13"/>
        <v>1486636.4209068688</v>
      </c>
      <c r="Z91" s="134">
        <f t="shared" si="14"/>
        <v>1487599.6774456594</v>
      </c>
      <c r="AB91" s="127">
        <f t="shared" si="15"/>
        <v>0</v>
      </c>
      <c r="AC91" s="127">
        <f t="shared" si="16"/>
        <v>0</v>
      </c>
      <c r="AD91" s="127">
        <f t="shared" si="17"/>
        <v>1</v>
      </c>
    </row>
    <row r="92" spans="1:30" x14ac:dyDescent="0.25">
      <c r="A92">
        <v>87</v>
      </c>
      <c r="C92" s="11">
        <v>2.2689014673233032E-2</v>
      </c>
      <c r="D92" s="11">
        <v>6.0277581214904785E-3</v>
      </c>
      <c r="E92" s="11">
        <v>0.2481540066177069</v>
      </c>
      <c r="F92" s="11">
        <v>0.21785915623703361</v>
      </c>
      <c r="G92" s="11">
        <v>7.52716064453125E-2</v>
      </c>
      <c r="H92" s="40">
        <v>4.9618623849782503E-4</v>
      </c>
      <c r="I92" s="40">
        <v>1.3639174377717487</v>
      </c>
      <c r="J92" s="59">
        <v>0</v>
      </c>
      <c r="K92" s="59">
        <v>5438.8330318033695</v>
      </c>
      <c r="L92" s="59">
        <v>0</v>
      </c>
      <c r="M92" s="11">
        <v>0.85182869434356689</v>
      </c>
      <c r="N92" s="11">
        <v>0.75496631860733032</v>
      </c>
      <c r="O92" s="11">
        <v>0.29847979545593262</v>
      </c>
      <c r="Q92" s="59">
        <v>14.654874047021417</v>
      </c>
      <c r="R92" s="78">
        <v>514.64124181250872</v>
      </c>
      <c r="S92" s="78">
        <v>14.69236997464172</v>
      </c>
      <c r="T92" s="78">
        <v>609.25508777216066</v>
      </c>
      <c r="U92" s="59">
        <v>14.693900813635391</v>
      </c>
      <c r="V92" s="78">
        <v>814.57286594151594</v>
      </c>
      <c r="X92" s="134">
        <f t="shared" si="12"/>
        <v>1464972.763460329</v>
      </c>
      <c r="Y92" s="134">
        <f t="shared" si="13"/>
        <v>1468627.7423763997</v>
      </c>
      <c r="Z92" s="134">
        <f t="shared" si="14"/>
        <v>1468575.5084975976</v>
      </c>
      <c r="AB92" s="127">
        <f t="shared" si="15"/>
        <v>0</v>
      </c>
      <c r="AC92" s="127">
        <f t="shared" si="16"/>
        <v>1</v>
      </c>
      <c r="AD92" s="127">
        <f t="shared" si="17"/>
        <v>0</v>
      </c>
    </row>
    <row r="93" spans="1:30" x14ac:dyDescent="0.25">
      <c r="A93">
        <v>88</v>
      </c>
      <c r="C93" s="11">
        <v>1.3253092765808105E-3</v>
      </c>
      <c r="D93" s="11">
        <v>1.4229044318199158E-2</v>
      </c>
      <c r="E93" s="11">
        <v>0.23490290757384805</v>
      </c>
      <c r="F93" s="11">
        <v>7.1385556131140421E-2</v>
      </c>
      <c r="G93" s="11">
        <v>1.7131567001342773E-2</v>
      </c>
      <c r="H93" s="40">
        <v>5.0944099568267303E-4</v>
      </c>
      <c r="I93" s="40">
        <v>1.4735378645546457</v>
      </c>
      <c r="J93" s="59">
        <v>0</v>
      </c>
      <c r="K93" s="59">
        <v>3109.5929443836212</v>
      </c>
      <c r="L93" s="59">
        <v>0</v>
      </c>
      <c r="M93" s="11">
        <v>0.85919275879859924</v>
      </c>
      <c r="N93" s="11">
        <v>0.75557327270507813</v>
      </c>
      <c r="O93" s="11">
        <v>0.32930570840835571</v>
      </c>
      <c r="Q93" s="59">
        <v>15.089123465236373</v>
      </c>
      <c r="R93" s="78">
        <v>467.86460897185071</v>
      </c>
      <c r="S93" s="78">
        <v>15.14021209374982</v>
      </c>
      <c r="T93" s="78">
        <v>596.64906358410019</v>
      </c>
      <c r="U93" s="59">
        <v>15.15139361644011</v>
      </c>
      <c r="V93" s="78">
        <v>793.38317515392248</v>
      </c>
      <c r="X93" s="134">
        <f t="shared" si="12"/>
        <v>1508444.4819146653</v>
      </c>
      <c r="Y93" s="134">
        <f t="shared" si="13"/>
        <v>1513424.5603113978</v>
      </c>
      <c r="Z93" s="134">
        <f t="shared" si="14"/>
        <v>1514345.978468857</v>
      </c>
      <c r="AB93" s="127">
        <f t="shared" si="15"/>
        <v>0</v>
      </c>
      <c r="AC93" s="127">
        <f t="shared" si="16"/>
        <v>0</v>
      </c>
      <c r="AD93" s="127">
        <f t="shared" si="17"/>
        <v>1</v>
      </c>
    </row>
    <row r="94" spans="1:30" x14ac:dyDescent="0.25">
      <c r="A94">
        <v>89</v>
      </c>
      <c r="C94" s="11">
        <v>1.959526538848877E-2</v>
      </c>
      <c r="D94" s="11">
        <v>2.0704030990600586E-2</v>
      </c>
      <c r="E94" s="11">
        <v>0.30897397362896145</v>
      </c>
      <c r="F94" s="11">
        <v>0.11969630135592832</v>
      </c>
      <c r="G94" s="11">
        <v>5.1669567823410034E-2</v>
      </c>
      <c r="H94" s="40">
        <v>6.5583759102792944E-4</v>
      </c>
      <c r="I94" s="40">
        <v>1.3044239615798696</v>
      </c>
      <c r="J94" s="59">
        <v>0</v>
      </c>
      <c r="K94" s="59">
        <v>4095.6703014671803</v>
      </c>
      <c r="L94" s="59">
        <v>0</v>
      </c>
      <c r="M94" s="11">
        <v>0.84469819068908691</v>
      </c>
      <c r="N94" s="11">
        <v>0.7540244460105896</v>
      </c>
      <c r="O94" s="11">
        <v>0.29005485773086548</v>
      </c>
      <c r="Q94" s="59">
        <v>14.572792429280122</v>
      </c>
      <c r="R94" s="78">
        <v>484.56112648018996</v>
      </c>
      <c r="S94" s="78">
        <v>14.610745600607556</v>
      </c>
      <c r="T94" s="78">
        <v>607.27943497191563</v>
      </c>
      <c r="U94" s="59">
        <v>14.621307000653214</v>
      </c>
      <c r="V94" s="78">
        <v>798.98748566260156</v>
      </c>
      <c r="X94" s="134">
        <f t="shared" si="12"/>
        <v>1456794.6818015322</v>
      </c>
      <c r="Y94" s="134">
        <f t="shared" si="13"/>
        <v>1460467.2806257836</v>
      </c>
      <c r="Z94" s="134">
        <f t="shared" si="14"/>
        <v>1461331.712579659</v>
      </c>
      <c r="AB94" s="127">
        <f t="shared" si="15"/>
        <v>0</v>
      </c>
      <c r="AC94" s="127">
        <f t="shared" si="16"/>
        <v>0</v>
      </c>
      <c r="AD94" s="127">
        <f t="shared" si="17"/>
        <v>1</v>
      </c>
    </row>
    <row r="95" spans="1:30" x14ac:dyDescent="0.25">
      <c r="A95">
        <v>90</v>
      </c>
      <c r="C95" s="11">
        <v>4.4104933738708496E-2</v>
      </c>
      <c r="D95" s="11">
        <v>2.0873695611953735E-2</v>
      </c>
      <c r="E95" s="11">
        <v>0.31242348983112678</v>
      </c>
      <c r="F95" s="11">
        <v>0.76503053486508188</v>
      </c>
      <c r="G95" s="11">
        <v>3.9716124534606934E-2</v>
      </c>
      <c r="H95" s="40">
        <v>3.8631195683622312E-4</v>
      </c>
      <c r="I95" s="40">
        <v>1.4156455677074475</v>
      </c>
      <c r="J95" s="59">
        <v>0</v>
      </c>
      <c r="K95" s="59">
        <v>5124.0809261798859</v>
      </c>
      <c r="L95" s="59">
        <v>0</v>
      </c>
      <c r="M95" s="11">
        <v>0.85683655738830566</v>
      </c>
      <c r="N95" s="11">
        <v>0.78876340389251709</v>
      </c>
      <c r="O95" s="11">
        <v>0.33304786682128906</v>
      </c>
      <c r="Q95" s="59">
        <v>14.429956027987348</v>
      </c>
      <c r="R95" s="78">
        <v>479.07100288752594</v>
      </c>
      <c r="S95" s="78">
        <v>14.455490486926163</v>
      </c>
      <c r="T95" s="78">
        <v>605.82581391897111</v>
      </c>
      <c r="U95" s="59">
        <v>14.438619113146807</v>
      </c>
      <c r="V95" s="78">
        <v>853.28797189548982</v>
      </c>
      <c r="X95" s="134">
        <f t="shared" si="12"/>
        <v>1442516.5317958472</v>
      </c>
      <c r="Y95" s="134">
        <f t="shared" si="13"/>
        <v>1444943.2228786971</v>
      </c>
      <c r="Z95" s="134">
        <f t="shared" si="14"/>
        <v>1443008.6233427853</v>
      </c>
      <c r="AB95" s="127">
        <f t="shared" si="15"/>
        <v>0</v>
      </c>
      <c r="AC95" s="127">
        <f t="shared" si="16"/>
        <v>1</v>
      </c>
      <c r="AD95" s="127">
        <f t="shared" si="17"/>
        <v>0</v>
      </c>
    </row>
    <row r="96" spans="1:30" x14ac:dyDescent="0.25">
      <c r="A96">
        <v>91</v>
      </c>
      <c r="C96" s="11">
        <v>4.4016003608703613E-2</v>
      </c>
      <c r="D96" s="11">
        <v>2.6276886463165283E-2</v>
      </c>
      <c r="E96" s="11">
        <v>0.13571970389158641</v>
      </c>
      <c r="F96" s="11">
        <v>0.40602370178232239</v>
      </c>
      <c r="G96" s="11">
        <v>2.3679614067077637E-2</v>
      </c>
      <c r="H96" s="40">
        <v>4.0800679789428182E-4</v>
      </c>
      <c r="I96" s="40">
        <v>1.4025404399068666</v>
      </c>
      <c r="J96" s="59">
        <v>0</v>
      </c>
      <c r="K96" s="59">
        <v>6351.3987697660923</v>
      </c>
      <c r="L96" s="59">
        <v>0</v>
      </c>
      <c r="M96" s="11">
        <v>0.86191809177398682</v>
      </c>
      <c r="N96" s="11">
        <v>0.74892699718475342</v>
      </c>
      <c r="O96" s="11">
        <v>0.29600095748901367</v>
      </c>
      <c r="Q96" s="59">
        <v>14.506050008739233</v>
      </c>
      <c r="R96" s="78">
        <v>492.15283062858083</v>
      </c>
      <c r="S96" s="78">
        <v>14.547776160909789</v>
      </c>
      <c r="T96" s="78">
        <v>592.48180693549853</v>
      </c>
      <c r="U96" s="59">
        <v>14.534603187981157</v>
      </c>
      <c r="V96" s="78">
        <v>828.18130206574267</v>
      </c>
      <c r="X96" s="134">
        <f t="shared" si="12"/>
        <v>1450112.8480432946</v>
      </c>
      <c r="Y96" s="134">
        <f t="shared" si="13"/>
        <v>1454185.1342840435</v>
      </c>
      <c r="Z96" s="134">
        <f t="shared" si="14"/>
        <v>1452632.13749605</v>
      </c>
      <c r="AB96" s="127">
        <f t="shared" si="15"/>
        <v>0</v>
      </c>
      <c r="AC96" s="127">
        <f t="shared" si="16"/>
        <v>1</v>
      </c>
      <c r="AD96" s="127">
        <f t="shared" si="17"/>
        <v>0</v>
      </c>
    </row>
    <row r="97" spans="1:30" x14ac:dyDescent="0.25">
      <c r="A97">
        <v>92</v>
      </c>
      <c r="C97" s="11">
        <v>1.9660055637359619E-2</v>
      </c>
      <c r="D97" s="11">
        <v>1.9256591796875E-2</v>
      </c>
      <c r="E97" s="11">
        <v>0.32476025741097497</v>
      </c>
      <c r="F97" s="11">
        <v>0.14543363879629265</v>
      </c>
      <c r="G97" s="11">
        <v>4.9625813961029053E-2</v>
      </c>
      <c r="H97" s="40">
        <v>4.7998010909111502E-4</v>
      </c>
      <c r="I97" s="40">
        <v>1.4946378623900312</v>
      </c>
      <c r="J97" s="59">
        <v>0</v>
      </c>
      <c r="K97" s="59">
        <v>7695.0807124376297</v>
      </c>
      <c r="L97" s="59">
        <v>0</v>
      </c>
      <c r="M97" s="11">
        <v>0.85185104608535767</v>
      </c>
      <c r="N97" s="11">
        <v>0.69196176528930664</v>
      </c>
      <c r="O97" s="11">
        <v>0.32814955711364746</v>
      </c>
      <c r="Q97" s="59">
        <v>14.658376211175382</v>
      </c>
      <c r="R97" s="78">
        <v>607.69096365837174</v>
      </c>
      <c r="S97" s="78">
        <v>14.720350914013563</v>
      </c>
      <c r="T97" s="78">
        <v>649.42685135658235</v>
      </c>
      <c r="U97" s="59">
        <v>14.737167017706685</v>
      </c>
      <c r="V97" s="78">
        <v>819.66293844333404</v>
      </c>
      <c r="X97" s="134">
        <f t="shared" si="12"/>
        <v>1465229.9301538798</v>
      </c>
      <c r="Y97" s="134">
        <f t="shared" si="13"/>
        <v>1471385.6645499996</v>
      </c>
      <c r="Z97" s="134">
        <f t="shared" si="14"/>
        <v>1472897.0388322254</v>
      </c>
      <c r="AB97" s="127">
        <f t="shared" si="15"/>
        <v>0</v>
      </c>
      <c r="AC97" s="127">
        <f t="shared" si="16"/>
        <v>0</v>
      </c>
      <c r="AD97" s="127">
        <f t="shared" si="17"/>
        <v>1</v>
      </c>
    </row>
    <row r="98" spans="1:30" x14ac:dyDescent="0.25">
      <c r="A98">
        <v>93</v>
      </c>
      <c r="C98" s="11">
        <v>2.8516560792922974E-2</v>
      </c>
      <c r="D98" s="11">
        <v>7.5124204158782959E-3</v>
      </c>
      <c r="E98" s="11">
        <v>0.2931408631196481</v>
      </c>
      <c r="F98" s="11">
        <v>0.20343656245145714</v>
      </c>
      <c r="G98" s="11">
        <v>4.1259020566940308E-2</v>
      </c>
      <c r="H98" s="40">
        <v>4.1231909748458423E-4</v>
      </c>
      <c r="I98" s="40">
        <v>1.4861351345655027</v>
      </c>
      <c r="J98" s="59">
        <v>0</v>
      </c>
      <c r="K98" s="59">
        <v>5093.0725410580635</v>
      </c>
      <c r="L98" s="59">
        <v>0</v>
      </c>
      <c r="M98" s="11">
        <v>0.86669564247131348</v>
      </c>
      <c r="N98" s="11">
        <v>0.75958847999572754</v>
      </c>
      <c r="O98" s="11">
        <v>0.26351970434188843</v>
      </c>
      <c r="Q98" s="59">
        <v>14.811509385628478</v>
      </c>
      <c r="R98" s="78">
        <v>507.53046063782</v>
      </c>
      <c r="S98" s="78">
        <v>14.85426555474255</v>
      </c>
      <c r="T98" s="78">
        <v>612.7146783974357</v>
      </c>
      <c r="U98" s="59">
        <v>14.85978635544568</v>
      </c>
      <c r="V98" s="78">
        <v>811.43639390411738</v>
      </c>
      <c r="X98" s="134">
        <f t="shared" si="12"/>
        <v>1480643.4081022099</v>
      </c>
      <c r="Y98" s="134">
        <f t="shared" si="13"/>
        <v>1484813.8407958576</v>
      </c>
      <c r="Z98" s="134">
        <f t="shared" si="14"/>
        <v>1485167.199150664</v>
      </c>
      <c r="AB98" s="127">
        <f t="shared" si="15"/>
        <v>0</v>
      </c>
      <c r="AC98" s="127">
        <f t="shared" si="16"/>
        <v>0</v>
      </c>
      <c r="AD98" s="127">
        <f t="shared" si="17"/>
        <v>1</v>
      </c>
    </row>
    <row r="99" spans="1:30" x14ac:dyDescent="0.25">
      <c r="A99">
        <v>94</v>
      </c>
      <c r="C99" s="11">
        <v>7.0154964923858643E-3</v>
      </c>
      <c r="D99" s="11">
        <v>4.5044571161270142E-3</v>
      </c>
      <c r="E99" s="11">
        <v>0.23765472563995491</v>
      </c>
      <c r="F99" s="11">
        <v>0.2603291762376021</v>
      </c>
      <c r="G99" s="11">
        <v>2.1729916334152222E-2</v>
      </c>
      <c r="H99" s="40">
        <v>5.0764438274618383E-4</v>
      </c>
      <c r="I99" s="40">
        <v>1.4989012256201788</v>
      </c>
      <c r="J99" s="59">
        <v>0</v>
      </c>
      <c r="K99" s="59">
        <v>3059.6181750297546</v>
      </c>
      <c r="L99" s="59">
        <v>0</v>
      </c>
      <c r="M99" s="11">
        <v>0.84740602970123291</v>
      </c>
      <c r="N99" s="11">
        <v>0.76822298765182495</v>
      </c>
      <c r="O99" s="11">
        <v>0.28398710489273071</v>
      </c>
      <c r="Q99" s="59">
        <v>14.801958623037075</v>
      </c>
      <c r="R99" s="78">
        <v>473.71972336447067</v>
      </c>
      <c r="S99" s="78">
        <v>14.84833488152478</v>
      </c>
      <c r="T99" s="78">
        <v>598.29669688776903</v>
      </c>
      <c r="U99" s="59">
        <v>14.846926036641715</v>
      </c>
      <c r="V99" s="78">
        <v>809.12615430630547</v>
      </c>
      <c r="X99" s="134">
        <f t="shared" si="12"/>
        <v>1479722.1425803429</v>
      </c>
      <c r="Y99" s="134">
        <f t="shared" si="13"/>
        <v>1484235.1914555901</v>
      </c>
      <c r="Z99" s="134">
        <f t="shared" si="14"/>
        <v>1483883.4775098651</v>
      </c>
      <c r="AB99" s="127">
        <f t="shared" si="15"/>
        <v>0</v>
      </c>
      <c r="AC99" s="127">
        <f t="shared" si="16"/>
        <v>1</v>
      </c>
      <c r="AD99" s="127">
        <f t="shared" si="17"/>
        <v>0</v>
      </c>
    </row>
    <row r="100" spans="1:30" x14ac:dyDescent="0.25">
      <c r="A100">
        <v>95</v>
      </c>
      <c r="C100" s="11">
        <v>3.303152322769165E-2</v>
      </c>
      <c r="D100" s="11">
        <v>1.5314489603042603E-2</v>
      </c>
      <c r="E100" s="11">
        <v>0.30598035523784289</v>
      </c>
      <c r="F100" s="11">
        <v>0.18006821989751229</v>
      </c>
      <c r="G100" s="11">
        <v>4.8507660627365112E-2</v>
      </c>
      <c r="H100" s="40">
        <v>5.027633530923217E-4</v>
      </c>
      <c r="I100" s="40">
        <v>1.4022184705970613</v>
      </c>
      <c r="J100" s="59">
        <v>0</v>
      </c>
      <c r="K100" s="59">
        <v>6024.8700901865959</v>
      </c>
      <c r="L100" s="59">
        <v>0</v>
      </c>
      <c r="M100" s="11">
        <v>0.87303423881530762</v>
      </c>
      <c r="N100" s="11">
        <v>0.7009117603302002</v>
      </c>
      <c r="O100" s="11">
        <v>0.38652992248535156</v>
      </c>
      <c r="Q100" s="59">
        <v>14.838073949571582</v>
      </c>
      <c r="R100" s="78">
        <v>526.06119199016246</v>
      </c>
      <c r="S100" s="78">
        <v>14.88875991977754</v>
      </c>
      <c r="T100" s="78">
        <v>619.87571076887184</v>
      </c>
      <c r="U100" s="59">
        <v>14.898098796313702</v>
      </c>
      <c r="V100" s="78">
        <v>812.10574542935603</v>
      </c>
      <c r="X100" s="134">
        <f t="shared" si="12"/>
        <v>1483281.333765168</v>
      </c>
      <c r="Y100" s="134">
        <f t="shared" si="13"/>
        <v>1488256.1162669852</v>
      </c>
      <c r="Z100" s="134">
        <f t="shared" si="14"/>
        <v>1488997.7738859409</v>
      </c>
      <c r="AB100" s="127">
        <f t="shared" si="15"/>
        <v>0</v>
      </c>
      <c r="AC100" s="127">
        <f t="shared" si="16"/>
        <v>0</v>
      </c>
      <c r="AD100" s="127">
        <f t="shared" si="17"/>
        <v>1</v>
      </c>
    </row>
    <row r="101" spans="1:30" x14ac:dyDescent="0.25">
      <c r="A101">
        <v>96</v>
      </c>
      <c r="C101" s="11">
        <v>8.247077465057373E-3</v>
      </c>
      <c r="D101" s="11">
        <v>7.0292651653289795E-3</v>
      </c>
      <c r="E101" s="11">
        <v>0.22039677190531259</v>
      </c>
      <c r="F101" s="11">
        <v>0.13466301467743555</v>
      </c>
      <c r="G101" s="11">
        <v>4.7257304191589355E-2</v>
      </c>
      <c r="H101" s="40">
        <v>4.0217542895127506E-4</v>
      </c>
      <c r="I101" s="40">
        <v>1.4723842113925754</v>
      </c>
      <c r="J101" s="59">
        <v>0</v>
      </c>
      <c r="K101" s="59">
        <v>5410.162266343832</v>
      </c>
      <c r="L101" s="59">
        <v>0</v>
      </c>
      <c r="M101" s="11">
        <v>0.80276978015899658</v>
      </c>
      <c r="N101" s="11">
        <v>0.78422278165817261</v>
      </c>
      <c r="O101" s="11">
        <v>0.29862222075462341</v>
      </c>
      <c r="Q101" s="59">
        <v>14.033165444728731</v>
      </c>
      <c r="R101" s="78">
        <v>513.0116259723136</v>
      </c>
      <c r="S101" s="78">
        <v>14.056192307977065</v>
      </c>
      <c r="T101" s="78">
        <v>605.57910195867692</v>
      </c>
      <c r="U101" s="59">
        <v>14.058772488643873</v>
      </c>
      <c r="V101" s="78">
        <v>804.26369988155648</v>
      </c>
      <c r="X101" s="134">
        <f t="shared" si="12"/>
        <v>1402803.5328469006</v>
      </c>
      <c r="Y101" s="134">
        <f t="shared" si="13"/>
        <v>1405013.6516957479</v>
      </c>
      <c r="Z101" s="134">
        <f t="shared" si="14"/>
        <v>1405072.9851645059</v>
      </c>
      <c r="AB101" s="127">
        <f t="shared" si="15"/>
        <v>0</v>
      </c>
      <c r="AC101" s="127">
        <f t="shared" si="16"/>
        <v>0</v>
      </c>
      <c r="AD101" s="127">
        <f t="shared" si="17"/>
        <v>1</v>
      </c>
    </row>
    <row r="102" spans="1:30" x14ac:dyDescent="0.25">
      <c r="A102">
        <v>97</v>
      </c>
      <c r="C102" s="11">
        <v>1.242026686668396E-2</v>
      </c>
      <c r="D102" s="11">
        <v>2.8603136539459229E-2</v>
      </c>
      <c r="E102" s="11">
        <v>0.29396813073795786</v>
      </c>
      <c r="F102" s="11">
        <v>0.36951109141985955</v>
      </c>
      <c r="G102" s="11">
        <v>4.4997811317443848E-2</v>
      </c>
      <c r="H102" s="40">
        <v>4.2515714532841712E-4</v>
      </c>
      <c r="I102" s="40">
        <v>1.491436995851779</v>
      </c>
      <c r="J102" s="59">
        <v>0</v>
      </c>
      <c r="K102" s="59">
        <v>4852.5561578571796</v>
      </c>
      <c r="L102" s="59">
        <v>0</v>
      </c>
      <c r="M102" s="11">
        <v>0.80490624904632568</v>
      </c>
      <c r="N102" s="11">
        <v>0.75049906969070435</v>
      </c>
      <c r="O102" s="11">
        <v>0.27176475524902344</v>
      </c>
      <c r="Q102" s="59">
        <v>13.988664840505729</v>
      </c>
      <c r="R102" s="78">
        <v>510.48850237043382</v>
      </c>
      <c r="S102" s="78">
        <v>14.025319925921353</v>
      </c>
      <c r="T102" s="78">
        <v>613.71152887480332</v>
      </c>
      <c r="U102" s="59">
        <v>14.021340598303761</v>
      </c>
      <c r="V102" s="78">
        <v>831.56797076898192</v>
      </c>
      <c r="X102" s="134">
        <f t="shared" si="12"/>
        <v>1398355.9955482024</v>
      </c>
      <c r="Y102" s="134">
        <f t="shared" si="13"/>
        <v>1401918.2810632607</v>
      </c>
      <c r="Z102" s="134">
        <f t="shared" si="14"/>
        <v>1401302.4918596072</v>
      </c>
      <c r="AB102" s="127">
        <f t="shared" si="15"/>
        <v>0</v>
      </c>
      <c r="AC102" s="127">
        <f t="shared" si="16"/>
        <v>1</v>
      </c>
      <c r="AD102" s="127">
        <f t="shared" si="17"/>
        <v>0</v>
      </c>
    </row>
    <row r="103" spans="1:30" x14ac:dyDescent="0.25">
      <c r="A103">
        <v>98</v>
      </c>
      <c r="C103" s="11">
        <v>1.7469123005867004E-2</v>
      </c>
      <c r="D103" s="11">
        <v>2.1882250905036926E-2</v>
      </c>
      <c r="E103" s="11">
        <v>0.21734218714057105</v>
      </c>
      <c r="F103" s="11">
        <v>0.23058629715918272</v>
      </c>
      <c r="G103" s="11">
        <v>1.8196582794189453E-2</v>
      </c>
      <c r="H103" s="40">
        <v>3.8602601379909374E-4</v>
      </c>
      <c r="I103" s="40">
        <v>1.4423699736732412</v>
      </c>
      <c r="J103" s="59">
        <v>0</v>
      </c>
      <c r="K103" s="59">
        <v>5827.7323842048645</v>
      </c>
      <c r="L103" s="59">
        <v>0</v>
      </c>
      <c r="M103" s="11">
        <v>0.82068967819213867</v>
      </c>
      <c r="N103" s="11">
        <v>0.76140481233596802</v>
      </c>
      <c r="O103" s="11">
        <v>0.31317007541656494</v>
      </c>
      <c r="Q103" s="59">
        <v>14.20715329268376</v>
      </c>
      <c r="R103" s="78">
        <v>489.31605370206188</v>
      </c>
      <c r="S103" s="78">
        <v>14.235160411937997</v>
      </c>
      <c r="T103" s="78">
        <v>599.963473676322</v>
      </c>
      <c r="U103" s="59">
        <v>14.234679927448051</v>
      </c>
      <c r="V103" s="78">
        <v>810.23643084295645</v>
      </c>
      <c r="X103" s="134">
        <f t="shared" si="12"/>
        <v>1420226.0132146738</v>
      </c>
      <c r="Y103" s="134">
        <f t="shared" si="13"/>
        <v>1422916.0777201236</v>
      </c>
      <c r="Z103" s="134">
        <f t="shared" si="14"/>
        <v>1422657.7563139622</v>
      </c>
      <c r="AB103" s="127">
        <f t="shared" si="15"/>
        <v>0</v>
      </c>
      <c r="AC103" s="127">
        <f t="shared" si="16"/>
        <v>1</v>
      </c>
      <c r="AD103" s="127">
        <f t="shared" si="17"/>
        <v>0</v>
      </c>
    </row>
    <row r="104" spans="1:30" x14ac:dyDescent="0.25">
      <c r="A104">
        <v>99</v>
      </c>
      <c r="C104" s="11">
        <v>2.2311016917228699E-2</v>
      </c>
      <c r="D104" s="11">
        <v>9.6065998077392578E-3</v>
      </c>
      <c r="E104" s="11">
        <v>0.19871574711061929</v>
      </c>
      <c r="F104" s="11">
        <v>0.16901112611345115</v>
      </c>
      <c r="G104" s="11">
        <v>4.58260178565979E-2</v>
      </c>
      <c r="H104" s="40">
        <v>5.8376203303735447E-4</v>
      </c>
      <c r="I104" s="40">
        <v>1.4817856179839026</v>
      </c>
      <c r="J104" s="59">
        <v>0</v>
      </c>
      <c r="K104" s="59">
        <v>4965.4126632958651</v>
      </c>
      <c r="L104" s="59">
        <v>0</v>
      </c>
      <c r="M104" s="11">
        <v>0.86040776968002319</v>
      </c>
      <c r="N104" s="11">
        <v>0.75287681818008423</v>
      </c>
      <c r="O104" s="11">
        <v>0.27152961492538452</v>
      </c>
      <c r="Q104" s="59">
        <v>14.772829972140519</v>
      </c>
      <c r="R104" s="78">
        <v>552.07423935046938</v>
      </c>
      <c r="S104" s="78">
        <v>14.841299863025137</v>
      </c>
      <c r="T104" s="78">
        <v>611.05736560683943</v>
      </c>
      <c r="U104" s="59">
        <v>14.843902330090623</v>
      </c>
      <c r="V104" s="78">
        <v>815.28609627523394</v>
      </c>
      <c r="X104" s="134">
        <f t="shared" si="12"/>
        <v>1476730.9229747015</v>
      </c>
      <c r="Y104" s="134">
        <f t="shared" si="13"/>
        <v>1483518.9289369069</v>
      </c>
      <c r="Z104" s="134">
        <f t="shared" si="14"/>
        <v>1483574.9469127869</v>
      </c>
      <c r="AB104" s="127">
        <f t="shared" si="15"/>
        <v>0</v>
      </c>
      <c r="AC104" s="127">
        <f t="shared" si="16"/>
        <v>0</v>
      </c>
      <c r="AD104" s="127">
        <f t="shared" si="17"/>
        <v>1</v>
      </c>
    </row>
    <row r="105" spans="1:30" x14ac:dyDescent="0.25">
      <c r="A105">
        <v>100</v>
      </c>
      <c r="C105" s="11">
        <v>1.0814562439918518E-2</v>
      </c>
      <c r="D105" s="11">
        <v>3.6443471908569336E-3</v>
      </c>
      <c r="E105" s="11">
        <v>0.23716875821901953</v>
      </c>
      <c r="F105" s="11">
        <v>0.21014524145282362</v>
      </c>
      <c r="G105" s="11">
        <v>4.8833370208740234E-2</v>
      </c>
      <c r="H105" s="40">
        <v>5.5051917816107711E-4</v>
      </c>
      <c r="I105" s="40">
        <v>1.3789099783044259</v>
      </c>
      <c r="J105" s="59">
        <v>0</v>
      </c>
      <c r="K105" s="59">
        <v>5958.1780806183815</v>
      </c>
      <c r="L105" s="59">
        <v>0</v>
      </c>
      <c r="M105" s="11">
        <v>0.81103217601776123</v>
      </c>
      <c r="N105" s="11">
        <v>0.66599464416503906</v>
      </c>
      <c r="O105" s="11">
        <v>0.27037227153778076</v>
      </c>
      <c r="Q105" s="59">
        <v>14.1029744646672</v>
      </c>
      <c r="R105" s="78">
        <v>531.38709779194608</v>
      </c>
      <c r="S105" s="78">
        <v>14.154477636930981</v>
      </c>
      <c r="T105" s="78">
        <v>612.00225112106375</v>
      </c>
      <c r="U105" s="59">
        <v>14.156330236682628</v>
      </c>
      <c r="V105" s="78">
        <v>817.25519460669227</v>
      </c>
      <c r="X105" s="134">
        <f t="shared" si="12"/>
        <v>1409766.059368928</v>
      </c>
      <c r="Y105" s="134">
        <f t="shared" si="13"/>
        <v>1414835.761441977</v>
      </c>
      <c r="Z105" s="134">
        <f t="shared" si="14"/>
        <v>1414815.7684736561</v>
      </c>
      <c r="AB105" s="127">
        <f t="shared" si="15"/>
        <v>0</v>
      </c>
      <c r="AC105" s="127">
        <f t="shared" si="16"/>
        <v>1</v>
      </c>
      <c r="AD105" s="127">
        <f t="shared" si="17"/>
        <v>0</v>
      </c>
    </row>
    <row r="106" spans="1:30" x14ac:dyDescent="0.25">
      <c r="A106">
        <v>101</v>
      </c>
      <c r="C106" s="11">
        <v>1.254737377166748E-2</v>
      </c>
      <c r="D106" s="11">
        <v>2.0113885402679443E-2</v>
      </c>
      <c r="E106" s="11">
        <v>0.53215691637682794</v>
      </c>
      <c r="F106" s="11">
        <v>0.36125541966044461</v>
      </c>
      <c r="G106" s="11">
        <v>3.5548925399780273E-2</v>
      </c>
      <c r="H106" s="40">
        <v>4.0775420422001609E-4</v>
      </c>
      <c r="I106" s="40">
        <v>1.3789535683891549</v>
      </c>
      <c r="J106" s="59">
        <v>0</v>
      </c>
      <c r="K106" s="59">
        <v>3586.7420956492424</v>
      </c>
      <c r="L106" s="59">
        <v>0</v>
      </c>
      <c r="M106" s="11">
        <v>0.8500213623046875</v>
      </c>
      <c r="N106" s="11">
        <v>0.76961100101470947</v>
      </c>
      <c r="O106" s="11">
        <v>0.2798391580581665</v>
      </c>
      <c r="Q106" s="59">
        <v>14.786224751874961</v>
      </c>
      <c r="R106" s="78">
        <v>451.12762023135144</v>
      </c>
      <c r="S106" s="78">
        <v>14.804699262928249</v>
      </c>
      <c r="T106" s="78">
        <v>609.58012095782578</v>
      </c>
      <c r="U106" s="59">
        <v>14.811511951882119</v>
      </c>
      <c r="V106" s="78">
        <v>808.8041361517727</v>
      </c>
      <c r="X106" s="134">
        <f t="shared" si="12"/>
        <v>1478171.3475672647</v>
      </c>
      <c r="Y106" s="134">
        <f t="shared" si="13"/>
        <v>1479860.3461718671</v>
      </c>
      <c r="Z106" s="134">
        <f t="shared" si="14"/>
        <v>1480342.3910520603</v>
      </c>
      <c r="AB106" s="127">
        <f t="shared" si="15"/>
        <v>0</v>
      </c>
      <c r="AC106" s="127">
        <f t="shared" si="16"/>
        <v>0</v>
      </c>
      <c r="AD106" s="127">
        <f t="shared" si="17"/>
        <v>1</v>
      </c>
    </row>
    <row r="107" spans="1:30" x14ac:dyDescent="0.25">
      <c r="A107">
        <v>102</v>
      </c>
      <c r="C107" s="11">
        <v>4.5325636863708496E-2</v>
      </c>
      <c r="D107" s="11">
        <v>3.2448917627334595E-2</v>
      </c>
      <c r="E107" s="11">
        <v>0.40223814120777412</v>
      </c>
      <c r="F107" s="11">
        <v>0.15715401715416785</v>
      </c>
      <c r="G107" s="11">
        <v>5.0169438123703003E-2</v>
      </c>
      <c r="H107" s="40">
        <v>4.6205240077744011E-4</v>
      </c>
      <c r="I107" s="40">
        <v>1.4911440080695504</v>
      </c>
      <c r="J107" s="59">
        <v>0</v>
      </c>
      <c r="K107" s="59">
        <v>2888.3013874292374</v>
      </c>
      <c r="L107" s="59">
        <v>0</v>
      </c>
      <c r="M107" s="11">
        <v>0.8243744969367981</v>
      </c>
      <c r="N107" s="11">
        <v>0.76397782564163208</v>
      </c>
      <c r="O107" s="11">
        <v>0.33790910243988037</v>
      </c>
      <c r="Q107" s="59">
        <v>13.844567268064383</v>
      </c>
      <c r="R107" s="78">
        <v>468.36634521424406</v>
      </c>
      <c r="S107" s="78">
        <v>13.878200527245067</v>
      </c>
      <c r="T107" s="78">
        <v>609.28584609741165</v>
      </c>
      <c r="U107" s="59">
        <v>13.892279697628762</v>
      </c>
      <c r="V107" s="78">
        <v>799.89337103790638</v>
      </c>
      <c r="X107" s="134">
        <f t="shared" si="12"/>
        <v>1383988.3604612241</v>
      </c>
      <c r="Y107" s="134">
        <f t="shared" si="13"/>
        <v>1387210.7668784093</v>
      </c>
      <c r="Z107" s="134">
        <f t="shared" si="14"/>
        <v>1388428.0763918383</v>
      </c>
      <c r="AB107" s="127">
        <f t="shared" si="15"/>
        <v>0</v>
      </c>
      <c r="AC107" s="127">
        <f t="shared" si="16"/>
        <v>0</v>
      </c>
      <c r="AD107" s="127">
        <f t="shared" si="17"/>
        <v>1</v>
      </c>
    </row>
    <row r="108" spans="1:30" x14ac:dyDescent="0.25">
      <c r="A108">
        <v>103</v>
      </c>
      <c r="C108" s="11">
        <v>6.8148672580718994E-3</v>
      </c>
      <c r="D108" s="11">
        <v>3.1200438737869263E-2</v>
      </c>
      <c r="E108" s="11">
        <v>0.20970595009687779</v>
      </c>
      <c r="F108" s="11">
        <v>0.20255163254127881</v>
      </c>
      <c r="G108" s="11">
        <v>3.1286746263504028E-2</v>
      </c>
      <c r="H108" s="40">
        <v>3.8231174723427774E-4</v>
      </c>
      <c r="I108" s="40">
        <v>1.5371280647124101</v>
      </c>
      <c r="J108" s="59">
        <v>0</v>
      </c>
      <c r="K108" s="59">
        <v>5586.2893350422382</v>
      </c>
      <c r="L108" s="59">
        <v>0</v>
      </c>
      <c r="M108" s="11">
        <v>0.85944753885269165</v>
      </c>
      <c r="N108" s="11">
        <v>0.73923110961914063</v>
      </c>
      <c r="O108" s="11">
        <v>0.2625272274017334</v>
      </c>
      <c r="Q108" s="59">
        <v>15.00054097475096</v>
      </c>
      <c r="R108" s="78">
        <v>523.23278249686564</v>
      </c>
      <c r="S108" s="78">
        <v>15.061024934417418</v>
      </c>
      <c r="T108" s="78">
        <v>606.54510473470498</v>
      </c>
      <c r="U108" s="59">
        <v>15.06158298967889</v>
      </c>
      <c r="V108" s="78">
        <v>814.60932239094439</v>
      </c>
      <c r="X108" s="134">
        <f t="shared" si="12"/>
        <v>1499530.864692599</v>
      </c>
      <c r="Y108" s="134">
        <f t="shared" si="13"/>
        <v>1505495.9483370071</v>
      </c>
      <c r="Z108" s="134">
        <f t="shared" si="14"/>
        <v>1505343.6896454981</v>
      </c>
      <c r="AB108" s="127">
        <f t="shared" si="15"/>
        <v>0</v>
      </c>
      <c r="AC108" s="127">
        <f t="shared" si="16"/>
        <v>1</v>
      </c>
      <c r="AD108" s="127">
        <f t="shared" si="17"/>
        <v>0</v>
      </c>
    </row>
    <row r="109" spans="1:30" x14ac:dyDescent="0.25">
      <c r="A109">
        <v>104</v>
      </c>
      <c r="C109" s="11">
        <v>9.9975019693374634E-3</v>
      </c>
      <c r="D109" s="11">
        <v>1.2750551104545593E-2</v>
      </c>
      <c r="E109" s="11">
        <v>0.51599090956287408</v>
      </c>
      <c r="F109" s="11">
        <v>0.13655604055105405</v>
      </c>
      <c r="G109" s="11">
        <v>3.0119389295578003E-2</v>
      </c>
      <c r="H109" s="40">
        <v>5.411488908210985E-4</v>
      </c>
      <c r="I109" s="40">
        <v>1.3888225268544341</v>
      </c>
      <c r="J109" s="59">
        <v>0</v>
      </c>
      <c r="K109" s="59">
        <v>3404.2773768305779</v>
      </c>
      <c r="L109" s="59">
        <v>0</v>
      </c>
      <c r="M109" s="11">
        <v>0.88392579555511475</v>
      </c>
      <c r="N109" s="11">
        <v>0.76152116060256958</v>
      </c>
      <c r="O109" s="11">
        <v>0.33488625288009644</v>
      </c>
      <c r="Q109" s="59">
        <v>15.394293664866794</v>
      </c>
      <c r="R109" s="78">
        <v>465.89451408493312</v>
      </c>
      <c r="S109" s="78">
        <v>15.42442698601117</v>
      </c>
      <c r="T109" s="78">
        <v>616.40898586797687</v>
      </c>
      <c r="U109" s="59">
        <v>15.448459396832712</v>
      </c>
      <c r="V109" s="78">
        <v>797.96585547927361</v>
      </c>
      <c r="X109" s="134">
        <f t="shared" si="12"/>
        <v>1538963.4719725943</v>
      </c>
      <c r="Y109" s="134">
        <f t="shared" si="13"/>
        <v>1541826.289615249</v>
      </c>
      <c r="Z109" s="134">
        <f t="shared" si="14"/>
        <v>1544047.9738277919</v>
      </c>
      <c r="AB109" s="127">
        <f t="shared" si="15"/>
        <v>0</v>
      </c>
      <c r="AC109" s="127">
        <f t="shared" si="16"/>
        <v>0</v>
      </c>
      <c r="AD109" s="127">
        <f t="shared" si="17"/>
        <v>1</v>
      </c>
    </row>
    <row r="110" spans="1:30" x14ac:dyDescent="0.25">
      <c r="A110">
        <v>105</v>
      </c>
      <c r="C110" s="11">
        <v>2.6493251323699951E-2</v>
      </c>
      <c r="D110" s="11">
        <v>1.6009107232093811E-2</v>
      </c>
      <c r="E110" s="11">
        <v>0.30947162830115871</v>
      </c>
      <c r="F110" s="11">
        <v>0.18536929537517233</v>
      </c>
      <c r="G110" s="11">
        <v>6.372225284576416E-2</v>
      </c>
      <c r="H110" s="40">
        <v>4.0505413748280315E-4</v>
      </c>
      <c r="I110" s="40">
        <v>1.5767727332133581</v>
      </c>
      <c r="J110" s="59">
        <v>0</v>
      </c>
      <c r="K110" s="59">
        <v>6953.0447944998741</v>
      </c>
      <c r="L110" s="59">
        <v>0</v>
      </c>
      <c r="M110" s="11">
        <v>0.84689909219741821</v>
      </c>
      <c r="N110" s="11">
        <v>0.69950675964355469</v>
      </c>
      <c r="O110" s="11">
        <v>0.24704384803771973</v>
      </c>
      <c r="Q110" s="59">
        <v>14.462527725994313</v>
      </c>
      <c r="R110" s="78">
        <v>612.9980051492538</v>
      </c>
      <c r="S110" s="78">
        <v>14.531250051709417</v>
      </c>
      <c r="T110" s="78">
        <v>647.91630806125761</v>
      </c>
      <c r="U110" s="59">
        <v>14.543893139216815</v>
      </c>
      <c r="V110" s="78">
        <v>829.40531391109084</v>
      </c>
      <c r="X110" s="134">
        <f t="shared" si="12"/>
        <v>1445639.774594282</v>
      </c>
      <c r="Y110" s="134">
        <f t="shared" si="13"/>
        <v>1452477.0888628806</v>
      </c>
      <c r="Z110" s="134">
        <f t="shared" si="14"/>
        <v>1453559.9086077702</v>
      </c>
      <c r="AB110" s="127">
        <f t="shared" si="15"/>
        <v>0</v>
      </c>
      <c r="AC110" s="127">
        <f t="shared" si="16"/>
        <v>0</v>
      </c>
      <c r="AD110" s="127">
        <f t="shared" si="17"/>
        <v>1</v>
      </c>
    </row>
    <row r="111" spans="1:30" x14ac:dyDescent="0.25">
      <c r="A111">
        <v>106</v>
      </c>
      <c r="C111" s="11">
        <v>1.8693238496780396E-2</v>
      </c>
      <c r="D111" s="11">
        <v>3.7791013717651367E-2</v>
      </c>
      <c r="E111" s="11">
        <v>0.18244992332490939</v>
      </c>
      <c r="F111" s="11">
        <v>0.1510625004523197</v>
      </c>
      <c r="G111" s="11">
        <v>6.3915252685546875E-3</v>
      </c>
      <c r="H111" s="40">
        <v>3.744895639348902E-4</v>
      </c>
      <c r="I111" s="40">
        <v>1.4722939055983941</v>
      </c>
      <c r="J111" s="59">
        <v>0</v>
      </c>
      <c r="K111" s="59">
        <v>7174.9230846762657</v>
      </c>
      <c r="L111" s="59">
        <v>0</v>
      </c>
      <c r="M111" s="11">
        <v>0.82802176475524902</v>
      </c>
      <c r="N111" s="11">
        <v>0.70892655849456787</v>
      </c>
      <c r="O111" s="11">
        <v>0.26290363073348999</v>
      </c>
      <c r="Q111" s="59">
        <v>14.295163621144818</v>
      </c>
      <c r="R111" s="78">
        <v>509.1494752200357</v>
      </c>
      <c r="S111" s="78">
        <v>14.341815465767057</v>
      </c>
      <c r="T111" s="78">
        <v>600.29613040931258</v>
      </c>
      <c r="U111" s="59">
        <v>14.343635113833164</v>
      </c>
      <c r="V111" s="78">
        <v>805.64173720491749</v>
      </c>
      <c r="X111" s="134">
        <f t="shared" si="12"/>
        <v>1429007.2126392617</v>
      </c>
      <c r="Y111" s="134">
        <f t="shared" si="13"/>
        <v>1433581.2504462965</v>
      </c>
      <c r="Z111" s="134">
        <f t="shared" si="14"/>
        <v>1433557.8696461115</v>
      </c>
      <c r="AB111" s="127">
        <f t="shared" si="15"/>
        <v>0</v>
      </c>
      <c r="AC111" s="127">
        <f t="shared" si="16"/>
        <v>1</v>
      </c>
      <c r="AD111" s="127">
        <f t="shared" si="17"/>
        <v>0</v>
      </c>
    </row>
    <row r="112" spans="1:30" x14ac:dyDescent="0.25">
      <c r="A112">
        <v>107</v>
      </c>
      <c r="C112" s="11">
        <v>1.2719422578811646E-2</v>
      </c>
      <c r="D112" s="11">
        <v>1.7265647649765015E-2</v>
      </c>
      <c r="E112" s="11">
        <v>0.21733313458713754</v>
      </c>
      <c r="F112" s="11">
        <v>0.13350449950525134</v>
      </c>
      <c r="G112" s="11">
        <v>1.9141077995300293E-2</v>
      </c>
      <c r="H112" s="40">
        <v>5.3259471273219786E-4</v>
      </c>
      <c r="I112" s="40">
        <v>1.4209928835213865</v>
      </c>
      <c r="J112" s="59">
        <v>0</v>
      </c>
      <c r="K112" s="59">
        <v>4982.7923066914082</v>
      </c>
      <c r="L112" s="59">
        <v>0</v>
      </c>
      <c r="M112" s="11">
        <v>0.78029680252075195</v>
      </c>
      <c r="N112" s="11">
        <v>0.76628190279006958</v>
      </c>
      <c r="O112" s="11">
        <v>0.27028727531433105</v>
      </c>
      <c r="Q112" s="59">
        <v>13.576980227839467</v>
      </c>
      <c r="R112" s="78">
        <v>500.29803817549066</v>
      </c>
      <c r="S112" s="78">
        <v>13.600758314616677</v>
      </c>
      <c r="T112" s="78">
        <v>602.45442992668677</v>
      </c>
      <c r="U112" s="59">
        <v>13.603359283992113</v>
      </c>
      <c r="V112" s="78">
        <v>802.43124661836907</v>
      </c>
      <c r="X112" s="134">
        <f t="shared" si="12"/>
        <v>1357197.7247457711</v>
      </c>
      <c r="Y112" s="134">
        <f t="shared" si="13"/>
        <v>1359473.377031741</v>
      </c>
      <c r="Z112" s="134">
        <f t="shared" si="14"/>
        <v>1359533.497152593</v>
      </c>
      <c r="AB112" s="127">
        <f t="shared" si="15"/>
        <v>0</v>
      </c>
      <c r="AC112" s="127">
        <f t="shared" si="16"/>
        <v>0</v>
      </c>
      <c r="AD112" s="127">
        <f t="shared" si="17"/>
        <v>1</v>
      </c>
    </row>
    <row r="113" spans="1:30" x14ac:dyDescent="0.25">
      <c r="A113">
        <v>108</v>
      </c>
      <c r="C113" s="11">
        <v>4.9228429794311523E-2</v>
      </c>
      <c r="D113" s="11">
        <v>3.2236844301223755E-2</v>
      </c>
      <c r="E113" s="11">
        <v>0.13165065820783453</v>
      </c>
      <c r="F113" s="11">
        <v>0.30974525916949314</v>
      </c>
      <c r="G113" s="11">
        <v>5.5553913116455078E-2</v>
      </c>
      <c r="H113" s="40">
        <v>5.711058731368119E-4</v>
      </c>
      <c r="I113" s="40">
        <v>1.4209129348386951</v>
      </c>
      <c r="J113" s="59">
        <v>0</v>
      </c>
      <c r="K113" s="59">
        <v>7166.9556200504303</v>
      </c>
      <c r="L113" s="59">
        <v>0</v>
      </c>
      <c r="M113" s="11">
        <v>0.83551543951034546</v>
      </c>
      <c r="N113" s="11">
        <v>0.80227434635162354</v>
      </c>
      <c r="O113" s="11">
        <v>0.28085786104202271</v>
      </c>
      <c r="Q113" s="59">
        <v>13.978875945600601</v>
      </c>
      <c r="R113" s="78">
        <v>583.71921862569309</v>
      </c>
      <c r="S113" s="78">
        <v>14.024571488259195</v>
      </c>
      <c r="T113" s="78">
        <v>604.4141054368348</v>
      </c>
      <c r="U113" s="59">
        <v>14.015041867518145</v>
      </c>
      <c r="V113" s="78">
        <v>847.58003855870356</v>
      </c>
      <c r="X113" s="134">
        <f t="shared" si="12"/>
        <v>1397303.8753414345</v>
      </c>
      <c r="Y113" s="134">
        <f t="shared" si="13"/>
        <v>1401852.7347204827</v>
      </c>
      <c r="Z113" s="134">
        <f t="shared" si="14"/>
        <v>1400656.6067132559</v>
      </c>
      <c r="AB113" s="127">
        <f t="shared" si="15"/>
        <v>0</v>
      </c>
      <c r="AC113" s="127">
        <f t="shared" si="16"/>
        <v>1</v>
      </c>
      <c r="AD113" s="127">
        <f t="shared" si="17"/>
        <v>0</v>
      </c>
    </row>
    <row r="114" spans="1:30" x14ac:dyDescent="0.25">
      <c r="A114">
        <v>109</v>
      </c>
      <c r="C114" s="11">
        <v>5.1596164703369141E-2</v>
      </c>
      <c r="D114" s="11">
        <v>6.5376758575439453E-3</v>
      </c>
      <c r="E114" s="11">
        <v>0.16138667392511016</v>
      </c>
      <c r="F114" s="11">
        <v>0.20656712361431451</v>
      </c>
      <c r="G114" s="11">
        <v>3.9080768823623657E-2</v>
      </c>
      <c r="H114" s="40">
        <v>4.9385187965838282E-4</v>
      </c>
      <c r="I114" s="40">
        <v>1.3843432945586105</v>
      </c>
      <c r="J114" s="59">
        <v>0</v>
      </c>
      <c r="K114" s="59">
        <v>4409.7425416111946</v>
      </c>
      <c r="L114" s="59">
        <v>0</v>
      </c>
      <c r="M114" s="11">
        <v>0.80900490283966064</v>
      </c>
      <c r="N114" s="11">
        <v>0.77330654859542847</v>
      </c>
      <c r="O114" s="11">
        <v>0.30096569657325745</v>
      </c>
      <c r="Q114" s="59">
        <v>13.522642925247951</v>
      </c>
      <c r="R114" s="78">
        <v>478.60976804763385</v>
      </c>
      <c r="S114" s="78">
        <v>13.547700868112708</v>
      </c>
      <c r="T114" s="78">
        <v>592.83298449016286</v>
      </c>
      <c r="U114" s="59">
        <v>13.546330312732529</v>
      </c>
      <c r="V114" s="78">
        <v>805.69313043394413</v>
      </c>
      <c r="X114" s="134">
        <f t="shared" si="12"/>
        <v>1351785.6827567474</v>
      </c>
      <c r="Y114" s="134">
        <f t="shared" si="13"/>
        <v>1354177.2538267807</v>
      </c>
      <c r="Z114" s="134">
        <f t="shared" si="14"/>
        <v>1353827.3381428188</v>
      </c>
      <c r="AB114" s="127">
        <f t="shared" si="15"/>
        <v>0</v>
      </c>
      <c r="AC114" s="127">
        <f t="shared" si="16"/>
        <v>1</v>
      </c>
      <c r="AD114" s="127">
        <f t="shared" si="17"/>
        <v>0</v>
      </c>
    </row>
    <row r="115" spans="1:30" x14ac:dyDescent="0.25">
      <c r="A115">
        <v>110</v>
      </c>
      <c r="C115" s="11">
        <v>1.1254042387008667E-2</v>
      </c>
      <c r="D115" s="11">
        <v>2.818790078163147E-2</v>
      </c>
      <c r="E115" s="11">
        <v>0.32250409774291555</v>
      </c>
      <c r="F115" s="11">
        <v>0.42411098250543139</v>
      </c>
      <c r="G115" s="11">
        <v>7.4391841888427734E-2</v>
      </c>
      <c r="H115" s="40">
        <v>4.4787845143593266E-4</v>
      </c>
      <c r="I115" s="40">
        <v>1.3481270256570277</v>
      </c>
      <c r="J115" s="59">
        <v>0</v>
      </c>
      <c r="K115" s="59">
        <v>3962.6564830541611</v>
      </c>
      <c r="L115" s="59">
        <v>0</v>
      </c>
      <c r="M115" s="11">
        <v>0.84566622972488403</v>
      </c>
      <c r="N115" s="11">
        <v>0.75818389654159546</v>
      </c>
      <c r="O115" s="11">
        <v>0.30815678834915161</v>
      </c>
      <c r="Q115" s="59">
        <v>14.722644590349452</v>
      </c>
      <c r="R115" s="78">
        <v>469.72420316486671</v>
      </c>
      <c r="S115" s="78">
        <v>14.754165178328496</v>
      </c>
      <c r="T115" s="78">
        <v>603.6211576442721</v>
      </c>
      <c r="U115" s="59">
        <v>14.74939921030767</v>
      </c>
      <c r="V115" s="78">
        <v>820.33854934654653</v>
      </c>
      <c r="X115" s="134">
        <f t="shared" si="12"/>
        <v>1471794.7348317802</v>
      </c>
      <c r="Y115" s="134">
        <f t="shared" si="13"/>
        <v>1474812.8966752053</v>
      </c>
      <c r="Z115" s="134">
        <f t="shared" si="14"/>
        <v>1474119.5824814206</v>
      </c>
      <c r="AB115" s="127">
        <f t="shared" si="15"/>
        <v>0</v>
      </c>
      <c r="AC115" s="127">
        <f t="shared" si="16"/>
        <v>1</v>
      </c>
      <c r="AD115" s="127">
        <f t="shared" si="17"/>
        <v>0</v>
      </c>
    </row>
    <row r="116" spans="1:30" x14ac:dyDescent="0.25">
      <c r="A116">
        <v>111</v>
      </c>
      <c r="C116" s="11">
        <v>4.5752525329589844E-3</v>
      </c>
      <c r="D116" s="11">
        <v>5.7067424058914185E-3</v>
      </c>
      <c r="E116" s="11">
        <v>0.15416046746650475</v>
      </c>
      <c r="F116" s="11">
        <v>0.12874000445033645</v>
      </c>
      <c r="G116" s="11">
        <v>3.9041757583618164E-2</v>
      </c>
      <c r="H116" s="40">
        <v>3.8921706900610738E-4</v>
      </c>
      <c r="I116" s="40">
        <v>1.5521564399276992</v>
      </c>
      <c r="J116" s="59">
        <v>0</v>
      </c>
      <c r="K116" s="59">
        <v>6947.7036595344543</v>
      </c>
      <c r="L116" s="59">
        <v>0</v>
      </c>
      <c r="M116" s="11">
        <v>0.817768394947052</v>
      </c>
      <c r="N116" s="11">
        <v>0.80221724510192871</v>
      </c>
      <c r="O116" s="11">
        <v>0.31607747077941895</v>
      </c>
      <c r="Q116" s="59">
        <v>14.344949823887758</v>
      </c>
      <c r="R116" s="78">
        <v>573.29623734499012</v>
      </c>
      <c r="S116" s="78">
        <v>14.373310106560993</v>
      </c>
      <c r="T116" s="78">
        <v>607.15645420349654</v>
      </c>
      <c r="U116" s="59">
        <v>14.37418370229325</v>
      </c>
      <c r="V116" s="78">
        <v>811.52675397718212</v>
      </c>
      <c r="X116" s="134">
        <f t="shared" si="12"/>
        <v>1433921.6861514307</v>
      </c>
      <c r="Y116" s="134">
        <f t="shared" si="13"/>
        <v>1436723.8542018959</v>
      </c>
      <c r="Z116" s="134">
        <f t="shared" si="14"/>
        <v>1436606.8434753479</v>
      </c>
      <c r="AB116" s="127">
        <f t="shared" si="15"/>
        <v>0</v>
      </c>
      <c r="AC116" s="127">
        <f t="shared" si="16"/>
        <v>1</v>
      </c>
      <c r="AD116" s="127">
        <f t="shared" si="17"/>
        <v>0</v>
      </c>
    </row>
    <row r="117" spans="1:30" x14ac:dyDescent="0.25">
      <c r="A117">
        <v>112</v>
      </c>
      <c r="C117" s="11">
        <v>9.1380178928375244E-3</v>
      </c>
      <c r="D117" s="11">
        <v>1.6497135162353516E-2</v>
      </c>
      <c r="E117" s="11">
        <v>0.27248822403289241</v>
      </c>
      <c r="F117" s="11">
        <v>7.7062767536196897E-2</v>
      </c>
      <c r="G117" s="11">
        <v>1.6324043273925781E-2</v>
      </c>
      <c r="H117" s="40">
        <v>5.4822435088139896E-4</v>
      </c>
      <c r="I117" s="40">
        <v>1.4077363390311268</v>
      </c>
      <c r="J117" s="59">
        <v>0</v>
      </c>
      <c r="K117" s="59">
        <v>6609.8431125283241</v>
      </c>
      <c r="L117" s="59">
        <v>0</v>
      </c>
      <c r="M117" s="11">
        <v>0.86242955923080444</v>
      </c>
      <c r="N117" s="11">
        <v>0.71580368280410767</v>
      </c>
      <c r="O117" s="11">
        <v>0.23030853271484375</v>
      </c>
      <c r="Q117" s="59">
        <v>15.01711143764525</v>
      </c>
      <c r="R117" s="78">
        <v>531.77410934022623</v>
      </c>
      <c r="S117" s="78">
        <v>15.072997536321678</v>
      </c>
      <c r="T117" s="78">
        <v>617.06623154608928</v>
      </c>
      <c r="U117" s="59">
        <v>15.088311980202199</v>
      </c>
      <c r="V117" s="78">
        <v>798.80604670204707</v>
      </c>
      <c r="X117" s="134">
        <f t="shared" si="12"/>
        <v>1501179.3696551847</v>
      </c>
      <c r="Y117" s="134">
        <f t="shared" si="13"/>
        <v>1506682.6874006218</v>
      </c>
      <c r="Z117" s="134">
        <f t="shared" si="14"/>
        <v>1508032.3919735181</v>
      </c>
      <c r="AB117" s="127">
        <f t="shared" si="15"/>
        <v>0</v>
      </c>
      <c r="AC117" s="127">
        <f t="shared" si="16"/>
        <v>0</v>
      </c>
      <c r="AD117" s="127">
        <f t="shared" si="17"/>
        <v>1</v>
      </c>
    </row>
    <row r="118" spans="1:30" x14ac:dyDescent="0.25">
      <c r="A118">
        <v>113</v>
      </c>
      <c r="C118" s="11">
        <v>1.2141138315200806E-2</v>
      </c>
      <c r="D118" s="11">
        <v>1.588834822177887E-2</v>
      </c>
      <c r="E118" s="11">
        <v>0.2270666231235669</v>
      </c>
      <c r="F118" s="11">
        <v>0.37803605029335402</v>
      </c>
      <c r="G118" s="11">
        <v>2.8067320585250854E-2</v>
      </c>
      <c r="H118" s="40">
        <v>3.3095359885338316E-4</v>
      </c>
      <c r="I118" s="40">
        <v>1.4472222848570691</v>
      </c>
      <c r="J118" s="59">
        <v>0</v>
      </c>
      <c r="K118" s="59">
        <v>7304.8053309321404</v>
      </c>
      <c r="L118" s="59">
        <v>0</v>
      </c>
      <c r="M118" s="11">
        <v>0.84529078006744385</v>
      </c>
      <c r="N118" s="11">
        <v>0.72531652450561523</v>
      </c>
      <c r="O118" s="11">
        <v>0.29904690384864807</v>
      </c>
      <c r="Q118" s="59">
        <v>14.703869565497447</v>
      </c>
      <c r="R118" s="78">
        <v>504.90618666872399</v>
      </c>
      <c r="S118" s="78">
        <v>14.739080884199049</v>
      </c>
      <c r="T118" s="78">
        <v>604.43886875435567</v>
      </c>
      <c r="U118" s="59">
        <v>14.732138865984695</v>
      </c>
      <c r="V118" s="78">
        <v>830.26856830335703</v>
      </c>
      <c r="X118" s="134">
        <f t="shared" si="12"/>
        <v>1469882.0503630762</v>
      </c>
      <c r="Y118" s="134">
        <f t="shared" si="13"/>
        <v>1473303.6495511506</v>
      </c>
      <c r="Z118" s="134">
        <f t="shared" si="14"/>
        <v>1472383.618030166</v>
      </c>
      <c r="AB118" s="127">
        <f t="shared" si="15"/>
        <v>0</v>
      </c>
      <c r="AC118" s="127">
        <f t="shared" si="16"/>
        <v>1</v>
      </c>
      <c r="AD118" s="127">
        <f t="shared" si="17"/>
        <v>0</v>
      </c>
    </row>
    <row r="119" spans="1:30" x14ac:dyDescent="0.25">
      <c r="A119">
        <v>114</v>
      </c>
      <c r="C119" s="11">
        <v>7.5999796390533447E-3</v>
      </c>
      <c r="D119" s="11">
        <v>2.2479414939880371E-2</v>
      </c>
      <c r="E119" s="11">
        <v>0.17113803203049927</v>
      </c>
      <c r="F119" s="11">
        <v>0.49310828843963544</v>
      </c>
      <c r="G119" s="11">
        <v>3.1655848026275635E-2</v>
      </c>
      <c r="H119" s="40">
        <v>5.4448440152723087E-4</v>
      </c>
      <c r="I119" s="40">
        <v>1.3318167450635441</v>
      </c>
      <c r="J119" s="59">
        <v>0</v>
      </c>
      <c r="K119" s="59">
        <v>6449.1434022784233</v>
      </c>
      <c r="L119" s="59">
        <v>0</v>
      </c>
      <c r="M119" s="11">
        <v>0.88209474086761475</v>
      </c>
      <c r="N119" s="11">
        <v>0.74624979496002197</v>
      </c>
      <c r="O119" s="11">
        <v>0.28525087237358093</v>
      </c>
      <c r="Q119" s="59">
        <v>15.401323927730926</v>
      </c>
      <c r="R119" s="78">
        <v>511.31475031473718</v>
      </c>
      <c r="S119" s="78">
        <v>15.451916530466056</v>
      </c>
      <c r="T119" s="78">
        <v>599.31656188222007</v>
      </c>
      <c r="U119" s="59">
        <v>15.432101345858824</v>
      </c>
      <c r="V119" s="78">
        <v>846.26922525559439</v>
      </c>
      <c r="X119" s="134">
        <f t="shared" si="12"/>
        <v>1539621.078022778</v>
      </c>
      <c r="Y119" s="134">
        <f t="shared" si="13"/>
        <v>1544592.3364847235</v>
      </c>
      <c r="Z119" s="134">
        <f t="shared" si="14"/>
        <v>1542363.8653606267</v>
      </c>
      <c r="AB119" s="127">
        <f t="shared" si="15"/>
        <v>0</v>
      </c>
      <c r="AC119" s="127">
        <f t="shared" si="16"/>
        <v>1</v>
      </c>
      <c r="AD119" s="127">
        <f t="shared" si="17"/>
        <v>0</v>
      </c>
    </row>
    <row r="120" spans="1:30" x14ac:dyDescent="0.25">
      <c r="A120">
        <v>115</v>
      </c>
      <c r="C120" s="11">
        <v>1.42851322889328E-2</v>
      </c>
      <c r="D120" s="11">
        <v>1.5789136290550232E-2</v>
      </c>
      <c r="E120" s="11">
        <v>0.36856963569020762</v>
      </c>
      <c r="F120" s="11">
        <v>0.48170122964577156</v>
      </c>
      <c r="G120" s="11">
        <v>3.6069825291633606E-2</v>
      </c>
      <c r="H120" s="40">
        <v>3.8700316018367445E-4</v>
      </c>
      <c r="I120" s="40">
        <v>1.4955924744304536</v>
      </c>
      <c r="J120" s="59">
        <v>0</v>
      </c>
      <c r="K120" s="59">
        <v>2580.5830955505371</v>
      </c>
      <c r="L120" s="59">
        <v>0</v>
      </c>
      <c r="M120" s="11">
        <v>0.87572097778320313</v>
      </c>
      <c r="N120" s="11">
        <v>0.71116113662719727</v>
      </c>
      <c r="O120" s="11">
        <v>0.30198180675506592</v>
      </c>
      <c r="Q120" s="59">
        <v>15.170813993655292</v>
      </c>
      <c r="R120" s="78">
        <v>448.75232748085648</v>
      </c>
      <c r="S120" s="78">
        <v>15.218804203420376</v>
      </c>
      <c r="T120" s="78">
        <v>599.40932873416057</v>
      </c>
      <c r="U120" s="59">
        <v>15.210114265854484</v>
      </c>
      <c r="V120" s="78">
        <v>814.6197658765044</v>
      </c>
      <c r="X120" s="134">
        <f t="shared" si="12"/>
        <v>1516632.6470380484</v>
      </c>
      <c r="Y120" s="134">
        <f t="shared" si="13"/>
        <v>1521281.0110133034</v>
      </c>
      <c r="Z120" s="134">
        <f t="shared" si="14"/>
        <v>1520196.8068195719</v>
      </c>
      <c r="AB120" s="127">
        <f t="shared" si="15"/>
        <v>0</v>
      </c>
      <c r="AC120" s="127">
        <f t="shared" si="16"/>
        <v>1</v>
      </c>
      <c r="AD120" s="127">
        <f t="shared" si="17"/>
        <v>0</v>
      </c>
    </row>
    <row r="121" spans="1:30" x14ac:dyDescent="0.25">
      <c r="A121">
        <v>116</v>
      </c>
      <c r="C121" s="11">
        <v>1.0379016399383545E-2</v>
      </c>
      <c r="D121" s="11">
        <v>1.6700088977813721E-2</v>
      </c>
      <c r="E121" s="11">
        <v>0.25715128212769978</v>
      </c>
      <c r="F121" s="11">
        <v>0.527168412168047</v>
      </c>
      <c r="G121" s="11">
        <v>3.1336605548858643E-2</v>
      </c>
      <c r="H121" s="40">
        <v>3.6645123399864832E-4</v>
      </c>
      <c r="I121" s="40">
        <v>1.4355202049878555</v>
      </c>
      <c r="J121" s="59">
        <v>0</v>
      </c>
      <c r="K121" s="59">
        <v>4174.509085714817</v>
      </c>
      <c r="L121" s="59">
        <v>0</v>
      </c>
      <c r="M121" s="11">
        <v>0.89417576789855957</v>
      </c>
      <c r="N121" s="11">
        <v>0.67865276336669922</v>
      </c>
      <c r="O121" s="11">
        <v>0.29707905650138855</v>
      </c>
      <c r="Q121" s="59">
        <v>15.557197055469883</v>
      </c>
      <c r="R121" s="78">
        <v>463.0901222805698</v>
      </c>
      <c r="S121" s="78">
        <v>15.611367581137152</v>
      </c>
      <c r="T121" s="78">
        <v>596.95016314003044</v>
      </c>
      <c r="U121" s="59">
        <v>15.591532440334401</v>
      </c>
      <c r="V121" s="78">
        <v>824.66081063869296</v>
      </c>
      <c r="X121" s="134">
        <f t="shared" si="12"/>
        <v>1555256.6154247078</v>
      </c>
      <c r="Y121" s="134">
        <f t="shared" si="13"/>
        <v>1560539.8079505754</v>
      </c>
      <c r="Z121" s="134">
        <f t="shared" si="14"/>
        <v>1558328.5832228013</v>
      </c>
      <c r="AB121" s="127">
        <f t="shared" si="15"/>
        <v>0</v>
      </c>
      <c r="AC121" s="127">
        <f t="shared" si="16"/>
        <v>1</v>
      </c>
      <c r="AD121" s="127">
        <f t="shared" si="17"/>
        <v>0</v>
      </c>
    </row>
    <row r="122" spans="1:30" x14ac:dyDescent="0.25">
      <c r="A122">
        <v>117</v>
      </c>
      <c r="C122" s="11">
        <v>1.1280015110969543E-2</v>
      </c>
      <c r="D122" s="11">
        <v>3.4931719303131104E-2</v>
      </c>
      <c r="E122" s="11">
        <v>0.24492709838332216</v>
      </c>
      <c r="F122" s="11">
        <v>0.17748578629161374</v>
      </c>
      <c r="G122" s="11">
        <v>7.4908733367919922E-2</v>
      </c>
      <c r="H122" s="40">
        <v>6.0672020061621032E-4</v>
      </c>
      <c r="I122" s="40">
        <v>1.3936863980518579</v>
      </c>
      <c r="J122" s="59">
        <v>0</v>
      </c>
      <c r="K122" s="59">
        <v>5066.2830471992493</v>
      </c>
      <c r="L122" s="59">
        <v>0</v>
      </c>
      <c r="M122" s="11">
        <v>0.88778901100158691</v>
      </c>
      <c r="N122" s="11">
        <v>0.73311519622802734</v>
      </c>
      <c r="O122" s="11">
        <v>0.31361925601959229</v>
      </c>
      <c r="Q122" s="59">
        <v>15.406166015457744</v>
      </c>
      <c r="R122" s="78">
        <v>542.48653198258216</v>
      </c>
      <c r="S122" s="78">
        <v>15.480118393555696</v>
      </c>
      <c r="T122" s="78">
        <v>615.89488570334709</v>
      </c>
      <c r="U122" s="59">
        <v>15.486844531170265</v>
      </c>
      <c r="V122" s="78">
        <v>814.7703589328579</v>
      </c>
      <c r="X122" s="134">
        <f t="shared" si="12"/>
        <v>1540074.1150137917</v>
      </c>
      <c r="Y122" s="134">
        <f t="shared" si="13"/>
        <v>1547395.9444698661</v>
      </c>
      <c r="Z122" s="134">
        <f t="shared" si="14"/>
        <v>1547869.6827580936</v>
      </c>
      <c r="AB122" s="127">
        <f t="shared" si="15"/>
        <v>0</v>
      </c>
      <c r="AC122" s="127">
        <f t="shared" si="16"/>
        <v>0</v>
      </c>
      <c r="AD122" s="127">
        <f t="shared" si="17"/>
        <v>1</v>
      </c>
    </row>
    <row r="123" spans="1:30" x14ac:dyDescent="0.25">
      <c r="A123">
        <v>118</v>
      </c>
      <c r="C123" s="11">
        <v>2.42958664894104E-2</v>
      </c>
      <c r="D123" s="11">
        <v>1.4293208718299866E-2</v>
      </c>
      <c r="E123" s="11">
        <v>0.15914055164259686</v>
      </c>
      <c r="F123" s="11">
        <v>8.5791720528575977E-2</v>
      </c>
      <c r="G123" s="11">
        <v>5.0231754779815674E-2</v>
      </c>
      <c r="H123" s="40">
        <v>4.3743773819911939E-4</v>
      </c>
      <c r="I123" s="40">
        <v>1.5632513233566325</v>
      </c>
      <c r="J123" s="59">
        <v>0</v>
      </c>
      <c r="K123" s="59">
        <v>3507.8544169664383</v>
      </c>
      <c r="L123" s="59">
        <v>0</v>
      </c>
      <c r="M123" s="11">
        <v>0.86974713206291199</v>
      </c>
      <c r="N123" s="11">
        <v>0.72564303874969482</v>
      </c>
      <c r="O123" s="11">
        <v>0.29881912469863892</v>
      </c>
      <c r="Q123" s="59">
        <v>14.891458256806148</v>
      </c>
      <c r="R123" s="78">
        <v>502.17725277066614</v>
      </c>
      <c r="S123" s="78">
        <v>14.973582290693715</v>
      </c>
      <c r="T123" s="78">
        <v>596.58476588825476</v>
      </c>
      <c r="U123" s="59">
        <v>14.980942540671071</v>
      </c>
      <c r="V123" s="78">
        <v>797.49760253323325</v>
      </c>
      <c r="X123" s="134">
        <f t="shared" si="12"/>
        <v>1488643.6484278443</v>
      </c>
      <c r="Y123" s="134">
        <f t="shared" si="13"/>
        <v>1496761.6443034832</v>
      </c>
      <c r="Z123" s="134">
        <f t="shared" si="14"/>
        <v>1497296.7564645738</v>
      </c>
      <c r="AB123" s="127">
        <f t="shared" si="15"/>
        <v>0</v>
      </c>
      <c r="AC123" s="127">
        <f t="shared" si="16"/>
        <v>0</v>
      </c>
      <c r="AD123" s="127">
        <f t="shared" si="17"/>
        <v>1</v>
      </c>
    </row>
    <row r="124" spans="1:30" x14ac:dyDescent="0.25">
      <c r="A124">
        <v>119</v>
      </c>
      <c r="C124" s="11">
        <v>1.3177305459976196E-2</v>
      </c>
      <c r="D124" s="11">
        <v>1.0896667838096619E-2</v>
      </c>
      <c r="E124" s="11">
        <v>0.28705720416170111</v>
      </c>
      <c r="F124" s="11">
        <v>0.24595391143406589</v>
      </c>
      <c r="G124" s="11">
        <v>2.1030604839324951E-2</v>
      </c>
      <c r="H124" s="40">
        <v>3.9298491147124665E-4</v>
      </c>
      <c r="I124" s="40">
        <v>1.4752531281331054</v>
      </c>
      <c r="J124" s="59">
        <v>0</v>
      </c>
      <c r="K124" s="59">
        <v>2716.5096253156662</v>
      </c>
      <c r="L124" s="59">
        <v>0</v>
      </c>
      <c r="M124" s="11">
        <v>0.86656063795089722</v>
      </c>
      <c r="N124" s="11">
        <v>0.74725800752639771</v>
      </c>
      <c r="O124" s="11">
        <v>0.27350085973739624</v>
      </c>
      <c r="Q124" s="59">
        <v>15.046715691181115</v>
      </c>
      <c r="R124" s="78">
        <v>444.87432236086022</v>
      </c>
      <c r="S124" s="78">
        <v>15.087932633425323</v>
      </c>
      <c r="T124" s="78">
        <v>593.78430771647754</v>
      </c>
      <c r="U124" s="59">
        <v>15.090344809206032</v>
      </c>
      <c r="V124" s="78">
        <v>800.6763875940178</v>
      </c>
      <c r="X124" s="134">
        <f t="shared" si="12"/>
        <v>1504226.6947957505</v>
      </c>
      <c r="Y124" s="134">
        <f t="shared" si="13"/>
        <v>1508199.4790348159</v>
      </c>
      <c r="Z124" s="134">
        <f t="shared" si="14"/>
        <v>1508233.8045330092</v>
      </c>
      <c r="AB124" s="127">
        <f t="shared" si="15"/>
        <v>0</v>
      </c>
      <c r="AC124" s="127">
        <f t="shared" si="16"/>
        <v>0</v>
      </c>
      <c r="AD124" s="127">
        <f t="shared" si="17"/>
        <v>1</v>
      </c>
    </row>
    <row r="125" spans="1:30" x14ac:dyDescent="0.25">
      <c r="A125">
        <v>120</v>
      </c>
      <c r="C125" s="11">
        <v>3.1365185976028442E-2</v>
      </c>
      <c r="D125" s="11">
        <v>2.6074647903442383E-2</v>
      </c>
      <c r="E125" s="11">
        <v>0.13332903001661917</v>
      </c>
      <c r="F125" s="11">
        <v>0.16645886008452213</v>
      </c>
      <c r="G125" s="11">
        <v>4.868665337562561E-2</v>
      </c>
      <c r="H125" s="40">
        <v>5.3570062112815277E-4</v>
      </c>
      <c r="I125" s="40">
        <v>1.4590220402712117</v>
      </c>
      <c r="J125" s="59">
        <v>0</v>
      </c>
      <c r="K125" s="59">
        <v>7050.8662611246109</v>
      </c>
      <c r="L125" s="59">
        <v>0</v>
      </c>
      <c r="M125" s="11">
        <v>0.82183575630187988</v>
      </c>
      <c r="N125" s="11">
        <v>0.71342432498931885</v>
      </c>
      <c r="O125" s="11">
        <v>0.30314713716506958</v>
      </c>
      <c r="Q125" s="59">
        <v>13.985406099181114</v>
      </c>
      <c r="R125" s="78">
        <v>587.2986225133094</v>
      </c>
      <c r="S125" s="78">
        <v>14.050911767664683</v>
      </c>
      <c r="T125" s="78">
        <v>605.25778576992707</v>
      </c>
      <c r="U125" s="59">
        <v>14.048354876527119</v>
      </c>
      <c r="V125" s="78">
        <v>820.75880520814621</v>
      </c>
      <c r="X125" s="134">
        <f t="shared" si="12"/>
        <v>1397953.311295598</v>
      </c>
      <c r="Y125" s="134">
        <f t="shared" si="13"/>
        <v>1404485.9189806983</v>
      </c>
      <c r="Z125" s="134">
        <f t="shared" si="14"/>
        <v>1404014.7288475037</v>
      </c>
      <c r="AB125" s="127">
        <f t="shared" si="15"/>
        <v>0</v>
      </c>
      <c r="AC125" s="127">
        <f t="shared" si="16"/>
        <v>1</v>
      </c>
      <c r="AD125" s="127">
        <f t="shared" si="17"/>
        <v>0</v>
      </c>
    </row>
    <row r="126" spans="1:30" x14ac:dyDescent="0.25">
      <c r="A126">
        <v>121</v>
      </c>
      <c r="C126" s="11">
        <v>9.4327181577682495E-3</v>
      </c>
      <c r="D126" s="11">
        <v>6.475597620010376E-3</v>
      </c>
      <c r="E126" s="11">
        <v>0.23333171950655138</v>
      </c>
      <c r="F126" s="11">
        <v>0.2651857998436945</v>
      </c>
      <c r="G126" s="11">
        <v>1.8348485231399536E-2</v>
      </c>
      <c r="H126" s="40">
        <v>4.5907849437915548E-4</v>
      </c>
      <c r="I126" s="40">
        <v>1.427116730072117</v>
      </c>
      <c r="J126" s="59">
        <v>0</v>
      </c>
      <c r="K126" s="59">
        <v>4456.4716517925262</v>
      </c>
      <c r="L126" s="59">
        <v>0</v>
      </c>
      <c r="M126" s="11">
        <v>0.82043850421905518</v>
      </c>
      <c r="N126" s="11">
        <v>0.74276947975158691</v>
      </c>
      <c r="O126" s="11">
        <v>0.34277570247650146</v>
      </c>
      <c r="Q126" s="59">
        <v>14.313963480727681</v>
      </c>
      <c r="R126" s="78">
        <v>477.63018725229904</v>
      </c>
      <c r="S126" s="78">
        <v>14.34541658392048</v>
      </c>
      <c r="T126" s="78">
        <v>598.77050642140773</v>
      </c>
      <c r="U126" s="59">
        <v>14.344090537659644</v>
      </c>
      <c r="V126" s="78">
        <v>810.45727232069112</v>
      </c>
      <c r="X126" s="134">
        <f t="shared" si="12"/>
        <v>1430918.7178855159</v>
      </c>
      <c r="Y126" s="134">
        <f t="shared" si="13"/>
        <v>1433942.8878856266</v>
      </c>
      <c r="Z126" s="134">
        <f t="shared" si="14"/>
        <v>1433598.5964936437</v>
      </c>
      <c r="AB126" s="127">
        <f t="shared" si="15"/>
        <v>0</v>
      </c>
      <c r="AC126" s="127">
        <f t="shared" si="16"/>
        <v>1</v>
      </c>
      <c r="AD126" s="127">
        <f t="shared" si="17"/>
        <v>0</v>
      </c>
    </row>
    <row r="127" spans="1:30" x14ac:dyDescent="0.25">
      <c r="A127">
        <v>122</v>
      </c>
      <c r="C127" s="11">
        <v>7.2834640741348267E-3</v>
      </c>
      <c r="D127" s="11">
        <v>3.3166408538818359E-2</v>
      </c>
      <c r="E127" s="11">
        <v>0.16162580292028783</v>
      </c>
      <c r="F127" s="11">
        <v>0.48006956554636271</v>
      </c>
      <c r="G127" s="11">
        <v>8.1506252288818359E-2</v>
      </c>
      <c r="H127" s="40">
        <v>6.49099194979987E-4</v>
      </c>
      <c r="I127" s="40">
        <v>1.440281099241268</v>
      </c>
      <c r="J127" s="59">
        <v>0</v>
      </c>
      <c r="K127" s="59">
        <v>3148.7643718719482</v>
      </c>
      <c r="L127" s="59">
        <v>0</v>
      </c>
      <c r="M127" s="11">
        <v>0.88546645641326904</v>
      </c>
      <c r="N127" s="11">
        <v>0.74796199798583984</v>
      </c>
      <c r="O127" s="11">
        <v>0.25925529003143311</v>
      </c>
      <c r="Q127" s="59">
        <v>15.407658032917452</v>
      </c>
      <c r="R127" s="78">
        <v>510.01164067527162</v>
      </c>
      <c r="S127" s="78">
        <v>15.506909956442566</v>
      </c>
      <c r="T127" s="78">
        <v>598.12858602123379</v>
      </c>
      <c r="U127" s="59">
        <v>15.468659950431965</v>
      </c>
      <c r="V127" s="78">
        <v>844.38518592026992</v>
      </c>
      <c r="X127" s="134">
        <f t="shared" si="12"/>
        <v>1540255.7916510699</v>
      </c>
      <c r="Y127" s="134">
        <f t="shared" si="13"/>
        <v>1550092.8670582355</v>
      </c>
      <c r="Z127" s="134">
        <f t="shared" si="14"/>
        <v>1546021.6098572763</v>
      </c>
      <c r="AB127" s="127">
        <f t="shared" si="15"/>
        <v>0</v>
      </c>
      <c r="AC127" s="127">
        <f t="shared" si="16"/>
        <v>1</v>
      </c>
      <c r="AD127" s="127">
        <f t="shared" si="17"/>
        <v>0</v>
      </c>
    </row>
    <row r="128" spans="1:30" x14ac:dyDescent="0.25">
      <c r="A128">
        <v>123</v>
      </c>
      <c r="C128" s="11">
        <v>6.9474220275878906E-2</v>
      </c>
      <c r="D128" s="11">
        <v>4.0933728218078613E-2</v>
      </c>
      <c r="E128" s="11">
        <v>0.57907962209756347</v>
      </c>
      <c r="F128" s="11">
        <v>8.9475754451725162E-2</v>
      </c>
      <c r="G128" s="11">
        <v>2.3508310317993164E-2</v>
      </c>
      <c r="H128" s="40">
        <v>6.6947265918621739E-4</v>
      </c>
      <c r="I128" s="40">
        <v>1.3460771852748208</v>
      </c>
      <c r="J128" s="59">
        <v>0</v>
      </c>
      <c r="K128" s="59">
        <v>3653.8485437631607</v>
      </c>
      <c r="L128" s="59">
        <v>0</v>
      </c>
      <c r="M128" s="11">
        <v>0.85626566410064697</v>
      </c>
      <c r="N128" s="11">
        <v>0.73206764459609985</v>
      </c>
      <c r="O128" s="11">
        <v>0.31481307744979858</v>
      </c>
      <c r="Q128" s="59">
        <v>14.002794017455445</v>
      </c>
      <c r="R128" s="78">
        <v>469.76186968585336</v>
      </c>
      <c r="S128" s="78">
        <v>14.032376665607845</v>
      </c>
      <c r="T128" s="78">
        <v>623.21658207243297</v>
      </c>
      <c r="U128" s="59">
        <v>14.067449350028056</v>
      </c>
      <c r="V128" s="78">
        <v>794.89492566613706</v>
      </c>
      <c r="X128" s="134">
        <f t="shared" si="12"/>
        <v>1399809.6398758586</v>
      </c>
      <c r="Y128" s="134">
        <f t="shared" si="13"/>
        <v>1402614.449978712</v>
      </c>
      <c r="Z128" s="134">
        <f t="shared" si="14"/>
        <v>1405950.0400771396</v>
      </c>
      <c r="AB128" s="127">
        <f t="shared" si="15"/>
        <v>0</v>
      </c>
      <c r="AC128" s="127">
        <f t="shared" si="16"/>
        <v>0</v>
      </c>
      <c r="AD128" s="127">
        <f t="shared" si="17"/>
        <v>1</v>
      </c>
    </row>
    <row r="129" spans="1:30" x14ac:dyDescent="0.25">
      <c r="A129">
        <v>124</v>
      </c>
      <c r="C129" s="11">
        <v>1.4117926359176636E-2</v>
      </c>
      <c r="D129" s="11">
        <v>2.9848277568817139E-2</v>
      </c>
      <c r="E129" s="11">
        <v>0.14939760259707585</v>
      </c>
      <c r="F129" s="11">
        <v>0.24453955137868244</v>
      </c>
      <c r="G129" s="11">
        <v>6.4918875694274902E-2</v>
      </c>
      <c r="H129" s="40">
        <v>5.0377164765378962E-4</v>
      </c>
      <c r="I129" s="40">
        <v>1.4150995011466676</v>
      </c>
      <c r="J129" s="59">
        <v>0</v>
      </c>
      <c r="K129" s="59">
        <v>5207.6065912842751</v>
      </c>
      <c r="L129" s="59">
        <v>0</v>
      </c>
      <c r="M129" s="11">
        <v>0.86363875865936279</v>
      </c>
      <c r="N129" s="11">
        <v>0.70130693912506104</v>
      </c>
      <c r="O129" s="11">
        <v>0.2851141095161438</v>
      </c>
      <c r="Q129" s="59">
        <v>14.953601691736109</v>
      </c>
      <c r="R129" s="78">
        <v>523.63162092026334</v>
      </c>
      <c r="S129" s="78">
        <v>15.026518323144131</v>
      </c>
      <c r="T129" s="78">
        <v>598.65165610243889</v>
      </c>
      <c r="U129" s="59">
        <v>15.018239333948872</v>
      </c>
      <c r="V129" s="78">
        <v>820.113749683371</v>
      </c>
      <c r="X129" s="134">
        <f t="shared" si="12"/>
        <v>1494836.5375526906</v>
      </c>
      <c r="Y129" s="134">
        <f t="shared" si="13"/>
        <v>1502053.1806583107</v>
      </c>
      <c r="Z129" s="134">
        <f t="shared" si="14"/>
        <v>1501003.8196452039</v>
      </c>
      <c r="AB129" s="127">
        <f t="shared" si="15"/>
        <v>0</v>
      </c>
      <c r="AC129" s="127">
        <f t="shared" si="16"/>
        <v>1</v>
      </c>
      <c r="AD129" s="127">
        <f t="shared" si="17"/>
        <v>0</v>
      </c>
    </row>
    <row r="130" spans="1:30" x14ac:dyDescent="0.25">
      <c r="A130">
        <v>125</v>
      </c>
      <c r="C130" s="11">
        <v>1.232437789440155E-2</v>
      </c>
      <c r="D130" s="11">
        <v>2.2189974784851074E-2</v>
      </c>
      <c r="E130" s="11">
        <v>0.32604094451112647</v>
      </c>
      <c r="F130" s="11">
        <v>0.13419897430828048</v>
      </c>
      <c r="G130" s="11">
        <v>3.7598580121994019E-2</v>
      </c>
      <c r="H130" s="40">
        <v>3.5753822302456124E-4</v>
      </c>
      <c r="I130" s="40">
        <v>1.4961197240326014</v>
      </c>
      <c r="J130" s="59">
        <v>0</v>
      </c>
      <c r="K130" s="59">
        <v>5644.2385539412498</v>
      </c>
      <c r="L130" s="59">
        <v>0</v>
      </c>
      <c r="M130" s="11">
        <v>0.85788524150848389</v>
      </c>
      <c r="N130" s="11">
        <v>0.75945150852203369</v>
      </c>
      <c r="O130" s="11">
        <v>0.32810127735137939</v>
      </c>
      <c r="Q130" s="59">
        <v>14.912852147289064</v>
      </c>
      <c r="R130" s="78">
        <v>505.8765558409724</v>
      </c>
      <c r="S130" s="78">
        <v>14.948824353172185</v>
      </c>
      <c r="T130" s="78">
        <v>615.88568127894132</v>
      </c>
      <c r="U130" s="59">
        <v>14.959237052842171</v>
      </c>
      <c r="V130" s="78">
        <v>803.23081659773072</v>
      </c>
      <c r="X130" s="134">
        <f t="shared" si="12"/>
        <v>1490779.3381730653</v>
      </c>
      <c r="Y130" s="134">
        <f t="shared" si="13"/>
        <v>1494266.5496359395</v>
      </c>
      <c r="Z130" s="134">
        <f t="shared" si="14"/>
        <v>1495120.4744676193</v>
      </c>
      <c r="AB130" s="127">
        <f t="shared" si="15"/>
        <v>0</v>
      </c>
      <c r="AC130" s="127">
        <f t="shared" si="16"/>
        <v>0</v>
      </c>
      <c r="AD130" s="127">
        <f t="shared" si="17"/>
        <v>1</v>
      </c>
    </row>
    <row r="131" spans="1:30" x14ac:dyDescent="0.25">
      <c r="A131">
        <v>126</v>
      </c>
      <c r="C131" s="11">
        <v>1.5509441494941711E-2</v>
      </c>
      <c r="D131" s="11">
        <v>1.2010902166366577E-2</v>
      </c>
      <c r="E131" s="11">
        <v>0.20839801845788963</v>
      </c>
      <c r="F131" s="11">
        <v>0.1297951245431507</v>
      </c>
      <c r="G131" s="11">
        <v>5.3816139698028564E-2</v>
      </c>
      <c r="H131" s="40">
        <v>3.2890315437013892E-4</v>
      </c>
      <c r="I131" s="40">
        <v>1.556702608318316</v>
      </c>
      <c r="J131" s="59">
        <v>0</v>
      </c>
      <c r="K131" s="59">
        <v>3894.8189467191696</v>
      </c>
      <c r="L131" s="59">
        <v>0</v>
      </c>
      <c r="M131" s="11">
        <v>0.90247702598571777</v>
      </c>
      <c r="N131" s="11">
        <v>0.77153205871582031</v>
      </c>
      <c r="O131" s="11">
        <v>0.26141452789306641</v>
      </c>
      <c r="Q131" s="59">
        <v>15.620618366914005</v>
      </c>
      <c r="R131" s="78">
        <v>485.5657480397806</v>
      </c>
      <c r="S131" s="78">
        <v>15.678231421201595</v>
      </c>
      <c r="T131" s="78">
        <v>598.36434048865283</v>
      </c>
      <c r="U131" s="59">
        <v>15.684063110012794</v>
      </c>
      <c r="V131" s="78">
        <v>800.07828742424624</v>
      </c>
      <c r="X131" s="134">
        <f t="shared" si="12"/>
        <v>1561576.2709433606</v>
      </c>
      <c r="Y131" s="134">
        <f t="shared" si="13"/>
        <v>1567224.7777796709</v>
      </c>
      <c r="Z131" s="134">
        <f t="shared" si="14"/>
        <v>1567606.2327138551</v>
      </c>
      <c r="AB131" s="127">
        <f t="shared" si="15"/>
        <v>0</v>
      </c>
      <c r="AC131" s="127">
        <f t="shared" si="16"/>
        <v>0</v>
      </c>
      <c r="AD131" s="127">
        <f t="shared" si="17"/>
        <v>1</v>
      </c>
    </row>
    <row r="132" spans="1:30" x14ac:dyDescent="0.25">
      <c r="A132">
        <v>127</v>
      </c>
      <c r="C132" s="11">
        <v>2.2010564804077148E-2</v>
      </c>
      <c r="D132" s="11">
        <v>4.7433376312255859E-2</v>
      </c>
      <c r="E132" s="11">
        <v>0.2487607250422742</v>
      </c>
      <c r="F132" s="11">
        <v>0.21926515032589558</v>
      </c>
      <c r="G132" s="11">
        <v>2.0791023969650269E-2</v>
      </c>
      <c r="H132" s="40">
        <v>4.3083397153609315E-4</v>
      </c>
      <c r="I132" s="40">
        <v>1.3630670188075675</v>
      </c>
      <c r="J132" s="59">
        <v>0</v>
      </c>
      <c r="K132" s="59">
        <v>4353.3183634281158</v>
      </c>
      <c r="L132" s="59">
        <v>0</v>
      </c>
      <c r="M132" s="11">
        <v>0.81530284881591797</v>
      </c>
      <c r="N132" s="11">
        <v>0.77508544921875</v>
      </c>
      <c r="O132" s="11">
        <v>0.34568727016448975</v>
      </c>
      <c r="Q132" s="59">
        <v>14.052388764365181</v>
      </c>
      <c r="R132" s="78">
        <v>457.49905659134339</v>
      </c>
      <c r="S132" s="78">
        <v>14.076188500235498</v>
      </c>
      <c r="T132" s="78">
        <v>594.94868713883227</v>
      </c>
      <c r="U132" s="59">
        <v>14.077133848419832</v>
      </c>
      <c r="V132" s="78">
        <v>802.06297976788767</v>
      </c>
      <c r="X132" s="134">
        <f t="shared" si="12"/>
        <v>1404781.3773799266</v>
      </c>
      <c r="Y132" s="134">
        <f t="shared" si="13"/>
        <v>1407023.901336411</v>
      </c>
      <c r="Z132" s="134">
        <f t="shared" si="14"/>
        <v>1406911.3218622154</v>
      </c>
      <c r="AB132" s="127">
        <f t="shared" si="15"/>
        <v>0</v>
      </c>
      <c r="AC132" s="127">
        <f t="shared" si="16"/>
        <v>1</v>
      </c>
      <c r="AD132" s="127">
        <f t="shared" si="17"/>
        <v>0</v>
      </c>
    </row>
    <row r="133" spans="1:30" x14ac:dyDescent="0.25">
      <c r="A133">
        <v>128</v>
      </c>
      <c r="C133" s="11">
        <v>8.0593526363372803E-3</v>
      </c>
      <c r="D133" s="11">
        <v>8.89129638671875E-2</v>
      </c>
      <c r="E133" s="11">
        <v>0.15280757139922727</v>
      </c>
      <c r="F133" s="11">
        <v>0.28961298348024739</v>
      </c>
      <c r="G133" s="11">
        <v>5.7442724704742432E-2</v>
      </c>
      <c r="H133" s="40">
        <v>8.243646405874563E-4</v>
      </c>
      <c r="I133" s="40">
        <v>1.3218751623550937</v>
      </c>
      <c r="J133" s="59">
        <v>0</v>
      </c>
      <c r="K133" s="59">
        <v>5755.1986537873745</v>
      </c>
      <c r="L133" s="59">
        <v>0</v>
      </c>
      <c r="M133" s="11">
        <v>0.83041447401046753</v>
      </c>
      <c r="N133" s="11">
        <v>0.74400252103805542</v>
      </c>
      <c r="O133" s="11">
        <v>0.27310216426849365</v>
      </c>
      <c r="Q133" s="59">
        <v>14.450080919434852</v>
      </c>
      <c r="R133" s="78">
        <v>563.53830702357857</v>
      </c>
      <c r="S133" s="78">
        <v>14.534322824339386</v>
      </c>
      <c r="T133" s="78">
        <v>605.36007014023937</v>
      </c>
      <c r="U133" s="59">
        <v>14.520493115496645</v>
      </c>
      <c r="V133" s="78">
        <v>837.8191098158685</v>
      </c>
      <c r="X133" s="134">
        <f t="shared" si="12"/>
        <v>1444444.5536364617</v>
      </c>
      <c r="Y133" s="134">
        <f t="shared" si="13"/>
        <v>1452826.9223637981</v>
      </c>
      <c r="Z133" s="134">
        <f t="shared" si="14"/>
        <v>1451211.4924398486</v>
      </c>
      <c r="AB133" s="127">
        <f t="shared" si="15"/>
        <v>0</v>
      </c>
      <c r="AC133" s="127">
        <f t="shared" si="16"/>
        <v>1</v>
      </c>
      <c r="AD133" s="127">
        <f t="shared" si="17"/>
        <v>0</v>
      </c>
    </row>
    <row r="134" spans="1:30" x14ac:dyDescent="0.25">
      <c r="A134">
        <v>129</v>
      </c>
      <c r="C134" s="11">
        <v>1.1154800653457642E-2</v>
      </c>
      <c r="D134" s="11">
        <v>2.443578839302063E-2</v>
      </c>
      <c r="E134" s="11">
        <v>0.18028168035040915</v>
      </c>
      <c r="F134" s="11">
        <v>0.27224900581055927</v>
      </c>
      <c r="G134" s="11">
        <v>5.3385764360427856E-2</v>
      </c>
      <c r="H134" s="40">
        <v>2.9286470435148913E-4</v>
      </c>
      <c r="I134" s="40">
        <v>1.6200557271557847</v>
      </c>
      <c r="J134" s="59">
        <v>0</v>
      </c>
      <c r="K134" s="59">
        <v>5837.1573686599731</v>
      </c>
      <c r="L134" s="59">
        <v>0</v>
      </c>
      <c r="M134" s="11">
        <v>0.85132044553756714</v>
      </c>
      <c r="N134" s="11">
        <v>0.74103063344955444</v>
      </c>
      <c r="O134" s="11">
        <v>0.31287091970443726</v>
      </c>
      <c r="Q134" s="59">
        <v>14.79844080272853</v>
      </c>
      <c r="R134" s="78">
        <v>540.61963567729811</v>
      </c>
      <c r="S134" s="78">
        <v>14.856532658637748</v>
      </c>
      <c r="T134" s="78">
        <v>605.88425931712152</v>
      </c>
      <c r="U134" s="59">
        <v>14.849898086280227</v>
      </c>
      <c r="V134" s="78">
        <v>828.52114706750467</v>
      </c>
      <c r="X134" s="134">
        <f t="shared" si="12"/>
        <v>1479303.4606371757</v>
      </c>
      <c r="Y134" s="134">
        <f t="shared" si="13"/>
        <v>1485047.3816044577</v>
      </c>
      <c r="Z134" s="134">
        <f t="shared" si="14"/>
        <v>1484161.2874809552</v>
      </c>
      <c r="AB134" s="127">
        <f t="shared" si="15"/>
        <v>0</v>
      </c>
      <c r="AC134" s="127">
        <f t="shared" si="16"/>
        <v>1</v>
      </c>
      <c r="AD134" s="127">
        <f t="shared" si="17"/>
        <v>0</v>
      </c>
    </row>
    <row r="135" spans="1:30" x14ac:dyDescent="0.25">
      <c r="A135">
        <v>130</v>
      </c>
      <c r="C135" s="11">
        <v>5.0736188888549805E-2</v>
      </c>
      <c r="D135" s="11">
        <v>1.9362777471542358E-2</v>
      </c>
      <c r="E135" s="11">
        <v>0.39432963831075418</v>
      </c>
      <c r="F135" s="11">
        <v>0.18299488605644085</v>
      </c>
      <c r="G135" s="11">
        <v>2.3497462272644043E-2</v>
      </c>
      <c r="H135" s="40">
        <v>4.3218491026739771E-4</v>
      </c>
      <c r="I135" s="40">
        <v>1.5154298621253364</v>
      </c>
      <c r="J135" s="59">
        <v>0</v>
      </c>
      <c r="K135" s="59">
        <v>5510.6473155319691</v>
      </c>
      <c r="L135" s="59">
        <v>0</v>
      </c>
      <c r="M135" s="11">
        <v>0.83096921443939209</v>
      </c>
      <c r="N135" s="11">
        <v>0.77551531791687012</v>
      </c>
      <c r="O135" s="11">
        <v>0.29656690359115601</v>
      </c>
      <c r="Q135" s="59">
        <v>13.884793616218255</v>
      </c>
      <c r="R135" s="78">
        <v>517.96074180786911</v>
      </c>
      <c r="S135" s="78">
        <v>13.913803085904666</v>
      </c>
      <c r="T135" s="78">
        <v>628.52750668902047</v>
      </c>
      <c r="U135" s="59">
        <v>13.924142866284091</v>
      </c>
      <c r="V135" s="78">
        <v>811.09040011512229</v>
      </c>
      <c r="X135" s="134">
        <f t="shared" si="12"/>
        <v>1387961.4008800176</v>
      </c>
      <c r="Y135" s="134">
        <f t="shared" si="13"/>
        <v>1390751.7810837775</v>
      </c>
      <c r="Z135" s="134">
        <f t="shared" si="14"/>
        <v>1391603.1962282939</v>
      </c>
      <c r="AB135" s="127">
        <f t="shared" si="15"/>
        <v>0</v>
      </c>
      <c r="AC135" s="127">
        <f t="shared" si="16"/>
        <v>0</v>
      </c>
      <c r="AD135" s="127">
        <f t="shared" si="17"/>
        <v>1</v>
      </c>
    </row>
    <row r="136" spans="1:30" x14ac:dyDescent="0.25">
      <c r="A136">
        <v>131</v>
      </c>
      <c r="C136" s="11">
        <v>1.5310421586036682E-2</v>
      </c>
      <c r="D136" s="11">
        <v>1.2215450406074524E-2</v>
      </c>
      <c r="E136" s="11">
        <v>0.2272339257209211</v>
      </c>
      <c r="F136" s="11">
        <v>0.21275381159476786</v>
      </c>
      <c r="G136" s="11">
        <v>2.21099853515625E-2</v>
      </c>
      <c r="H136" s="40">
        <v>5.2401570585529182E-4</v>
      </c>
      <c r="I136" s="40">
        <v>1.3728247975968104</v>
      </c>
      <c r="J136" s="59">
        <v>0</v>
      </c>
      <c r="K136" s="59">
        <v>4733.6611896753311</v>
      </c>
      <c r="L136" s="59">
        <v>0</v>
      </c>
      <c r="M136" s="11">
        <v>0.86401298642158508</v>
      </c>
      <c r="N136" s="11">
        <v>0.76299697160720825</v>
      </c>
      <c r="O136" s="11">
        <v>0.29397130012512207</v>
      </c>
      <c r="Q136" s="59">
        <v>14.976486297406534</v>
      </c>
      <c r="R136" s="78">
        <v>481.87643002931929</v>
      </c>
      <c r="S136" s="78">
        <v>15.016048667110997</v>
      </c>
      <c r="T136" s="78">
        <v>599.21756840576836</v>
      </c>
      <c r="U136" s="59">
        <v>15.016800868660315</v>
      </c>
      <c r="V136" s="78">
        <v>806.93365639248987</v>
      </c>
      <c r="X136" s="134">
        <f t="shared" si="12"/>
        <v>1497166.7533106243</v>
      </c>
      <c r="Y136" s="134">
        <f t="shared" si="13"/>
        <v>1501005.649142694</v>
      </c>
      <c r="Z136" s="134">
        <f t="shared" si="14"/>
        <v>1500873.153209639</v>
      </c>
      <c r="AB136" s="127">
        <f t="shared" si="15"/>
        <v>0</v>
      </c>
      <c r="AC136" s="127">
        <f t="shared" si="16"/>
        <v>1</v>
      </c>
      <c r="AD136" s="127">
        <f t="shared" si="17"/>
        <v>0</v>
      </c>
    </row>
    <row r="137" spans="1:30" x14ac:dyDescent="0.25">
      <c r="A137">
        <v>132</v>
      </c>
      <c r="C137" s="11">
        <v>4.8931121826171875E-2</v>
      </c>
      <c r="D137" s="11">
        <v>1.1903360486030579E-2</v>
      </c>
      <c r="E137" s="11">
        <v>0.14468595437470247</v>
      </c>
      <c r="F137" s="11">
        <v>0.1152076150555592</v>
      </c>
      <c r="G137" s="11">
        <v>4.4048488140106201E-2</v>
      </c>
      <c r="H137" s="40">
        <v>3.610699391504918E-4</v>
      </c>
      <c r="I137" s="40">
        <v>1.4191751825585801</v>
      </c>
      <c r="J137" s="59">
        <v>0</v>
      </c>
      <c r="K137" s="59">
        <v>4570.8217658102512</v>
      </c>
      <c r="L137" s="59">
        <v>0</v>
      </c>
      <c r="M137" s="11">
        <v>0.86302566528320313</v>
      </c>
      <c r="N137" s="11">
        <v>0.75476735830307007</v>
      </c>
      <c r="O137" s="11">
        <v>0.24638271331787109</v>
      </c>
      <c r="Q137" s="59">
        <v>14.453442806845384</v>
      </c>
      <c r="R137" s="78">
        <v>467.11939961287516</v>
      </c>
      <c r="S137" s="78">
        <v>14.491648496652378</v>
      </c>
      <c r="T137" s="78">
        <v>589.69508334111299</v>
      </c>
      <c r="U137" s="59">
        <v>14.492982838355481</v>
      </c>
      <c r="V137" s="78">
        <v>796.5192746529093</v>
      </c>
      <c r="X137" s="134">
        <f t="shared" si="12"/>
        <v>1444877.1612849256</v>
      </c>
      <c r="Y137" s="134">
        <f t="shared" si="13"/>
        <v>1448575.1545818967</v>
      </c>
      <c r="Z137" s="134">
        <f t="shared" si="14"/>
        <v>1448501.764560895</v>
      </c>
      <c r="AB137" s="127">
        <f t="shared" si="15"/>
        <v>0</v>
      </c>
      <c r="AC137" s="127">
        <f t="shared" si="16"/>
        <v>1</v>
      </c>
      <c r="AD137" s="127">
        <f t="shared" si="17"/>
        <v>0</v>
      </c>
    </row>
    <row r="138" spans="1:30" x14ac:dyDescent="0.25">
      <c r="A138">
        <v>133</v>
      </c>
      <c r="C138" s="11">
        <v>1.0388851165771484E-2</v>
      </c>
      <c r="D138" s="11">
        <v>3.8280189037322998E-2</v>
      </c>
      <c r="E138" s="11">
        <v>0.29857080808686326</v>
      </c>
      <c r="F138" s="11">
        <v>0.11708484709643235</v>
      </c>
      <c r="G138" s="11">
        <v>2.4479329586029053E-2</v>
      </c>
      <c r="H138" s="40">
        <v>5.867418875774679E-4</v>
      </c>
      <c r="I138" s="40">
        <v>1.5017847058962366</v>
      </c>
      <c r="J138" s="59">
        <v>0</v>
      </c>
      <c r="K138" s="59">
        <v>6328.1413167715073</v>
      </c>
      <c r="L138" s="59">
        <v>0</v>
      </c>
      <c r="M138" s="11">
        <v>0.8712431788444519</v>
      </c>
      <c r="N138" s="11">
        <v>0.76517653465270996</v>
      </c>
      <c r="O138" s="11">
        <v>0.28848466277122498</v>
      </c>
      <c r="Q138" s="59">
        <v>15.130242608170354</v>
      </c>
      <c r="R138" s="78">
        <v>586.75058482587178</v>
      </c>
      <c r="S138" s="78">
        <v>15.199115471543804</v>
      </c>
      <c r="T138" s="78">
        <v>637.68971052903112</v>
      </c>
      <c r="U138" s="59">
        <v>15.21745038230266</v>
      </c>
      <c r="V138" s="78">
        <v>811.13361037668494</v>
      </c>
      <c r="X138" s="134">
        <f t="shared" si="12"/>
        <v>1512437.5102322095</v>
      </c>
      <c r="Y138" s="134">
        <f t="shared" si="13"/>
        <v>1519273.8574438514</v>
      </c>
      <c r="Z138" s="134">
        <f t="shared" si="14"/>
        <v>1520933.9046198893</v>
      </c>
      <c r="AB138" s="127">
        <f t="shared" si="15"/>
        <v>0</v>
      </c>
      <c r="AC138" s="127">
        <f t="shared" si="16"/>
        <v>0</v>
      </c>
      <c r="AD138" s="127">
        <f t="shared" si="17"/>
        <v>1</v>
      </c>
    </row>
    <row r="139" spans="1:30" x14ac:dyDescent="0.25">
      <c r="A139">
        <v>134</v>
      </c>
      <c r="C139" s="11">
        <v>1.5579938888549805E-2</v>
      </c>
      <c r="D139" s="11">
        <v>1.9752398133277893E-2</v>
      </c>
      <c r="E139" s="11">
        <v>0.18840824306255138</v>
      </c>
      <c r="F139" s="11">
        <v>0.18980429207321448</v>
      </c>
      <c r="G139" s="11">
        <v>1.6911596059799194E-2</v>
      </c>
      <c r="H139" s="40">
        <v>3.727592109693233E-4</v>
      </c>
      <c r="I139" s="40">
        <v>1.4881609376772691</v>
      </c>
      <c r="J139" s="59">
        <v>0</v>
      </c>
      <c r="K139" s="59">
        <v>2565.4211640357971</v>
      </c>
      <c r="L139" s="59">
        <v>0</v>
      </c>
      <c r="M139" s="11">
        <v>0.86523285508155823</v>
      </c>
      <c r="N139" s="11">
        <v>0.73031389713287354</v>
      </c>
      <c r="O139" s="11">
        <v>0.29356801509857178</v>
      </c>
      <c r="Q139" s="59">
        <v>14.982660731937274</v>
      </c>
      <c r="R139" s="78">
        <v>440.03561714562204</v>
      </c>
      <c r="S139" s="78">
        <v>15.033065570261082</v>
      </c>
      <c r="T139" s="78">
        <v>587.7954638509824</v>
      </c>
      <c r="U139" s="59">
        <v>15.032977484151493</v>
      </c>
      <c r="V139" s="78">
        <v>796.86042149867058</v>
      </c>
      <c r="X139" s="134">
        <f t="shared" si="12"/>
        <v>1497826.0375765818</v>
      </c>
      <c r="Y139" s="134">
        <f t="shared" si="13"/>
        <v>1502718.7615622573</v>
      </c>
      <c r="Z139" s="134">
        <f t="shared" si="14"/>
        <v>1502500.8879936505</v>
      </c>
      <c r="AB139" s="127">
        <f t="shared" si="15"/>
        <v>0</v>
      </c>
      <c r="AC139" s="127">
        <f t="shared" si="16"/>
        <v>1</v>
      </c>
      <c r="AD139" s="127">
        <f t="shared" si="17"/>
        <v>0</v>
      </c>
    </row>
    <row r="140" spans="1:30" x14ac:dyDescent="0.25">
      <c r="A140">
        <v>135</v>
      </c>
      <c r="C140" s="11">
        <v>2.5942355394363403E-2</v>
      </c>
      <c r="D140" s="11">
        <v>2.4486929178237915E-2</v>
      </c>
      <c r="E140" s="11">
        <v>0.20521513356776977</v>
      </c>
      <c r="F140" s="11">
        <v>0.25415868234329364</v>
      </c>
      <c r="G140" s="11">
        <v>4.0558606386184692E-2</v>
      </c>
      <c r="H140" s="40">
        <v>4.1413931372023685E-4</v>
      </c>
      <c r="I140" s="40">
        <v>1.4732104050698174</v>
      </c>
      <c r="J140" s="59">
        <v>0</v>
      </c>
      <c r="K140" s="59">
        <v>4311.1504055559635</v>
      </c>
      <c r="L140" s="59">
        <v>0</v>
      </c>
      <c r="M140" s="11">
        <v>0.8153536319732666</v>
      </c>
      <c r="N140" s="11">
        <v>0.75927865505218506</v>
      </c>
      <c r="O140" s="11">
        <v>0.25252389907836914</v>
      </c>
      <c r="Q140" s="59">
        <v>13.980942029915466</v>
      </c>
      <c r="R140" s="78">
        <v>486.48058599184463</v>
      </c>
      <c r="S140" s="78">
        <v>14.018526121130511</v>
      </c>
      <c r="T140" s="78">
        <v>598.2465553748541</v>
      </c>
      <c r="U140" s="59">
        <v>14.016174748275528</v>
      </c>
      <c r="V140" s="78">
        <v>811.81613058540177</v>
      </c>
      <c r="X140" s="134">
        <f t="shared" si="12"/>
        <v>1397607.7224055547</v>
      </c>
      <c r="Y140" s="134">
        <f t="shared" si="13"/>
        <v>1401254.3655576762</v>
      </c>
      <c r="Z140" s="134">
        <f t="shared" si="14"/>
        <v>1400805.6586969674</v>
      </c>
      <c r="AB140" s="127">
        <f t="shared" si="15"/>
        <v>0</v>
      </c>
      <c r="AC140" s="127">
        <f t="shared" si="16"/>
        <v>1</v>
      </c>
      <c r="AD140" s="127">
        <f t="shared" si="17"/>
        <v>0</v>
      </c>
    </row>
    <row r="141" spans="1:30" x14ac:dyDescent="0.25">
      <c r="A141">
        <v>136</v>
      </c>
      <c r="C141" s="11">
        <v>1.6881659626960754E-2</v>
      </c>
      <c r="D141" s="11">
        <v>5.4268687963485718E-3</v>
      </c>
      <c r="E141" s="11">
        <v>0.46394439114348385</v>
      </c>
      <c r="F141" s="11">
        <v>0.17026476809015598</v>
      </c>
      <c r="G141" s="11">
        <v>2.1789401769638062E-2</v>
      </c>
      <c r="H141" s="40">
        <v>2.819924028616883E-4</v>
      </c>
      <c r="I141" s="40">
        <v>1.4801560166822041</v>
      </c>
      <c r="J141" s="59">
        <v>0</v>
      </c>
      <c r="K141" s="59">
        <v>5466.1277681589127</v>
      </c>
      <c r="L141" s="59">
        <v>0</v>
      </c>
      <c r="M141" s="11">
        <v>0.8775637149810791</v>
      </c>
      <c r="N141" s="11">
        <v>0.74623477458953857</v>
      </c>
      <c r="O141" s="11">
        <v>0.33482325077056885</v>
      </c>
      <c r="Q141" s="59">
        <v>15.196623173500731</v>
      </c>
      <c r="R141" s="78">
        <v>468.98716512677385</v>
      </c>
      <c r="S141" s="78">
        <v>15.219311766739716</v>
      </c>
      <c r="T141" s="78">
        <v>614.02532034682633</v>
      </c>
      <c r="U141" s="59">
        <v>15.231891446696023</v>
      </c>
      <c r="V141" s="78">
        <v>800.90188029486615</v>
      </c>
      <c r="X141" s="134">
        <f t="shared" si="12"/>
        <v>1519193.3301849463</v>
      </c>
      <c r="Y141" s="134">
        <f t="shared" si="13"/>
        <v>1521317.1513536246</v>
      </c>
      <c r="Z141" s="134">
        <f t="shared" si="14"/>
        <v>1522388.2427893076</v>
      </c>
      <c r="AB141" s="127">
        <f t="shared" si="15"/>
        <v>0</v>
      </c>
      <c r="AC141" s="127">
        <f t="shared" si="16"/>
        <v>0</v>
      </c>
      <c r="AD141" s="127">
        <f t="shared" si="17"/>
        <v>1</v>
      </c>
    </row>
    <row r="142" spans="1:30" x14ac:dyDescent="0.25">
      <c r="A142">
        <v>137</v>
      </c>
      <c r="C142" s="11">
        <v>2.4159222841262817E-2</v>
      </c>
      <c r="D142" s="11">
        <v>5.6158751249313354E-3</v>
      </c>
      <c r="E142" s="11">
        <v>0.32787087178518259</v>
      </c>
      <c r="F142" s="11">
        <v>0.33811888420229053</v>
      </c>
      <c r="G142" s="11">
        <v>2.7243375778198242E-2</v>
      </c>
      <c r="H142" s="40">
        <v>3.9378916103559308E-4</v>
      </c>
      <c r="I142" s="40">
        <v>1.4420816462203423</v>
      </c>
      <c r="J142" s="59">
        <v>0</v>
      </c>
      <c r="K142" s="59">
        <v>7025.2548903226852</v>
      </c>
      <c r="L142" s="59">
        <v>0</v>
      </c>
      <c r="M142" s="11">
        <v>0.85117775201797485</v>
      </c>
      <c r="N142" s="11">
        <v>0.70325303077697754</v>
      </c>
      <c r="O142" s="11">
        <v>0.29995346069335938</v>
      </c>
      <c r="Q142" s="59">
        <v>14.614109547531882</v>
      </c>
      <c r="R142" s="78">
        <v>516.89142105630651</v>
      </c>
      <c r="S142" s="78">
        <v>14.652538607887767</v>
      </c>
      <c r="T142" s="78">
        <v>619.70789761933406</v>
      </c>
      <c r="U142" s="59">
        <v>14.651945893312789</v>
      </c>
      <c r="V142" s="78">
        <v>829.9736811546602</v>
      </c>
      <c r="X142" s="134">
        <f t="shared" si="12"/>
        <v>1460894.0633321318</v>
      </c>
      <c r="Y142" s="134">
        <f t="shared" si="13"/>
        <v>1464634.1528911574</v>
      </c>
      <c r="Z142" s="134">
        <f t="shared" si="14"/>
        <v>1464364.6156501241</v>
      </c>
      <c r="AB142" s="127">
        <f t="shared" si="15"/>
        <v>0</v>
      </c>
      <c r="AC142" s="127">
        <f t="shared" si="16"/>
        <v>1</v>
      </c>
      <c r="AD142" s="127">
        <f t="shared" si="17"/>
        <v>0</v>
      </c>
    </row>
    <row r="143" spans="1:30" x14ac:dyDescent="0.25">
      <c r="A143">
        <v>138</v>
      </c>
      <c r="C143" s="11">
        <v>4.716530442237854E-3</v>
      </c>
      <c r="D143" s="11">
        <v>1.7141804099082947E-2</v>
      </c>
      <c r="E143" s="11">
        <v>0.39201258983469295</v>
      </c>
      <c r="F143" s="11">
        <v>0.14439375789688705</v>
      </c>
      <c r="G143" s="11">
        <v>3.3014968037605286E-2</v>
      </c>
      <c r="H143" s="40">
        <v>4.0870505155199546E-4</v>
      </c>
      <c r="I143" s="40">
        <v>1.4621736100949192</v>
      </c>
      <c r="J143" s="59">
        <v>0</v>
      </c>
      <c r="K143" s="59">
        <v>5843.8070118427277</v>
      </c>
      <c r="L143" s="59">
        <v>0</v>
      </c>
      <c r="M143" s="11">
        <v>0.84539276361465454</v>
      </c>
      <c r="N143" s="11">
        <v>0.78554332256317139</v>
      </c>
      <c r="O143" s="11">
        <v>0.31723028421401978</v>
      </c>
      <c r="Q143" s="59">
        <v>14.819313482921832</v>
      </c>
      <c r="R143" s="78">
        <v>512.01510553382752</v>
      </c>
      <c r="S143" s="78">
        <v>14.845199138390447</v>
      </c>
      <c r="T143" s="78">
        <v>625.74030164444093</v>
      </c>
      <c r="U143" s="59">
        <v>14.855925613577885</v>
      </c>
      <c r="V143" s="78">
        <v>805.28881442562295</v>
      </c>
      <c r="X143" s="134">
        <f t="shared" si="12"/>
        <v>1481419.3331866493</v>
      </c>
      <c r="Y143" s="134">
        <f t="shared" si="13"/>
        <v>1483894.1735374003</v>
      </c>
      <c r="Z143" s="134">
        <f t="shared" si="14"/>
        <v>1484787.2725433628</v>
      </c>
      <c r="AB143" s="127">
        <f t="shared" si="15"/>
        <v>0</v>
      </c>
      <c r="AC143" s="127">
        <f t="shared" si="16"/>
        <v>0</v>
      </c>
      <c r="AD143" s="127">
        <f t="shared" si="17"/>
        <v>1</v>
      </c>
    </row>
    <row r="144" spans="1:30" x14ac:dyDescent="0.25">
      <c r="A144">
        <v>139</v>
      </c>
      <c r="C144" s="11">
        <v>2.8380841016769409E-2</v>
      </c>
      <c r="D144" s="11">
        <v>1.8186748027801514E-2</v>
      </c>
      <c r="E144" s="11">
        <v>0.34766281707380625</v>
      </c>
      <c r="F144" s="11">
        <v>0.31439656867284016</v>
      </c>
      <c r="G144" s="11">
        <v>4.1081517934799194E-2</v>
      </c>
      <c r="H144" s="40">
        <v>3.5040660380556842E-4</v>
      </c>
      <c r="I144" s="40">
        <v>1.559039889810413</v>
      </c>
      <c r="J144" s="59">
        <v>0</v>
      </c>
      <c r="K144" s="59">
        <v>3503.3887252211571</v>
      </c>
      <c r="L144" s="59">
        <v>0</v>
      </c>
      <c r="M144" s="11">
        <v>0.83804237842559814</v>
      </c>
      <c r="N144" s="11">
        <v>0.80006814002990723</v>
      </c>
      <c r="O144" s="11">
        <v>0.31459802389144897</v>
      </c>
      <c r="Q144" s="59">
        <v>14.339847720892617</v>
      </c>
      <c r="R144" s="78">
        <v>475.7767481018783</v>
      </c>
      <c r="S144" s="78">
        <v>14.367565537229103</v>
      </c>
      <c r="T144" s="78">
        <v>607.80646797086354</v>
      </c>
      <c r="U144" s="59">
        <v>14.369003270247614</v>
      </c>
      <c r="V144" s="78">
        <v>814.06766784540855</v>
      </c>
      <c r="X144" s="134">
        <f t="shared" si="12"/>
        <v>1433508.9953411599</v>
      </c>
      <c r="Y144" s="134">
        <f t="shared" si="13"/>
        <v>1436148.7472549395</v>
      </c>
      <c r="Z144" s="134">
        <f t="shared" si="14"/>
        <v>1436086.259356916</v>
      </c>
      <c r="AB144" s="127">
        <f t="shared" si="15"/>
        <v>0</v>
      </c>
      <c r="AC144" s="127">
        <f t="shared" si="16"/>
        <v>1</v>
      </c>
      <c r="AD144" s="127">
        <f t="shared" si="17"/>
        <v>0</v>
      </c>
    </row>
    <row r="145" spans="1:30" x14ac:dyDescent="0.25">
      <c r="A145">
        <v>140</v>
      </c>
      <c r="C145" s="11">
        <v>4.9611568450927734E-2</v>
      </c>
      <c r="D145" s="11">
        <v>2.0023435354232788E-2</v>
      </c>
      <c r="E145" s="11">
        <v>0.34481973889845002</v>
      </c>
      <c r="F145" s="11">
        <v>0.10691908432912554</v>
      </c>
      <c r="G145" s="11">
        <v>2.6487290859222412E-2</v>
      </c>
      <c r="H145" s="40">
        <v>3.126850222047923E-4</v>
      </c>
      <c r="I145" s="40">
        <v>1.6218913227702594</v>
      </c>
      <c r="J145" s="59">
        <v>0</v>
      </c>
      <c r="K145" s="59">
        <v>3548.0502992868423</v>
      </c>
      <c r="L145" s="59">
        <v>0</v>
      </c>
      <c r="M145" s="11">
        <v>0.848553866147995</v>
      </c>
      <c r="N145" s="11">
        <v>0.83065986633300781</v>
      </c>
      <c r="O145" s="11">
        <v>0.31266435980796814</v>
      </c>
      <c r="Q145" s="59">
        <v>14.207516572558248</v>
      </c>
      <c r="R145" s="78">
        <v>474.44286438502587</v>
      </c>
      <c r="S145" s="78">
        <v>14.231760595650776</v>
      </c>
      <c r="T145" s="78">
        <v>607.15482076994738</v>
      </c>
      <c r="U145" s="59">
        <v>14.240793714080006</v>
      </c>
      <c r="V145" s="78">
        <v>796.77786204864719</v>
      </c>
      <c r="X145" s="134">
        <f t="shared" si="12"/>
        <v>1420277.2143914399</v>
      </c>
      <c r="Y145" s="134">
        <f t="shared" si="13"/>
        <v>1422568.9047443075</v>
      </c>
      <c r="Z145" s="134">
        <f t="shared" si="14"/>
        <v>1423282.5935459519</v>
      </c>
      <c r="AB145" s="127">
        <f t="shared" si="15"/>
        <v>0</v>
      </c>
      <c r="AC145" s="127">
        <f t="shared" si="16"/>
        <v>0</v>
      </c>
      <c r="AD145" s="127">
        <f t="shared" si="17"/>
        <v>1</v>
      </c>
    </row>
    <row r="146" spans="1:30" x14ac:dyDescent="0.25">
      <c r="A146">
        <v>141</v>
      </c>
      <c r="C146" s="11">
        <v>1.9104301929473877E-2</v>
      </c>
      <c r="D146" s="11">
        <v>1.3376206159591675E-2</v>
      </c>
      <c r="E146" s="11">
        <v>0.15287279279396865</v>
      </c>
      <c r="F146" s="11">
        <v>0.15363110804867994</v>
      </c>
      <c r="G146" s="11">
        <v>5.8449268341064453E-2</v>
      </c>
      <c r="H146" s="40">
        <v>6.0403513153810295E-4</v>
      </c>
      <c r="I146" s="40">
        <v>1.446189401020775</v>
      </c>
      <c r="J146" s="59">
        <v>0</v>
      </c>
      <c r="K146" s="59">
        <v>4016.8850682675838</v>
      </c>
      <c r="L146" s="59">
        <v>0</v>
      </c>
      <c r="M146" s="11">
        <v>0.84484302997589111</v>
      </c>
      <c r="N146" s="11">
        <v>0.65936470031738281</v>
      </c>
      <c r="O146" s="11">
        <v>0.31721159815788269</v>
      </c>
      <c r="Q146" s="59">
        <v>14.528460699849052</v>
      </c>
      <c r="R146" s="78">
        <v>521.07477177196961</v>
      </c>
      <c r="S146" s="78">
        <v>14.620756126526752</v>
      </c>
      <c r="T146" s="78">
        <v>598.80810589728469</v>
      </c>
      <c r="U146" s="59">
        <v>14.62067164062254</v>
      </c>
      <c r="V146" s="78">
        <v>807.90601288029507</v>
      </c>
      <c r="X146" s="134">
        <f t="shared" si="12"/>
        <v>1452324.9952131333</v>
      </c>
      <c r="Y146" s="134">
        <f t="shared" si="13"/>
        <v>1461476.8045467779</v>
      </c>
      <c r="Z146" s="134">
        <f t="shared" si="14"/>
        <v>1461259.2580493735</v>
      </c>
      <c r="AB146" s="127">
        <f t="shared" si="15"/>
        <v>0</v>
      </c>
      <c r="AC146" s="127">
        <f t="shared" si="16"/>
        <v>1</v>
      </c>
      <c r="AD146" s="127">
        <f t="shared" si="17"/>
        <v>0</v>
      </c>
    </row>
    <row r="147" spans="1:30" x14ac:dyDescent="0.25">
      <c r="A147">
        <v>142</v>
      </c>
      <c r="C147" s="11">
        <v>1.2388795614242554E-2</v>
      </c>
      <c r="D147" s="11">
        <v>2.3662447929382324E-3</v>
      </c>
      <c r="E147" s="11">
        <v>0.21865906547606548</v>
      </c>
      <c r="F147" s="11">
        <v>0.13337398680086965</v>
      </c>
      <c r="G147" s="11">
        <v>3.3330976963043213E-2</v>
      </c>
      <c r="H147" s="40">
        <v>4.3455381675796813E-4</v>
      </c>
      <c r="I147" s="40">
        <v>1.5051411763247036</v>
      </c>
      <c r="J147" s="59">
        <v>0</v>
      </c>
      <c r="K147" s="59">
        <v>4535.2824963629246</v>
      </c>
      <c r="L147" s="59">
        <v>0</v>
      </c>
      <c r="M147" s="11">
        <v>0.82600158452987671</v>
      </c>
      <c r="N147" s="11">
        <v>0.72033953666687012</v>
      </c>
      <c r="O147" s="11">
        <v>0.31112676858901978</v>
      </c>
      <c r="Q147" s="59">
        <v>14.348299328365441</v>
      </c>
      <c r="R147" s="78">
        <v>503.76908000486173</v>
      </c>
      <c r="S147" s="78">
        <v>14.395774181565233</v>
      </c>
      <c r="T147" s="78">
        <v>603.39558746550892</v>
      </c>
      <c r="U147" s="59">
        <v>14.401067014460908</v>
      </c>
      <c r="V147" s="78">
        <v>802.90706424304938</v>
      </c>
      <c r="X147" s="134">
        <f t="shared" si="12"/>
        <v>1434326.1637565391</v>
      </c>
      <c r="Y147" s="134">
        <f t="shared" si="13"/>
        <v>1438974.0225690578</v>
      </c>
      <c r="Z147" s="134">
        <f t="shared" si="14"/>
        <v>1439303.7943818478</v>
      </c>
      <c r="AB147" s="127">
        <f t="shared" si="15"/>
        <v>0</v>
      </c>
      <c r="AC147" s="127">
        <f t="shared" si="16"/>
        <v>0</v>
      </c>
      <c r="AD147" s="127">
        <f t="shared" si="17"/>
        <v>1</v>
      </c>
    </row>
    <row r="148" spans="1:30" x14ac:dyDescent="0.25">
      <c r="A148">
        <v>143</v>
      </c>
      <c r="C148" s="11">
        <v>3.470844030380249E-2</v>
      </c>
      <c r="D148" s="11">
        <v>2.1564707159996033E-2</v>
      </c>
      <c r="E148" s="11">
        <v>0.26083583766018159</v>
      </c>
      <c r="F148" s="11">
        <v>3.4676110807621799E-2</v>
      </c>
      <c r="G148" s="11">
        <v>1.1656522750854492E-2</v>
      </c>
      <c r="H148" s="40">
        <v>5.532541142090426E-4</v>
      </c>
      <c r="I148" s="40">
        <v>1.3773721159642358</v>
      </c>
      <c r="J148" s="59">
        <v>0</v>
      </c>
      <c r="K148" s="59">
        <v>3722.0865488052368</v>
      </c>
      <c r="L148" s="59">
        <v>0</v>
      </c>
      <c r="M148" s="11">
        <v>0.84994038939476013</v>
      </c>
      <c r="N148" s="11">
        <v>0.71298038959503174</v>
      </c>
      <c r="O148" s="11">
        <v>0.33839190006256104</v>
      </c>
      <c r="Q148" s="59">
        <v>14.428979342886418</v>
      </c>
      <c r="R148" s="78">
        <v>461.81227160415597</v>
      </c>
      <c r="S148" s="78">
        <v>14.475259651657291</v>
      </c>
      <c r="T148" s="78">
        <v>596.91724364422851</v>
      </c>
      <c r="U148" s="59">
        <v>14.489687437781182</v>
      </c>
      <c r="V148" s="78">
        <v>790.3914320453199</v>
      </c>
      <c r="X148" s="134">
        <f t="shared" ref="X148:X211" si="18">Q148*cRatio-R148</f>
        <v>1442436.1220170378</v>
      </c>
      <c r="Y148" s="134">
        <f t="shared" ref="Y148:Y211" si="19">S148*cRatio-T148</f>
        <v>1446929.047922085</v>
      </c>
      <c r="Z148" s="134">
        <f t="shared" ref="Z148:Z211" si="20">U148*cRatio-V148</f>
        <v>1448178.3523460729</v>
      </c>
      <c r="AB148" s="127">
        <f t="shared" ref="AB148:AB211" si="21">IF(X148=MAX($X148:$Z148),1,0)</f>
        <v>0</v>
      </c>
      <c r="AC148" s="127">
        <f t="shared" ref="AC148:AC211" si="22">IF(Y148=MAX($X148:$Z148),1,0)</f>
        <v>0</v>
      </c>
      <c r="AD148" s="127">
        <f t="shared" ref="AD148:AD211" si="23">IF(Z148=MAX($X148:$Z148),1,0)</f>
        <v>1</v>
      </c>
    </row>
    <row r="149" spans="1:30" x14ac:dyDescent="0.25">
      <c r="A149">
        <v>144</v>
      </c>
      <c r="C149" s="11">
        <v>2.106243371963501E-2</v>
      </c>
      <c r="D149" s="11">
        <v>1.9739687442779541E-2</v>
      </c>
      <c r="E149" s="11">
        <v>0.26788016923164482</v>
      </c>
      <c r="F149" s="11">
        <v>9.6342563516508856E-2</v>
      </c>
      <c r="G149" s="11">
        <v>4.3543130159378052E-2</v>
      </c>
      <c r="H149" s="40">
        <v>3.8040432240968417E-4</v>
      </c>
      <c r="I149" s="40">
        <v>1.4431143209356754</v>
      </c>
      <c r="J149" s="59">
        <v>0</v>
      </c>
      <c r="K149" s="59">
        <v>6687.9577934741974</v>
      </c>
      <c r="L149" s="59">
        <v>0</v>
      </c>
      <c r="M149" s="11">
        <v>0.7805023193359375</v>
      </c>
      <c r="N149" s="11">
        <v>0.72301983833312988</v>
      </c>
      <c r="O149" s="11">
        <v>0.30344146490097046</v>
      </c>
      <c r="Q149" s="59">
        <v>13.459752659018442</v>
      </c>
      <c r="R149" s="78">
        <v>517.6128283601663</v>
      </c>
      <c r="S149" s="78">
        <v>13.486229216344697</v>
      </c>
      <c r="T149" s="78">
        <v>612.46835437970253</v>
      </c>
      <c r="U149" s="59">
        <v>13.49253104640716</v>
      </c>
      <c r="V149" s="78">
        <v>800.06710342411316</v>
      </c>
      <c r="X149" s="134">
        <f t="shared" si="18"/>
        <v>1345457.6530734841</v>
      </c>
      <c r="Y149" s="134">
        <f t="shared" si="19"/>
        <v>1348010.4532800899</v>
      </c>
      <c r="Z149" s="134">
        <f t="shared" si="20"/>
        <v>1348453.0375372919</v>
      </c>
      <c r="AB149" s="127">
        <f t="shared" si="21"/>
        <v>0</v>
      </c>
      <c r="AC149" s="127">
        <f t="shared" si="22"/>
        <v>0</v>
      </c>
      <c r="AD149" s="127">
        <f t="shared" si="23"/>
        <v>1</v>
      </c>
    </row>
    <row r="150" spans="1:30" x14ac:dyDescent="0.25">
      <c r="A150">
        <v>145</v>
      </c>
      <c r="C150" s="11">
        <v>6.9953650236129761E-3</v>
      </c>
      <c r="D150" s="11">
        <v>1.5684783458709717E-2</v>
      </c>
      <c r="E150" s="11">
        <v>0.23763790170537702</v>
      </c>
      <c r="F150" s="11">
        <v>0.1813065899745944</v>
      </c>
      <c r="G150" s="11">
        <v>6.4963281154632568E-2</v>
      </c>
      <c r="H150" s="40">
        <v>4.915410645551805E-4</v>
      </c>
      <c r="I150" s="40">
        <v>1.4727494622960311</v>
      </c>
      <c r="J150" s="59">
        <v>0</v>
      </c>
      <c r="K150" s="59">
        <v>4238.7004941701889</v>
      </c>
      <c r="L150" s="59">
        <v>0</v>
      </c>
      <c r="M150" s="11">
        <v>0.85564273595809937</v>
      </c>
      <c r="N150" s="11">
        <v>0.78881180286407471</v>
      </c>
      <c r="O150" s="11">
        <v>0.25519251823425293</v>
      </c>
      <c r="Q150" s="59">
        <v>14.94326711765132</v>
      </c>
      <c r="R150" s="78">
        <v>517.03852204801331</v>
      </c>
      <c r="S150" s="78">
        <v>14.992312231891331</v>
      </c>
      <c r="T150" s="78">
        <v>608.69753517338563</v>
      </c>
      <c r="U150" s="59">
        <v>14.996010786420229</v>
      </c>
      <c r="V150" s="78">
        <v>810.68411176580901</v>
      </c>
      <c r="X150" s="134">
        <f t="shared" si="18"/>
        <v>1493809.6732430842</v>
      </c>
      <c r="Y150" s="134">
        <f t="shared" si="19"/>
        <v>1498622.5256539597</v>
      </c>
      <c r="Z150" s="134">
        <f t="shared" si="20"/>
        <v>1498790.394530257</v>
      </c>
      <c r="AB150" s="127">
        <f t="shared" si="21"/>
        <v>0</v>
      </c>
      <c r="AC150" s="127">
        <f t="shared" si="22"/>
        <v>0</v>
      </c>
      <c r="AD150" s="127">
        <f t="shared" si="23"/>
        <v>1</v>
      </c>
    </row>
    <row r="151" spans="1:30" x14ac:dyDescent="0.25">
      <c r="A151">
        <v>146</v>
      </c>
      <c r="C151" s="11">
        <v>4.8654526472091675E-3</v>
      </c>
      <c r="D151" s="11">
        <v>3.1782418489456177E-2</v>
      </c>
      <c r="E151" s="11">
        <v>0.11647245260204254</v>
      </c>
      <c r="F151" s="11">
        <v>8.1106805238633201E-2</v>
      </c>
      <c r="G151" s="11">
        <v>5.1015764474868774E-2</v>
      </c>
      <c r="H151" s="40">
        <v>3.2929026864053027E-4</v>
      </c>
      <c r="I151" s="40">
        <v>1.5075444901759019</v>
      </c>
      <c r="J151" s="59">
        <v>0</v>
      </c>
      <c r="K151" s="59">
        <v>4572.5121162831783</v>
      </c>
      <c r="L151" s="59">
        <v>0</v>
      </c>
      <c r="M151" s="11">
        <v>0.85179367661476135</v>
      </c>
      <c r="N151" s="11">
        <v>0.69714832305908203</v>
      </c>
      <c r="O151" s="11">
        <v>0.33551013469696045</v>
      </c>
      <c r="Q151" s="59">
        <v>14.903311272908164</v>
      </c>
      <c r="R151" s="78">
        <v>486.61240223574964</v>
      </c>
      <c r="S151" s="78">
        <v>14.964329218480039</v>
      </c>
      <c r="T151" s="78">
        <v>589.93759642617863</v>
      </c>
      <c r="U151" s="59">
        <v>14.966812503775937</v>
      </c>
      <c r="V151" s="78">
        <v>795.6207705069985</v>
      </c>
      <c r="X151" s="134">
        <f t="shared" si="18"/>
        <v>1489844.5148885807</v>
      </c>
      <c r="Y151" s="134">
        <f t="shared" si="19"/>
        <v>1495842.9842515779</v>
      </c>
      <c r="Z151" s="134">
        <f t="shared" si="20"/>
        <v>1495885.6296070868</v>
      </c>
      <c r="AB151" s="127">
        <f t="shared" si="21"/>
        <v>0</v>
      </c>
      <c r="AC151" s="127">
        <f t="shared" si="22"/>
        <v>0</v>
      </c>
      <c r="AD151" s="127">
        <f t="shared" si="23"/>
        <v>1</v>
      </c>
    </row>
    <row r="152" spans="1:30" x14ac:dyDescent="0.25">
      <c r="A152">
        <v>147</v>
      </c>
      <c r="C152" s="11">
        <v>2.0207613706588745E-2</v>
      </c>
      <c r="D152" s="11">
        <v>4.4171571731567383E-2</v>
      </c>
      <c r="E152" s="11">
        <v>0.57850179491773068</v>
      </c>
      <c r="F152" s="11">
        <v>0.35568007105306004</v>
      </c>
      <c r="G152" s="11">
        <v>8.2762241363525391E-3</v>
      </c>
      <c r="H152" s="40">
        <v>4.8147112598407232E-4</v>
      </c>
      <c r="I152" s="40">
        <v>1.5013064809935879</v>
      </c>
      <c r="J152" s="59">
        <v>0</v>
      </c>
      <c r="K152" s="59">
        <v>4932.6056614518166</v>
      </c>
      <c r="L152" s="59">
        <v>0</v>
      </c>
      <c r="M152" s="11">
        <v>0.77305316925048828</v>
      </c>
      <c r="N152" s="11">
        <v>0.71395277976989746</v>
      </c>
      <c r="O152" s="11">
        <v>0.30912947654724121</v>
      </c>
      <c r="Q152" s="59">
        <v>13.323732238811248</v>
      </c>
      <c r="R152" s="78">
        <v>505.27483708433806</v>
      </c>
      <c r="S152" s="78">
        <v>13.346642811489303</v>
      </c>
      <c r="T152" s="78">
        <v>644.01073510488777</v>
      </c>
      <c r="U152" s="59">
        <v>13.358966995135466</v>
      </c>
      <c r="V152" s="78">
        <v>828.18083604278593</v>
      </c>
      <c r="X152" s="134">
        <f t="shared" si="18"/>
        <v>1331867.9490440404</v>
      </c>
      <c r="Y152" s="134">
        <f t="shared" si="19"/>
        <v>1334020.2704138255</v>
      </c>
      <c r="Z152" s="134">
        <f t="shared" si="20"/>
        <v>1335068.5186775038</v>
      </c>
      <c r="AB152" s="127">
        <f t="shared" si="21"/>
        <v>0</v>
      </c>
      <c r="AC152" s="127">
        <f t="shared" si="22"/>
        <v>0</v>
      </c>
      <c r="AD152" s="127">
        <f t="shared" si="23"/>
        <v>1</v>
      </c>
    </row>
    <row r="153" spans="1:30" x14ac:dyDescent="0.25">
      <c r="A153">
        <v>148</v>
      </c>
      <c r="C153" s="11">
        <v>1.2108892202377319E-2</v>
      </c>
      <c r="D153" s="11">
        <v>7.9483836889266968E-3</v>
      </c>
      <c r="E153" s="11">
        <v>0.24098481521199763</v>
      </c>
      <c r="F153" s="11">
        <v>0.10743221311272858</v>
      </c>
      <c r="G153" s="11">
        <v>5.8333396911621094E-2</v>
      </c>
      <c r="H153" s="40">
        <v>8.2227658400032318E-4</v>
      </c>
      <c r="I153" s="40">
        <v>1.4155246086275581</v>
      </c>
      <c r="J153" s="59">
        <v>0</v>
      </c>
      <c r="K153" s="59">
        <v>5127.2730343043804</v>
      </c>
      <c r="L153" s="59">
        <v>0</v>
      </c>
      <c r="M153" s="11">
        <v>0.88098734617233276</v>
      </c>
      <c r="N153" s="11">
        <v>0.72292739152908325</v>
      </c>
      <c r="O153" s="11">
        <v>0.32269787788391113</v>
      </c>
      <c r="Q153" s="59">
        <v>15.249768370158346</v>
      </c>
      <c r="R153" s="78">
        <v>596.63888842288986</v>
      </c>
      <c r="S153" s="78">
        <v>15.342530179979395</v>
      </c>
      <c r="T153" s="78">
        <v>628.88146050188232</v>
      </c>
      <c r="U153" s="59">
        <v>15.359333136436961</v>
      </c>
      <c r="V153" s="78">
        <v>810.32158422340126</v>
      </c>
      <c r="X153" s="134">
        <f t="shared" si="18"/>
        <v>1524380.1981274118</v>
      </c>
      <c r="Y153" s="134">
        <f t="shared" si="19"/>
        <v>1533624.1365374378</v>
      </c>
      <c r="Z153" s="134">
        <f t="shared" si="20"/>
        <v>1535122.9920594727</v>
      </c>
      <c r="AB153" s="127">
        <f t="shared" si="21"/>
        <v>0</v>
      </c>
      <c r="AC153" s="127">
        <f t="shared" si="22"/>
        <v>0</v>
      </c>
      <c r="AD153" s="127">
        <f t="shared" si="23"/>
        <v>1</v>
      </c>
    </row>
    <row r="154" spans="1:30" x14ac:dyDescent="0.25">
      <c r="A154">
        <v>149</v>
      </c>
      <c r="C154" s="11">
        <v>4.1539192199707031E-2</v>
      </c>
      <c r="D154" s="11">
        <v>7.5079649686813354E-3</v>
      </c>
      <c r="E154" s="11">
        <v>0.23170054679975277</v>
      </c>
      <c r="F154" s="11">
        <v>0.17929691771379536</v>
      </c>
      <c r="G154" s="11">
        <v>1.4084696769714355E-2</v>
      </c>
      <c r="H154" s="40">
        <v>2.8916539431136717E-4</v>
      </c>
      <c r="I154" s="40">
        <v>1.459014720609161</v>
      </c>
      <c r="J154" s="59">
        <v>0</v>
      </c>
      <c r="K154" s="59">
        <v>4181.4940050244331</v>
      </c>
      <c r="L154" s="59">
        <v>0</v>
      </c>
      <c r="M154" s="11">
        <v>0.82380765676498413</v>
      </c>
      <c r="N154" s="11">
        <v>0.73023158311843872</v>
      </c>
      <c r="O154" s="11">
        <v>0.31045845150947571</v>
      </c>
      <c r="Q154" s="59">
        <v>13.915338407573289</v>
      </c>
      <c r="R154" s="78">
        <v>445.43427331496622</v>
      </c>
      <c r="S154" s="78">
        <v>13.939537065541888</v>
      </c>
      <c r="T154" s="78">
        <v>591.02883942340895</v>
      </c>
      <c r="U154" s="59">
        <v>13.941206647619376</v>
      </c>
      <c r="V154" s="78">
        <v>797.3142198637637</v>
      </c>
      <c r="X154" s="134">
        <f t="shared" si="18"/>
        <v>1391088.4064840141</v>
      </c>
      <c r="Y154" s="134">
        <f t="shared" si="19"/>
        <v>1393362.6777147655</v>
      </c>
      <c r="Z154" s="134">
        <f t="shared" si="20"/>
        <v>1393323.3505420738</v>
      </c>
      <c r="AB154" s="127">
        <f t="shared" si="21"/>
        <v>0</v>
      </c>
      <c r="AC154" s="127">
        <f t="shared" si="22"/>
        <v>1</v>
      </c>
      <c r="AD154" s="127">
        <f t="shared" si="23"/>
        <v>0</v>
      </c>
    </row>
    <row r="155" spans="1:30" x14ac:dyDescent="0.25">
      <c r="A155">
        <v>150</v>
      </c>
      <c r="C155" s="11">
        <v>8.20884108543396E-3</v>
      </c>
      <c r="D155" s="11">
        <v>3.538823127746582E-2</v>
      </c>
      <c r="E155" s="11">
        <v>0.37930779141099846</v>
      </c>
      <c r="F155" s="11">
        <v>0.13271333402113233</v>
      </c>
      <c r="G155" s="11">
        <v>3.4410178661346436E-2</v>
      </c>
      <c r="H155" s="40">
        <v>4.8425816883825273E-4</v>
      </c>
      <c r="I155" s="40">
        <v>1.3679376504546403</v>
      </c>
      <c r="J155" s="59">
        <v>0</v>
      </c>
      <c r="K155" s="59">
        <v>3581.4614966511726</v>
      </c>
      <c r="L155" s="59">
        <v>0</v>
      </c>
      <c r="M155" s="11">
        <v>0.79735279083251953</v>
      </c>
      <c r="N155" s="11">
        <v>0.77790623903274536</v>
      </c>
      <c r="O155" s="11">
        <v>0.30721989274024963</v>
      </c>
      <c r="Q155" s="59">
        <v>13.93711423860054</v>
      </c>
      <c r="R155" s="78">
        <v>459.12857021772402</v>
      </c>
      <c r="S155" s="78">
        <v>13.956459566098198</v>
      </c>
      <c r="T155" s="78">
        <v>603.92533438274882</v>
      </c>
      <c r="U155" s="59">
        <v>13.964261949856287</v>
      </c>
      <c r="V155" s="78">
        <v>796.75209961375685</v>
      </c>
      <c r="X155" s="134">
        <f t="shared" si="18"/>
        <v>1393252.2952898364</v>
      </c>
      <c r="Y155" s="134">
        <f t="shared" si="19"/>
        <v>1395042.031275437</v>
      </c>
      <c r="Z155" s="134">
        <f t="shared" si="20"/>
        <v>1395629.4428860149</v>
      </c>
      <c r="AB155" s="127">
        <f t="shared" si="21"/>
        <v>0</v>
      </c>
      <c r="AC155" s="127">
        <f t="shared" si="22"/>
        <v>0</v>
      </c>
      <c r="AD155" s="127">
        <f t="shared" si="23"/>
        <v>1</v>
      </c>
    </row>
    <row r="156" spans="1:30" x14ac:dyDescent="0.25">
      <c r="A156">
        <v>151</v>
      </c>
      <c r="C156" s="11">
        <v>1.5311166644096375E-2</v>
      </c>
      <c r="D156" s="11">
        <v>6.7413002252578735E-3</v>
      </c>
      <c r="E156" s="11">
        <v>0.46030318549863591</v>
      </c>
      <c r="F156" s="11">
        <v>0.13934178496248381</v>
      </c>
      <c r="G156" s="11">
        <v>1.3774901628494263E-2</v>
      </c>
      <c r="H156" s="40">
        <v>3.7848716719313184E-4</v>
      </c>
      <c r="I156" s="40">
        <v>1.5883636563503307</v>
      </c>
      <c r="J156" s="59">
        <v>0</v>
      </c>
      <c r="K156" s="59">
        <v>5646.1198255419731</v>
      </c>
      <c r="L156" s="59">
        <v>0</v>
      </c>
      <c r="M156" s="11">
        <v>0.84341433644294739</v>
      </c>
      <c r="N156" s="11">
        <v>0.701324462890625</v>
      </c>
      <c r="O156" s="11">
        <v>0.25983321666717529</v>
      </c>
      <c r="Q156" s="59">
        <v>14.586098469870523</v>
      </c>
      <c r="R156" s="78">
        <v>529.02099267475705</v>
      </c>
      <c r="S156" s="78">
        <v>14.630579641950126</v>
      </c>
      <c r="T156" s="78">
        <v>641.9878262143601</v>
      </c>
      <c r="U156" s="59">
        <v>14.657688159242605</v>
      </c>
      <c r="V156" s="78">
        <v>807.22133849313195</v>
      </c>
      <c r="X156" s="134">
        <f t="shared" si="18"/>
        <v>1458080.8259943775</v>
      </c>
      <c r="Y156" s="134">
        <f t="shared" si="19"/>
        <v>1462415.9763687982</v>
      </c>
      <c r="Z156" s="134">
        <f t="shared" si="20"/>
        <v>1464961.5945857675</v>
      </c>
      <c r="AB156" s="127">
        <f t="shared" si="21"/>
        <v>0</v>
      </c>
      <c r="AC156" s="127">
        <f t="shared" si="22"/>
        <v>0</v>
      </c>
      <c r="AD156" s="127">
        <f t="shared" si="23"/>
        <v>1</v>
      </c>
    </row>
    <row r="157" spans="1:30" x14ac:dyDescent="0.25">
      <c r="A157">
        <v>152</v>
      </c>
      <c r="C157" s="11">
        <v>2.0456671714782715E-2</v>
      </c>
      <c r="D157" s="11">
        <v>1.2262552976608276E-2</v>
      </c>
      <c r="E157" s="11">
        <v>0.15320278066675644</v>
      </c>
      <c r="F157" s="11">
        <v>0.17372134251588392</v>
      </c>
      <c r="G157" s="11">
        <v>5.603480339050293E-2</v>
      </c>
      <c r="H157" s="40">
        <v>3.9240039985054655E-4</v>
      </c>
      <c r="I157" s="40">
        <v>1.4423192437798424</v>
      </c>
      <c r="J157" s="59">
        <v>0</v>
      </c>
      <c r="K157" s="59">
        <v>4137.2515261173248</v>
      </c>
      <c r="L157" s="59">
        <v>0</v>
      </c>
      <c r="M157" s="11">
        <v>0.86303076148033142</v>
      </c>
      <c r="N157" s="11">
        <v>0.77333360910415649</v>
      </c>
      <c r="O157" s="11">
        <v>0.33507013320922852</v>
      </c>
      <c r="Q157" s="59">
        <v>14.885175514962503</v>
      </c>
      <c r="R157" s="78">
        <v>477.7554441370217</v>
      </c>
      <c r="S157" s="78">
        <v>14.925027052110771</v>
      </c>
      <c r="T157" s="78">
        <v>591.99355921731205</v>
      </c>
      <c r="U157" s="59">
        <v>14.924047264734885</v>
      </c>
      <c r="V157" s="78">
        <v>802.72929417022078</v>
      </c>
      <c r="X157" s="134">
        <f t="shared" si="18"/>
        <v>1488039.7960521134</v>
      </c>
      <c r="Y157" s="134">
        <f t="shared" si="19"/>
        <v>1491910.7116518598</v>
      </c>
      <c r="Z157" s="134">
        <f t="shared" si="20"/>
        <v>1491601.9971793182</v>
      </c>
      <c r="AB157" s="127">
        <f t="shared" si="21"/>
        <v>0</v>
      </c>
      <c r="AC157" s="127">
        <f t="shared" si="22"/>
        <v>1</v>
      </c>
      <c r="AD157" s="127">
        <f t="shared" si="23"/>
        <v>0</v>
      </c>
    </row>
    <row r="158" spans="1:30" x14ac:dyDescent="0.25">
      <c r="A158">
        <v>153</v>
      </c>
      <c r="C158" s="11">
        <v>5.0297826528549194E-3</v>
      </c>
      <c r="D158" s="11">
        <v>1.3570934534072876E-2</v>
      </c>
      <c r="E158" s="11">
        <v>0.1589110518921128</v>
      </c>
      <c r="F158" s="11">
        <v>0.10260205098787557</v>
      </c>
      <c r="G158" s="11">
        <v>6.5216064453125E-2</v>
      </c>
      <c r="H158" s="40">
        <v>7.9940993775229395E-4</v>
      </c>
      <c r="I158" s="40">
        <v>1.2867660443755404</v>
      </c>
      <c r="J158" s="59">
        <v>0</v>
      </c>
      <c r="K158" s="59">
        <v>4116.3037531077862</v>
      </c>
      <c r="L158" s="59">
        <v>0</v>
      </c>
      <c r="M158" s="11">
        <v>0.85574114322662354</v>
      </c>
      <c r="N158" s="11">
        <v>0.72725272178649902</v>
      </c>
      <c r="O158" s="11">
        <v>0.31235700845718384</v>
      </c>
      <c r="Q158" s="59">
        <v>14.963882175603837</v>
      </c>
      <c r="R158" s="78">
        <v>507.87555309854565</v>
      </c>
      <c r="S158" s="78">
        <v>15.027213021585123</v>
      </c>
      <c r="T158" s="78">
        <v>597.36289593375773</v>
      </c>
      <c r="U158" s="59">
        <v>15.031530476933394</v>
      </c>
      <c r="V158" s="78">
        <v>799.86783068761895</v>
      </c>
      <c r="X158" s="134">
        <f t="shared" si="18"/>
        <v>1495880.3420072852</v>
      </c>
      <c r="Y158" s="134">
        <f t="shared" si="19"/>
        <v>1502123.9392625785</v>
      </c>
      <c r="Z158" s="134">
        <f t="shared" si="20"/>
        <v>1502353.1798626517</v>
      </c>
      <c r="AB158" s="127">
        <f t="shared" si="21"/>
        <v>0</v>
      </c>
      <c r="AC158" s="127">
        <f t="shared" si="22"/>
        <v>0</v>
      </c>
      <c r="AD158" s="127">
        <f t="shared" si="23"/>
        <v>1</v>
      </c>
    </row>
    <row r="159" spans="1:30" x14ac:dyDescent="0.25">
      <c r="A159">
        <v>154</v>
      </c>
      <c r="C159" s="11">
        <v>2.4714142084121704E-2</v>
      </c>
      <c r="D159" s="11">
        <v>1.0132268071174622E-2</v>
      </c>
      <c r="E159" s="11">
        <v>0.53178235326536039</v>
      </c>
      <c r="F159" s="11">
        <v>0.22143187792159491</v>
      </c>
      <c r="G159" s="11">
        <v>3.840482234954834E-2</v>
      </c>
      <c r="H159" s="40">
        <v>7.7452179803067899E-4</v>
      </c>
      <c r="I159" s="40">
        <v>1.3060777779631751</v>
      </c>
      <c r="J159" s="59">
        <v>0</v>
      </c>
      <c r="K159" s="59">
        <v>3585.3334702551365</v>
      </c>
      <c r="L159" s="59">
        <v>0</v>
      </c>
      <c r="M159" s="11">
        <v>0.8319593071937561</v>
      </c>
      <c r="N159" s="11">
        <v>0.71441322565078735</v>
      </c>
      <c r="O159" s="11">
        <v>0.3364638090133667</v>
      </c>
      <c r="Q159" s="59">
        <v>14.267137138753592</v>
      </c>
      <c r="R159" s="78">
        <v>481.57999591827064</v>
      </c>
      <c r="S159" s="78">
        <v>14.297255846265118</v>
      </c>
      <c r="T159" s="78">
        <v>625.97615039101674</v>
      </c>
      <c r="U159" s="59">
        <v>14.31755025873708</v>
      </c>
      <c r="V159" s="78">
        <v>807.67323997806113</v>
      </c>
      <c r="X159" s="134">
        <f t="shared" si="18"/>
        <v>1426232.1338794408</v>
      </c>
      <c r="Y159" s="134">
        <f t="shared" si="19"/>
        <v>1429099.608476121</v>
      </c>
      <c r="Z159" s="134">
        <f t="shared" si="20"/>
        <v>1430947.35263373</v>
      </c>
      <c r="AB159" s="127">
        <f t="shared" si="21"/>
        <v>0</v>
      </c>
      <c r="AC159" s="127">
        <f t="shared" si="22"/>
        <v>0</v>
      </c>
      <c r="AD159" s="127">
        <f t="shared" si="23"/>
        <v>1</v>
      </c>
    </row>
    <row r="160" spans="1:30" x14ac:dyDescent="0.25">
      <c r="A160">
        <v>155</v>
      </c>
      <c r="C160" s="11">
        <v>8.4220916032791138E-3</v>
      </c>
      <c r="D160" s="11">
        <v>8.9150369167327881E-3</v>
      </c>
      <c r="E160" s="11">
        <v>0.22828349492690153</v>
      </c>
      <c r="F160" s="11">
        <v>0.15086711632017225</v>
      </c>
      <c r="G160" s="11">
        <v>2.5155693292617798E-2</v>
      </c>
      <c r="H160" s="40">
        <v>3.9562421731933095E-4</v>
      </c>
      <c r="I160" s="40">
        <v>1.5316611337253332</v>
      </c>
      <c r="J160" s="59">
        <v>0</v>
      </c>
      <c r="K160" s="59">
        <v>4348.2938781380653</v>
      </c>
      <c r="L160" s="59">
        <v>0</v>
      </c>
      <c r="M160" s="11">
        <v>0.83578622341156006</v>
      </c>
      <c r="N160" s="11">
        <v>0.74931788444519043</v>
      </c>
      <c r="O160" s="11">
        <v>0.28877991437911987</v>
      </c>
      <c r="Q160" s="59">
        <v>14.5821315988428</v>
      </c>
      <c r="R160" s="78">
        <v>493.29216161774889</v>
      </c>
      <c r="S160" s="78">
        <v>14.625490617208472</v>
      </c>
      <c r="T160" s="78">
        <v>602.03718016564414</v>
      </c>
      <c r="U160" s="59">
        <v>14.629932996678924</v>
      </c>
      <c r="V160" s="78">
        <v>803.24969759496696</v>
      </c>
      <c r="X160" s="134">
        <f t="shared" si="18"/>
        <v>1457719.8677226624</v>
      </c>
      <c r="Y160" s="134">
        <f t="shared" si="19"/>
        <v>1461947.0245406814</v>
      </c>
      <c r="Z160" s="134">
        <f t="shared" si="20"/>
        <v>1462190.0499702976</v>
      </c>
      <c r="AB160" s="127">
        <f t="shared" si="21"/>
        <v>0</v>
      </c>
      <c r="AC160" s="127">
        <f t="shared" si="22"/>
        <v>0</v>
      </c>
      <c r="AD160" s="127">
        <f t="shared" si="23"/>
        <v>1</v>
      </c>
    </row>
    <row r="161" spans="1:30" x14ac:dyDescent="0.25">
      <c r="A161">
        <v>156</v>
      </c>
      <c r="C161" s="11">
        <v>2.9447078704833984E-2</v>
      </c>
      <c r="D161" s="11">
        <v>3.6248981952667236E-2</v>
      </c>
      <c r="E161" s="11">
        <v>0.2513307023391706</v>
      </c>
      <c r="F161" s="11">
        <v>0.38336763981897376</v>
      </c>
      <c r="G161" s="11">
        <v>5.9473097324371338E-2</v>
      </c>
      <c r="H161" s="40">
        <v>4.2236296669396665E-4</v>
      </c>
      <c r="I161" s="40">
        <v>1.377382964051528</v>
      </c>
      <c r="J161" s="59">
        <v>0</v>
      </c>
      <c r="K161" s="59">
        <v>6076.1929489672184</v>
      </c>
      <c r="L161" s="59">
        <v>0</v>
      </c>
      <c r="M161" s="11">
        <v>0.81236445903778076</v>
      </c>
      <c r="N161" s="11">
        <v>0.76012301445007324</v>
      </c>
      <c r="O161" s="11">
        <v>0.33918476104736328</v>
      </c>
      <c r="Q161" s="59">
        <v>13.889218759880894</v>
      </c>
      <c r="R161" s="78">
        <v>503.45107048556702</v>
      </c>
      <c r="S161" s="78">
        <v>13.917187807547219</v>
      </c>
      <c r="T161" s="78">
        <v>606.77126137285802</v>
      </c>
      <c r="U161" s="59">
        <v>13.912209392246206</v>
      </c>
      <c r="V161" s="78">
        <v>830.28971275605898</v>
      </c>
      <c r="X161" s="134">
        <f t="shared" si="18"/>
        <v>1388418.4249176038</v>
      </c>
      <c r="Y161" s="134">
        <f t="shared" si="19"/>
        <v>1391112.0094933491</v>
      </c>
      <c r="Z161" s="134">
        <f t="shared" si="20"/>
        <v>1390390.6495118644</v>
      </c>
      <c r="AB161" s="127">
        <f t="shared" si="21"/>
        <v>0</v>
      </c>
      <c r="AC161" s="127">
        <f t="shared" si="22"/>
        <v>1</v>
      </c>
      <c r="AD161" s="127">
        <f t="shared" si="23"/>
        <v>0</v>
      </c>
    </row>
    <row r="162" spans="1:30" x14ac:dyDescent="0.25">
      <c r="A162">
        <v>157</v>
      </c>
      <c r="C162" s="11">
        <v>8.0589503049850464E-3</v>
      </c>
      <c r="D162" s="11">
        <v>7.1655511856079102E-3</v>
      </c>
      <c r="E162" s="11">
        <v>0.32104536492987773</v>
      </c>
      <c r="F162" s="11">
        <v>0.40955484678099568</v>
      </c>
      <c r="G162" s="11">
        <v>6.3905239105224609E-2</v>
      </c>
      <c r="H162" s="40">
        <v>4.2452973249002164E-4</v>
      </c>
      <c r="I162" s="40">
        <v>1.41359448112615</v>
      </c>
      <c r="J162" s="59">
        <v>0</v>
      </c>
      <c r="K162" s="59">
        <v>5200.2165466547012</v>
      </c>
      <c r="L162" s="59">
        <v>0</v>
      </c>
      <c r="M162" s="11">
        <v>0.81010103225708008</v>
      </c>
      <c r="N162" s="11">
        <v>0.73562163114547729</v>
      </c>
      <c r="O162" s="11">
        <v>0.27972400188446045</v>
      </c>
      <c r="Q162" s="59">
        <v>14.150909273706828</v>
      </c>
      <c r="R162" s="78">
        <v>504.1531463932206</v>
      </c>
      <c r="S162" s="78">
        <v>14.179978164137346</v>
      </c>
      <c r="T162" s="78">
        <v>614.71128824855907</v>
      </c>
      <c r="U162" s="59">
        <v>14.176149660161874</v>
      </c>
      <c r="V162" s="78">
        <v>833.4984018458664</v>
      </c>
      <c r="X162" s="134">
        <f t="shared" si="18"/>
        <v>1414586.7742242897</v>
      </c>
      <c r="Y162" s="134">
        <f t="shared" si="19"/>
        <v>1417383.1051254859</v>
      </c>
      <c r="Z162" s="134">
        <f t="shared" si="20"/>
        <v>1416781.4676143415</v>
      </c>
      <c r="AB162" s="127">
        <f t="shared" si="21"/>
        <v>0</v>
      </c>
      <c r="AC162" s="127">
        <f t="shared" si="22"/>
        <v>1</v>
      </c>
      <c r="AD162" s="127">
        <f t="shared" si="23"/>
        <v>0</v>
      </c>
    </row>
    <row r="163" spans="1:30" x14ac:dyDescent="0.25">
      <c r="A163">
        <v>158</v>
      </c>
      <c r="C163" s="11">
        <v>2.6210278272628784E-2</v>
      </c>
      <c r="D163" s="11">
        <v>1.7157196998596191E-3</v>
      </c>
      <c r="E163" s="11">
        <v>0.38891286449372364</v>
      </c>
      <c r="F163" s="11">
        <v>0.28915524302454826</v>
      </c>
      <c r="G163" s="11">
        <v>5.6392073631286621E-2</v>
      </c>
      <c r="H163" s="40">
        <v>3.0831575971626085E-4</v>
      </c>
      <c r="I163" s="40">
        <v>1.6156333896253217</v>
      </c>
      <c r="J163" s="59">
        <v>0</v>
      </c>
      <c r="K163" s="59">
        <v>5456.970538944006</v>
      </c>
      <c r="L163" s="59">
        <v>0</v>
      </c>
      <c r="M163" s="11">
        <v>0.79025101661682129</v>
      </c>
      <c r="N163" s="11">
        <v>0.70637655258178711</v>
      </c>
      <c r="O163" s="11">
        <v>0.29304975271224976</v>
      </c>
      <c r="Q163" s="59">
        <v>13.538227087333615</v>
      </c>
      <c r="R163" s="78">
        <v>537.24042861753219</v>
      </c>
      <c r="S163" s="78">
        <v>13.571237604436259</v>
      </c>
      <c r="T163" s="78">
        <v>635.43673385549323</v>
      </c>
      <c r="U163" s="59">
        <v>13.576726640103606</v>
      </c>
      <c r="V163" s="78">
        <v>830.05025885909527</v>
      </c>
      <c r="X163" s="134">
        <f t="shared" si="18"/>
        <v>1353285.468304744</v>
      </c>
      <c r="Y163" s="134">
        <f t="shared" si="19"/>
        <v>1356488.3237097706</v>
      </c>
      <c r="Z163" s="134">
        <f t="shared" si="20"/>
        <v>1356842.6137515015</v>
      </c>
      <c r="AB163" s="127">
        <f t="shared" si="21"/>
        <v>0</v>
      </c>
      <c r="AC163" s="127">
        <f t="shared" si="22"/>
        <v>0</v>
      </c>
      <c r="AD163" s="127">
        <f t="shared" si="23"/>
        <v>1</v>
      </c>
    </row>
    <row r="164" spans="1:30" x14ac:dyDescent="0.25">
      <c r="A164">
        <v>159</v>
      </c>
      <c r="C164" s="11">
        <v>9.4894915819168091E-3</v>
      </c>
      <c r="D164" s="11">
        <v>1.039963960647583E-2</v>
      </c>
      <c r="E164" s="11">
        <v>0.21247129154030758</v>
      </c>
      <c r="F164" s="11">
        <v>0.38781043783429342</v>
      </c>
      <c r="G164" s="11">
        <v>4.4496744871139526E-2</v>
      </c>
      <c r="H164" s="40">
        <v>3.8704767114845014E-4</v>
      </c>
      <c r="I164" s="40">
        <v>1.454278194593845</v>
      </c>
      <c r="J164" s="59">
        <v>0</v>
      </c>
      <c r="K164" s="59">
        <v>5786.3560505211353</v>
      </c>
      <c r="L164" s="59">
        <v>0</v>
      </c>
      <c r="M164" s="11">
        <v>0.82677304744720459</v>
      </c>
      <c r="N164" s="11">
        <v>0.79603826999664307</v>
      </c>
      <c r="O164" s="11">
        <v>0.29989755153656006</v>
      </c>
      <c r="Q164" s="59">
        <v>14.433478526320069</v>
      </c>
      <c r="R164" s="78">
        <v>508.525497271566</v>
      </c>
      <c r="S164" s="78">
        <v>14.458348050695804</v>
      </c>
      <c r="T164" s="78">
        <v>603.62998737495991</v>
      </c>
      <c r="U164" s="59">
        <v>14.452745726563554</v>
      </c>
      <c r="V164" s="78">
        <v>832.83396395083764</v>
      </c>
      <c r="X164" s="134">
        <f t="shared" si="18"/>
        <v>1442839.3271347352</v>
      </c>
      <c r="Y164" s="134">
        <f t="shared" si="19"/>
        <v>1445231.1750822056</v>
      </c>
      <c r="Z164" s="134">
        <f t="shared" si="20"/>
        <v>1444441.7386924045</v>
      </c>
      <c r="AB164" s="127">
        <f t="shared" si="21"/>
        <v>0</v>
      </c>
      <c r="AC164" s="127">
        <f t="shared" si="22"/>
        <v>1</v>
      </c>
      <c r="AD164" s="127">
        <f t="shared" si="23"/>
        <v>0</v>
      </c>
    </row>
    <row r="165" spans="1:30" x14ac:dyDescent="0.25">
      <c r="A165">
        <v>160</v>
      </c>
      <c r="C165" s="11">
        <v>1.3341620564460754E-2</v>
      </c>
      <c r="D165" s="11">
        <v>1.248285174369812E-2</v>
      </c>
      <c r="E165" s="11">
        <v>0.36513442215946246</v>
      </c>
      <c r="F165" s="11">
        <v>0.48404632725416569</v>
      </c>
      <c r="G165" s="11">
        <v>3.4013360738754272E-2</v>
      </c>
      <c r="H165" s="40">
        <v>4.6542220577773399E-4</v>
      </c>
      <c r="I165" s="40">
        <v>1.4828846411478034</v>
      </c>
      <c r="J165" s="59">
        <v>0</v>
      </c>
      <c r="K165" s="59">
        <v>7181.3445538282394</v>
      </c>
      <c r="L165" s="59">
        <v>0</v>
      </c>
      <c r="M165" s="11">
        <v>0.85349059104919434</v>
      </c>
      <c r="N165" s="11">
        <v>0.80955684185028076</v>
      </c>
      <c r="O165" s="11">
        <v>0.30748045444488525</v>
      </c>
      <c r="Q165" s="59">
        <v>14.829000938208321</v>
      </c>
      <c r="R165" s="78">
        <v>568.45818853733726</v>
      </c>
      <c r="S165" s="78">
        <v>14.857658755836251</v>
      </c>
      <c r="T165" s="78">
        <v>643.53876249406869</v>
      </c>
      <c r="U165" s="59">
        <v>14.852220906348153</v>
      </c>
      <c r="V165" s="78">
        <v>873.34667902330671</v>
      </c>
      <c r="X165" s="134">
        <f t="shared" si="18"/>
        <v>1482331.6356322947</v>
      </c>
      <c r="Y165" s="134">
        <f t="shared" si="19"/>
        <v>1485122.3368211312</v>
      </c>
      <c r="Z165" s="134">
        <f t="shared" si="20"/>
        <v>1484348.7439557922</v>
      </c>
      <c r="AB165" s="127">
        <f t="shared" si="21"/>
        <v>0</v>
      </c>
      <c r="AC165" s="127">
        <f t="shared" si="22"/>
        <v>1</v>
      </c>
      <c r="AD165" s="127">
        <f t="shared" si="23"/>
        <v>0</v>
      </c>
    </row>
    <row r="166" spans="1:30" x14ac:dyDescent="0.25">
      <c r="A166">
        <v>161</v>
      </c>
      <c r="C166" s="11">
        <v>9.8448097705841064E-3</v>
      </c>
      <c r="D166" s="11">
        <v>4.0825247764587402E-2</v>
      </c>
      <c r="E166" s="11">
        <v>0.20627725756248602</v>
      </c>
      <c r="F166" s="11">
        <v>0.2356427859966502</v>
      </c>
      <c r="G166" s="11">
        <v>5.798792839050293E-2</v>
      </c>
      <c r="H166" s="40">
        <v>4.5522111610491345E-4</v>
      </c>
      <c r="I166" s="40">
        <v>1.5503944149643871</v>
      </c>
      <c r="J166" s="59">
        <v>0</v>
      </c>
      <c r="K166" s="59">
        <v>4069.6142241358757</v>
      </c>
      <c r="L166" s="59">
        <v>0</v>
      </c>
      <c r="M166" s="11">
        <v>0.85412928462028503</v>
      </c>
      <c r="N166" s="11">
        <v>0.81400036811828613</v>
      </c>
      <c r="O166" s="11">
        <v>0.3028082549571991</v>
      </c>
      <c r="Q166" s="59">
        <v>14.866441641914582</v>
      </c>
      <c r="R166" s="78">
        <v>524.94432995629188</v>
      </c>
      <c r="S166" s="78">
        <v>14.923236732431761</v>
      </c>
      <c r="T166" s="78">
        <v>606.55170904454212</v>
      </c>
      <c r="U166" s="59">
        <v>14.921086439490011</v>
      </c>
      <c r="V166" s="78">
        <v>819.4506745889388</v>
      </c>
      <c r="X166" s="134">
        <f t="shared" si="18"/>
        <v>1486119.2198615018</v>
      </c>
      <c r="Y166" s="134">
        <f t="shared" si="19"/>
        <v>1491717.1215341315</v>
      </c>
      <c r="Z166" s="134">
        <f t="shared" si="20"/>
        <v>1491289.1932744121</v>
      </c>
      <c r="AB166" s="127">
        <f t="shared" si="21"/>
        <v>0</v>
      </c>
      <c r="AC166" s="127">
        <f t="shared" si="22"/>
        <v>1</v>
      </c>
      <c r="AD166" s="127">
        <f t="shared" si="23"/>
        <v>0</v>
      </c>
    </row>
    <row r="167" spans="1:30" x14ac:dyDescent="0.25">
      <c r="A167">
        <v>162</v>
      </c>
      <c r="C167" s="11">
        <v>1.4300674200057983E-2</v>
      </c>
      <c r="D167" s="11">
        <v>4.0789127349853516E-2</v>
      </c>
      <c r="E167" s="11">
        <v>0.24021040134298929</v>
      </c>
      <c r="F167" s="11">
        <v>0.15113869650662842</v>
      </c>
      <c r="G167" s="11">
        <v>3.0660688877105713E-2</v>
      </c>
      <c r="H167" s="40">
        <v>6.9755836046209478E-4</v>
      </c>
      <c r="I167" s="40">
        <v>1.4795986347664691</v>
      </c>
      <c r="J167" s="59">
        <v>0</v>
      </c>
      <c r="K167" s="59">
        <v>4229.8668995499611</v>
      </c>
      <c r="L167" s="59">
        <v>0</v>
      </c>
      <c r="M167" s="11">
        <v>0.83166497945785522</v>
      </c>
      <c r="N167" s="11">
        <v>0.77900731563568115</v>
      </c>
      <c r="O167" s="11">
        <v>0.33916902542114258</v>
      </c>
      <c r="Q167" s="59">
        <v>14.39986546684997</v>
      </c>
      <c r="R167" s="78">
        <v>541.29452253462375</v>
      </c>
      <c r="S167" s="78">
        <v>14.46029509996905</v>
      </c>
      <c r="T167" s="78">
        <v>615.21177834220941</v>
      </c>
      <c r="U167" s="59">
        <v>14.467598438862398</v>
      </c>
      <c r="V167" s="78">
        <v>810.84692662466932</v>
      </c>
      <c r="X167" s="134">
        <f t="shared" si="18"/>
        <v>1439445.2521624623</v>
      </c>
      <c r="Y167" s="134">
        <f t="shared" si="19"/>
        <v>1445414.2982185627</v>
      </c>
      <c r="Z167" s="134">
        <f t="shared" si="20"/>
        <v>1445948.996959615</v>
      </c>
      <c r="AB167" s="127">
        <f t="shared" si="21"/>
        <v>0</v>
      </c>
      <c r="AC167" s="127">
        <f t="shared" si="22"/>
        <v>0</v>
      </c>
      <c r="AD167" s="127">
        <f t="shared" si="23"/>
        <v>1</v>
      </c>
    </row>
    <row r="168" spans="1:30" x14ac:dyDescent="0.25">
      <c r="A168">
        <v>163</v>
      </c>
      <c r="C168" s="11">
        <v>6.7455291748046875E-2</v>
      </c>
      <c r="D168" s="11">
        <v>8.9370012283325195E-3</v>
      </c>
      <c r="E168" s="11">
        <v>0.4001861365363566</v>
      </c>
      <c r="F168" s="11">
        <v>0.12491084421906054</v>
      </c>
      <c r="G168" s="11">
        <v>1.560056209564209E-2</v>
      </c>
      <c r="H168" s="40">
        <v>3.1087723425595945E-4</v>
      </c>
      <c r="I168" s="40">
        <v>1.4896639407119343</v>
      </c>
      <c r="J168" s="59">
        <v>0</v>
      </c>
      <c r="K168" s="59">
        <v>5375.4774853587151</v>
      </c>
      <c r="L168" s="59">
        <v>0</v>
      </c>
      <c r="M168" s="11">
        <v>0.8416399359703064</v>
      </c>
      <c r="N168" s="11">
        <v>0.71715593338012695</v>
      </c>
      <c r="O168" s="11">
        <v>0.28294554352760315</v>
      </c>
      <c r="Q168" s="59">
        <v>13.818845367754978</v>
      </c>
      <c r="R168" s="78">
        <v>470.2458423045428</v>
      </c>
      <c r="S168" s="78">
        <v>13.845486107032549</v>
      </c>
      <c r="T168" s="78">
        <v>609.77812666906675</v>
      </c>
      <c r="U168" s="59">
        <v>13.857890706607416</v>
      </c>
      <c r="V168" s="78">
        <v>797.64533058459153</v>
      </c>
      <c r="X168" s="134">
        <f t="shared" si="18"/>
        <v>1381414.2909331932</v>
      </c>
      <c r="Y168" s="134">
        <f t="shared" si="19"/>
        <v>1383938.8325765857</v>
      </c>
      <c r="Z168" s="134">
        <f t="shared" si="20"/>
        <v>1384991.4253301569</v>
      </c>
      <c r="AB168" s="127">
        <f t="shared" si="21"/>
        <v>0</v>
      </c>
      <c r="AC168" s="127">
        <f t="shared" si="22"/>
        <v>0</v>
      </c>
      <c r="AD168" s="127">
        <f t="shared" si="23"/>
        <v>1</v>
      </c>
    </row>
    <row r="169" spans="1:30" x14ac:dyDescent="0.25">
      <c r="A169">
        <v>164</v>
      </c>
      <c r="C169" s="11">
        <v>3.3368110656738281E-2</v>
      </c>
      <c r="D169" s="11">
        <v>1.1796176433563232E-2</v>
      </c>
      <c r="E169" s="11">
        <v>0.27622089051428778</v>
      </c>
      <c r="F169" s="11">
        <v>0.34692151078558969</v>
      </c>
      <c r="G169" s="11">
        <v>3.9836257696151733E-2</v>
      </c>
      <c r="H169" s="40">
        <v>5.9929746881186936E-4</v>
      </c>
      <c r="I169" s="40">
        <v>1.3741798088073836</v>
      </c>
      <c r="J169" s="59">
        <v>0</v>
      </c>
      <c r="K169" s="59">
        <v>8697.6960301399231</v>
      </c>
      <c r="L169" s="59">
        <v>0</v>
      </c>
      <c r="M169" s="11">
        <v>0.80914938449859619</v>
      </c>
      <c r="N169" s="11">
        <v>0.76555180549621582</v>
      </c>
      <c r="O169" s="11">
        <v>0.31446319818496704</v>
      </c>
      <c r="Q169" s="59">
        <v>13.776139139534351</v>
      </c>
      <c r="R169" s="78">
        <v>594.33293283064097</v>
      </c>
      <c r="S169" s="78">
        <v>13.804497935150263</v>
      </c>
      <c r="T169" s="78">
        <v>635.06382331064356</v>
      </c>
      <c r="U169" s="59">
        <v>13.801687988157553</v>
      </c>
      <c r="V169" s="78">
        <v>858.32349990420391</v>
      </c>
      <c r="X169" s="134">
        <f t="shared" si="18"/>
        <v>1377019.5810206046</v>
      </c>
      <c r="Y169" s="134">
        <f t="shared" si="19"/>
        <v>1379814.7296917157</v>
      </c>
      <c r="Z169" s="134">
        <f t="shared" si="20"/>
        <v>1379310.4753158512</v>
      </c>
      <c r="AB169" s="127">
        <f t="shared" si="21"/>
        <v>0</v>
      </c>
      <c r="AC169" s="127">
        <f t="shared" si="22"/>
        <v>1</v>
      </c>
      <c r="AD169" s="127">
        <f t="shared" si="23"/>
        <v>0</v>
      </c>
    </row>
    <row r="170" spans="1:30" x14ac:dyDescent="0.25">
      <c r="A170">
        <v>165</v>
      </c>
      <c r="C170" s="11">
        <v>2.3650109767913818E-2</v>
      </c>
      <c r="D170" s="11">
        <v>2.5357067584991455E-2</v>
      </c>
      <c r="E170" s="11">
        <v>8.3607660584394297E-2</v>
      </c>
      <c r="F170" s="11">
        <v>0.13284588175579726</v>
      </c>
      <c r="G170" s="11">
        <v>2.4768859148025513E-2</v>
      </c>
      <c r="H170" s="40">
        <v>4.4239318639077496E-4</v>
      </c>
      <c r="I170" s="40">
        <v>1.5350746889364459</v>
      </c>
      <c r="J170" s="59">
        <v>0</v>
      </c>
      <c r="K170" s="59">
        <v>7741.907611489296</v>
      </c>
      <c r="L170" s="59">
        <v>0</v>
      </c>
      <c r="M170" s="11">
        <v>0.82861441373825073</v>
      </c>
      <c r="N170" s="11">
        <v>0.79555177688598633</v>
      </c>
      <c r="O170" s="11">
        <v>0.31938940286636353</v>
      </c>
      <c r="Q170" s="59">
        <v>14.243128078976127</v>
      </c>
      <c r="R170" s="78">
        <v>589.0982562635221</v>
      </c>
      <c r="S170" s="78">
        <v>14.286108489036668</v>
      </c>
      <c r="T170" s="78">
        <v>595.67133841778855</v>
      </c>
      <c r="U170" s="59">
        <v>14.283740400750297</v>
      </c>
      <c r="V170" s="78">
        <v>814.45811625690612</v>
      </c>
      <c r="X170" s="134">
        <f t="shared" si="18"/>
        <v>1423723.7096413493</v>
      </c>
      <c r="Y170" s="134">
        <f t="shared" si="19"/>
        <v>1428015.1775652489</v>
      </c>
      <c r="Z170" s="134">
        <f t="shared" si="20"/>
        <v>1427559.5819587728</v>
      </c>
      <c r="AB170" s="127">
        <f t="shared" si="21"/>
        <v>0</v>
      </c>
      <c r="AC170" s="127">
        <f t="shared" si="22"/>
        <v>1</v>
      </c>
      <c r="AD170" s="127">
        <f t="shared" si="23"/>
        <v>0</v>
      </c>
    </row>
    <row r="171" spans="1:30" x14ac:dyDescent="0.25">
      <c r="A171">
        <v>166</v>
      </c>
      <c r="C171" s="11">
        <v>1.8973395228385925E-2</v>
      </c>
      <c r="D171" s="11">
        <v>3.1039059162139893E-2</v>
      </c>
      <c r="E171" s="11">
        <v>0.17039297548323235</v>
      </c>
      <c r="F171" s="11">
        <v>0.26369012679086351</v>
      </c>
      <c r="G171" s="11">
        <v>1.6577690839767456E-2</v>
      </c>
      <c r="H171" s="40">
        <v>4.8450875389360046E-4</v>
      </c>
      <c r="I171" s="40">
        <v>1.4594654598941104</v>
      </c>
      <c r="J171" s="59">
        <v>0</v>
      </c>
      <c r="K171" s="59">
        <v>4790.5207611620426</v>
      </c>
      <c r="L171" s="59">
        <v>0</v>
      </c>
      <c r="M171" s="11">
        <v>0.87843763828277588</v>
      </c>
      <c r="N171" s="11">
        <v>0.79036235809326172</v>
      </c>
      <c r="O171" s="11">
        <v>0.3156847357749939</v>
      </c>
      <c r="Q171" s="59">
        <v>15.160223279509214</v>
      </c>
      <c r="R171" s="78">
        <v>495.65135460221023</v>
      </c>
      <c r="S171" s="78">
        <v>15.211230186374168</v>
      </c>
      <c r="T171" s="78">
        <v>596.61349180930745</v>
      </c>
      <c r="U171" s="59">
        <v>15.205394855919618</v>
      </c>
      <c r="V171" s="78">
        <v>815.20593811403978</v>
      </c>
      <c r="X171" s="134">
        <f t="shared" si="18"/>
        <v>1515526.6765963191</v>
      </c>
      <c r="Y171" s="134">
        <f t="shared" si="19"/>
        <v>1520526.4051456077</v>
      </c>
      <c r="Z171" s="134">
        <f t="shared" si="20"/>
        <v>1519724.2796538477</v>
      </c>
      <c r="AB171" s="127">
        <f t="shared" si="21"/>
        <v>0</v>
      </c>
      <c r="AC171" s="127">
        <f t="shared" si="22"/>
        <v>1</v>
      </c>
      <c r="AD171" s="127">
        <f t="shared" si="23"/>
        <v>0</v>
      </c>
    </row>
    <row r="172" spans="1:30" x14ac:dyDescent="0.25">
      <c r="A172">
        <v>167</v>
      </c>
      <c r="C172" s="11">
        <v>4.3439865112304688E-2</v>
      </c>
      <c r="D172" s="11">
        <v>2.0725145936012268E-2</v>
      </c>
      <c r="E172" s="11">
        <v>0.27252612469879328</v>
      </c>
      <c r="F172" s="11">
        <v>0.25290354806143839</v>
      </c>
      <c r="G172" s="11">
        <v>2.485734224319458E-2</v>
      </c>
      <c r="H172" s="40">
        <v>5.7867424620660658E-4</v>
      </c>
      <c r="I172" s="40">
        <v>1.2781808159271446</v>
      </c>
      <c r="J172" s="59">
        <v>0</v>
      </c>
      <c r="K172" s="59">
        <v>4743.7124885618687</v>
      </c>
      <c r="L172" s="59">
        <v>0</v>
      </c>
      <c r="M172" s="11">
        <v>0.77407550811767578</v>
      </c>
      <c r="N172" s="11">
        <v>0.71893620491027832</v>
      </c>
      <c r="O172" s="11">
        <v>0.23927593231201172</v>
      </c>
      <c r="Q172" s="59">
        <v>13.046967584509115</v>
      </c>
      <c r="R172" s="78">
        <v>466.83547170824676</v>
      </c>
      <c r="S172" s="78">
        <v>13.070169289447811</v>
      </c>
      <c r="T172" s="78">
        <v>599.0339944525449</v>
      </c>
      <c r="U172" s="59">
        <v>13.070802152856515</v>
      </c>
      <c r="V172" s="78">
        <v>806.59615117852763</v>
      </c>
      <c r="X172" s="134">
        <f t="shared" si="18"/>
        <v>1304229.9229792033</v>
      </c>
      <c r="Y172" s="134">
        <f t="shared" si="19"/>
        <v>1306417.8949503286</v>
      </c>
      <c r="Z172" s="134">
        <f t="shared" si="20"/>
        <v>1306273.6191344731</v>
      </c>
      <c r="AB172" s="127">
        <f t="shared" si="21"/>
        <v>0</v>
      </c>
      <c r="AC172" s="127">
        <f t="shared" si="22"/>
        <v>1</v>
      </c>
      <c r="AD172" s="127">
        <f t="shared" si="23"/>
        <v>0</v>
      </c>
    </row>
    <row r="173" spans="1:30" x14ac:dyDescent="0.25">
      <c r="A173">
        <v>168</v>
      </c>
      <c r="C173" s="11">
        <v>1.9847050309181213E-2</v>
      </c>
      <c r="D173" s="11">
        <v>1.9435837864875793E-2</v>
      </c>
      <c r="E173" s="11">
        <v>0.26596475379852036</v>
      </c>
      <c r="F173" s="11">
        <v>0.24822854586571805</v>
      </c>
      <c r="G173" s="11">
        <v>3.224790096282959E-2</v>
      </c>
      <c r="H173" s="40">
        <v>3.5058003023899622E-4</v>
      </c>
      <c r="I173" s="40">
        <v>1.5479448348204794</v>
      </c>
      <c r="J173" s="59">
        <v>0</v>
      </c>
      <c r="K173" s="59">
        <v>6215.4559418559074</v>
      </c>
      <c r="L173" s="59">
        <v>0</v>
      </c>
      <c r="M173" s="11">
        <v>0.87107717990875244</v>
      </c>
      <c r="N173" s="11">
        <v>0.74799847602844238</v>
      </c>
      <c r="O173" s="11">
        <v>0.3078041672706604</v>
      </c>
      <c r="Q173" s="59">
        <v>15.012718091850177</v>
      </c>
      <c r="R173" s="78">
        <v>529.50117831650289</v>
      </c>
      <c r="S173" s="78">
        <v>15.062509466317088</v>
      </c>
      <c r="T173" s="78">
        <v>615.55991430147924</v>
      </c>
      <c r="U173" s="59">
        <v>15.063733280654462</v>
      </c>
      <c r="V173" s="78">
        <v>822.13379182859956</v>
      </c>
      <c r="X173" s="134">
        <f t="shared" si="18"/>
        <v>1500742.3080067011</v>
      </c>
      <c r="Y173" s="134">
        <f t="shared" si="19"/>
        <v>1505635.3867174075</v>
      </c>
      <c r="Z173" s="134">
        <f t="shared" si="20"/>
        <v>1505551.1942736178</v>
      </c>
      <c r="AB173" s="127">
        <f t="shared" si="21"/>
        <v>0</v>
      </c>
      <c r="AC173" s="127">
        <f t="shared" si="22"/>
        <v>1</v>
      </c>
      <c r="AD173" s="127">
        <f t="shared" si="23"/>
        <v>0</v>
      </c>
    </row>
    <row r="174" spans="1:30" x14ac:dyDescent="0.25">
      <c r="A174">
        <v>169</v>
      </c>
      <c r="C174" s="11">
        <v>4.0178775787353516E-2</v>
      </c>
      <c r="D174" s="11">
        <v>2.2375062108039856E-2</v>
      </c>
      <c r="E174" s="11">
        <v>0.17232299528034639</v>
      </c>
      <c r="F174" s="11">
        <v>0.35264723735579395</v>
      </c>
      <c r="G174" s="11">
        <v>4.638323187828064E-2</v>
      </c>
      <c r="H174" s="40">
        <v>3.9134730732364787E-4</v>
      </c>
      <c r="I174" s="40">
        <v>1.4236479227102465</v>
      </c>
      <c r="J174" s="59">
        <v>0</v>
      </c>
      <c r="K174" s="59">
        <v>5565.3415620326996</v>
      </c>
      <c r="L174" s="59">
        <v>0</v>
      </c>
      <c r="M174" s="11">
        <v>0.83611488342285156</v>
      </c>
      <c r="N174" s="11">
        <v>0.72408634424209595</v>
      </c>
      <c r="O174" s="11">
        <v>0.30317148566246033</v>
      </c>
      <c r="Q174" s="59">
        <v>14.125315050053324</v>
      </c>
      <c r="R174" s="78">
        <v>493.35908711777932</v>
      </c>
      <c r="S174" s="78">
        <v>14.166643313228541</v>
      </c>
      <c r="T174" s="78">
        <v>596.32100828795228</v>
      </c>
      <c r="U174" s="59">
        <v>14.157544225704203</v>
      </c>
      <c r="V174" s="78">
        <v>823.35672158051568</v>
      </c>
      <c r="X174" s="134">
        <f t="shared" si="18"/>
        <v>1412038.1459182147</v>
      </c>
      <c r="Y174" s="134">
        <f t="shared" si="19"/>
        <v>1416068.0103145661</v>
      </c>
      <c r="Z174" s="134">
        <f t="shared" si="20"/>
        <v>1414931.0658488399</v>
      </c>
      <c r="AB174" s="127">
        <f t="shared" si="21"/>
        <v>0</v>
      </c>
      <c r="AC174" s="127">
        <f t="shared" si="22"/>
        <v>1</v>
      </c>
      <c r="AD174" s="127">
        <f t="shared" si="23"/>
        <v>0</v>
      </c>
    </row>
    <row r="175" spans="1:30" x14ac:dyDescent="0.25">
      <c r="A175">
        <v>170</v>
      </c>
      <c r="C175" s="11">
        <v>4.8504173755645752E-3</v>
      </c>
      <c r="D175" s="11">
        <v>5.353856086730957E-2</v>
      </c>
      <c r="E175" s="11">
        <v>0.28571019476527287</v>
      </c>
      <c r="F175" s="11">
        <v>8.5839294602025079E-2</v>
      </c>
      <c r="G175" s="11">
        <v>1.0573506355285645E-2</v>
      </c>
      <c r="H175" s="40">
        <v>4.4487224083743552E-4</v>
      </c>
      <c r="I175" s="40">
        <v>1.4128520983888306</v>
      </c>
      <c r="J175" s="59">
        <v>0</v>
      </c>
      <c r="K175" s="59">
        <v>2060.9796047210693</v>
      </c>
      <c r="L175" s="59">
        <v>0</v>
      </c>
      <c r="M175" s="11">
        <v>0.83743059635162354</v>
      </c>
      <c r="N175" s="11">
        <v>0.79700303077697754</v>
      </c>
      <c r="O175" s="11">
        <v>0.29653668403625488</v>
      </c>
      <c r="Q175" s="59">
        <v>14.679250299100117</v>
      </c>
      <c r="R175" s="78">
        <v>428.29714385801026</v>
      </c>
      <c r="S175" s="78">
        <v>14.708396086424516</v>
      </c>
      <c r="T175" s="78">
        <v>588.91105258416678</v>
      </c>
      <c r="U175" s="59">
        <v>14.716691397306263</v>
      </c>
      <c r="V175" s="78">
        <v>790.98723672405094</v>
      </c>
      <c r="X175" s="134">
        <f t="shared" si="18"/>
        <v>1467496.7327661538</v>
      </c>
      <c r="Y175" s="134">
        <f t="shared" si="19"/>
        <v>1470250.6975898675</v>
      </c>
      <c r="Z175" s="134">
        <f t="shared" si="20"/>
        <v>1470878.1524939022</v>
      </c>
      <c r="AB175" s="127">
        <f t="shared" si="21"/>
        <v>0</v>
      </c>
      <c r="AC175" s="127">
        <f t="shared" si="22"/>
        <v>0</v>
      </c>
      <c r="AD175" s="127">
        <f t="shared" si="23"/>
        <v>1</v>
      </c>
    </row>
    <row r="176" spans="1:30" x14ac:dyDescent="0.25">
      <c r="A176">
        <v>171</v>
      </c>
      <c r="C176" s="11">
        <v>2.1589756011962891E-2</v>
      </c>
      <c r="D176" s="11">
        <v>3.6519229412078857E-2</v>
      </c>
      <c r="E176" s="11">
        <v>0.16193215381805257</v>
      </c>
      <c r="F176" s="11">
        <v>0.25860532488462296</v>
      </c>
      <c r="G176" s="11">
        <v>4.0489733219146729E-2</v>
      </c>
      <c r="H176" s="40">
        <v>5.9146171639844571E-4</v>
      </c>
      <c r="I176" s="40">
        <v>1.4306220805403229</v>
      </c>
      <c r="J176" s="59">
        <v>0</v>
      </c>
      <c r="K176" s="59">
        <v>4177.1843098104</v>
      </c>
      <c r="L176" s="59">
        <v>0</v>
      </c>
      <c r="M176" s="11">
        <v>0.83111929893493652</v>
      </c>
      <c r="N176" s="11">
        <v>0.80179321765899658</v>
      </c>
      <c r="O176" s="11">
        <v>0.30269750952720642</v>
      </c>
      <c r="Q176" s="59">
        <v>14.310373819314309</v>
      </c>
      <c r="R176" s="78">
        <v>506.58217141766221</v>
      </c>
      <c r="S176" s="78">
        <v>14.354782960037376</v>
      </c>
      <c r="T176" s="78">
        <v>597.56515929236411</v>
      </c>
      <c r="U176" s="59">
        <v>14.349560209469033</v>
      </c>
      <c r="V176" s="78">
        <v>817.58598075942336</v>
      </c>
      <c r="X176" s="134">
        <f t="shared" si="18"/>
        <v>1430530.7997600131</v>
      </c>
      <c r="Y176" s="134">
        <f t="shared" si="19"/>
        <v>1434880.7308444451</v>
      </c>
      <c r="Z176" s="134">
        <f t="shared" si="20"/>
        <v>1434138.4349661437</v>
      </c>
      <c r="AB176" s="127">
        <f t="shared" si="21"/>
        <v>0</v>
      </c>
      <c r="AC176" s="127">
        <f t="shared" si="22"/>
        <v>1</v>
      </c>
      <c r="AD176" s="127">
        <f t="shared" si="23"/>
        <v>0</v>
      </c>
    </row>
    <row r="177" spans="1:30" x14ac:dyDescent="0.25">
      <c r="A177">
        <v>172</v>
      </c>
      <c r="C177" s="11">
        <v>1.9621849060058594E-2</v>
      </c>
      <c r="D177" s="11">
        <v>2.0323008298873901E-2</v>
      </c>
      <c r="E177" s="11">
        <v>0.20478570869468024</v>
      </c>
      <c r="F177" s="11">
        <v>0.13898562214698149</v>
      </c>
      <c r="G177" s="11">
        <v>1.0709404945373535E-2</v>
      </c>
      <c r="H177" s="40">
        <v>6.1975016196342679E-4</v>
      </c>
      <c r="I177" s="40">
        <v>1.424679539860719</v>
      </c>
      <c r="J177" s="59">
        <v>0</v>
      </c>
      <c r="K177" s="59">
        <v>5146.439652889967</v>
      </c>
      <c r="L177" s="59">
        <v>0</v>
      </c>
      <c r="M177" s="11">
        <v>0.88536262512207031</v>
      </c>
      <c r="N177" s="11">
        <v>0.71181756258010864</v>
      </c>
      <c r="O177" s="11">
        <v>0.29084432125091553</v>
      </c>
      <c r="Q177" s="59">
        <v>15.232574502879931</v>
      </c>
      <c r="R177" s="78">
        <v>515.26917902808009</v>
      </c>
      <c r="S177" s="78">
        <v>15.31107341446671</v>
      </c>
      <c r="T177" s="78">
        <v>604.29297406415151</v>
      </c>
      <c r="U177" s="59">
        <v>15.317713126582838</v>
      </c>
      <c r="V177" s="78">
        <v>805.19227456424881</v>
      </c>
      <c r="X177" s="134">
        <f t="shared" si="18"/>
        <v>1522742.1811089651</v>
      </c>
      <c r="Y177" s="134">
        <f t="shared" si="19"/>
        <v>1530503.0484726068</v>
      </c>
      <c r="Z177" s="134">
        <f t="shared" si="20"/>
        <v>1530966.1203837197</v>
      </c>
      <c r="AB177" s="127">
        <f t="shared" si="21"/>
        <v>0</v>
      </c>
      <c r="AC177" s="127">
        <f t="shared" si="22"/>
        <v>0</v>
      </c>
      <c r="AD177" s="127">
        <f t="shared" si="23"/>
        <v>1</v>
      </c>
    </row>
    <row r="178" spans="1:30" x14ac:dyDescent="0.25">
      <c r="A178">
        <v>173</v>
      </c>
      <c r="C178" s="11">
        <v>1.2874618172645569E-2</v>
      </c>
      <c r="D178" s="11">
        <v>5.5626392364501953E-2</v>
      </c>
      <c r="E178" s="11">
        <v>0.22910071567946955</v>
      </c>
      <c r="F178" s="11">
        <v>0.32581773537453068</v>
      </c>
      <c r="G178" s="11">
        <v>9.3806743621826172E-2</v>
      </c>
      <c r="H178" s="40">
        <v>4.5657871762256507E-4</v>
      </c>
      <c r="I178" s="40">
        <v>1.3789142926199702</v>
      </c>
      <c r="J178" s="59">
        <v>0</v>
      </c>
      <c r="K178" s="59">
        <v>6000.9723529219627</v>
      </c>
      <c r="L178" s="59">
        <v>0</v>
      </c>
      <c r="M178" s="11">
        <v>0.79247307777404785</v>
      </c>
      <c r="N178" s="11">
        <v>0.69797897338867188</v>
      </c>
      <c r="O178" s="11">
        <v>0.30828320980072021</v>
      </c>
      <c r="Q178" s="59">
        <v>13.757240341627069</v>
      </c>
      <c r="R178" s="78">
        <v>529.02064626630238</v>
      </c>
      <c r="S178" s="78">
        <v>13.803674059115684</v>
      </c>
      <c r="T178" s="78">
        <v>610.2574412538097</v>
      </c>
      <c r="U178" s="59">
        <v>13.797786544869467</v>
      </c>
      <c r="V178" s="78">
        <v>832.3947444366936</v>
      </c>
      <c r="X178" s="134">
        <f t="shared" si="18"/>
        <v>1375195.0135164405</v>
      </c>
      <c r="Y178" s="134">
        <f t="shared" si="19"/>
        <v>1379757.1484703145</v>
      </c>
      <c r="Z178" s="134">
        <f t="shared" si="20"/>
        <v>1378946.25974251</v>
      </c>
      <c r="AB178" s="127">
        <f t="shared" si="21"/>
        <v>0</v>
      </c>
      <c r="AC178" s="127">
        <f t="shared" si="22"/>
        <v>1</v>
      </c>
      <c r="AD178" s="127">
        <f t="shared" si="23"/>
        <v>0</v>
      </c>
    </row>
    <row r="179" spans="1:30" x14ac:dyDescent="0.25">
      <c r="A179">
        <v>174</v>
      </c>
      <c r="C179" s="11">
        <v>1.8614768981933594E-2</v>
      </c>
      <c r="D179" s="11">
        <v>1.6470432281494141E-2</v>
      </c>
      <c r="E179" s="11">
        <v>0.35732969991465402</v>
      </c>
      <c r="F179" s="11">
        <v>0.12396051426440649</v>
      </c>
      <c r="G179" s="11">
        <v>4.882967472076416E-2</v>
      </c>
      <c r="H179" s="40">
        <v>4.2045057260181655E-4</v>
      </c>
      <c r="I179" s="40">
        <v>1.478783297202281</v>
      </c>
      <c r="J179" s="59">
        <v>0</v>
      </c>
      <c r="K179" s="59">
        <v>4939.4159577786922</v>
      </c>
      <c r="L179" s="59">
        <v>0</v>
      </c>
      <c r="M179" s="11">
        <v>0.88540327548980713</v>
      </c>
      <c r="N179" s="11">
        <v>0.76037424802780151</v>
      </c>
      <c r="O179" s="11">
        <v>0.27586013078689575</v>
      </c>
      <c r="Q179" s="59">
        <v>15.277331989593414</v>
      </c>
      <c r="R179" s="78">
        <v>508.92125315888285</v>
      </c>
      <c r="S179" s="78">
        <v>15.322570828483604</v>
      </c>
      <c r="T179" s="78">
        <v>620.54517230136253</v>
      </c>
      <c r="U179" s="59">
        <v>15.339307539420385</v>
      </c>
      <c r="V179" s="78">
        <v>802.47377679307999</v>
      </c>
      <c r="X179" s="134">
        <f t="shared" si="18"/>
        <v>1527224.2777061823</v>
      </c>
      <c r="Y179" s="134">
        <f t="shared" si="19"/>
        <v>1531636.5376760592</v>
      </c>
      <c r="Z179" s="134">
        <f t="shared" si="20"/>
        <v>1533128.2801652455</v>
      </c>
      <c r="AB179" s="127">
        <f t="shared" si="21"/>
        <v>0</v>
      </c>
      <c r="AC179" s="127">
        <f t="shared" si="22"/>
        <v>0</v>
      </c>
      <c r="AD179" s="127">
        <f t="shared" si="23"/>
        <v>1</v>
      </c>
    </row>
    <row r="180" spans="1:30" x14ac:dyDescent="0.25">
      <c r="A180">
        <v>175</v>
      </c>
      <c r="C180" s="11">
        <v>2.5982767343521118E-2</v>
      </c>
      <c r="D180" s="11">
        <v>3.9973556995391846E-2</v>
      </c>
      <c r="E180" s="11">
        <v>0.24774103605884248</v>
      </c>
      <c r="F180" s="11">
        <v>0.18293395887488967</v>
      </c>
      <c r="G180" s="11">
        <v>5.3428232669830322E-2</v>
      </c>
      <c r="H180" s="40">
        <v>3.5236074732714046E-4</v>
      </c>
      <c r="I180" s="40">
        <v>1.4688172602165337</v>
      </c>
      <c r="J180" s="59">
        <v>0</v>
      </c>
      <c r="K180" s="59">
        <v>3231.4145937561989</v>
      </c>
      <c r="L180" s="59">
        <v>0</v>
      </c>
      <c r="M180" s="11">
        <v>0.7965695858001709</v>
      </c>
      <c r="N180" s="11">
        <v>0.67129707336425781</v>
      </c>
      <c r="O180" s="11">
        <v>0.32881653308868408</v>
      </c>
      <c r="Q180" s="59">
        <v>13.647153621554882</v>
      </c>
      <c r="R180" s="78">
        <v>455.76106659432031</v>
      </c>
      <c r="S180" s="78">
        <v>13.690250229008392</v>
      </c>
      <c r="T180" s="78">
        <v>594.47030922499152</v>
      </c>
      <c r="U180" s="59">
        <v>13.694014401139464</v>
      </c>
      <c r="V180" s="78">
        <v>799.43430799869475</v>
      </c>
      <c r="X180" s="134">
        <f t="shared" si="18"/>
        <v>1364259.6010888938</v>
      </c>
      <c r="Y180" s="134">
        <f t="shared" si="19"/>
        <v>1368430.5525916142</v>
      </c>
      <c r="Z180" s="134">
        <f t="shared" si="20"/>
        <v>1368602.0058059476</v>
      </c>
      <c r="AB180" s="127">
        <f t="shared" si="21"/>
        <v>0</v>
      </c>
      <c r="AC180" s="127">
        <f t="shared" si="22"/>
        <v>0</v>
      </c>
      <c r="AD180" s="127">
        <f t="shared" si="23"/>
        <v>1</v>
      </c>
    </row>
    <row r="181" spans="1:30" x14ac:dyDescent="0.25">
      <c r="A181">
        <v>176</v>
      </c>
      <c r="C181" s="11">
        <v>1.7871171236038208E-2</v>
      </c>
      <c r="D181" s="11">
        <v>1.236782968044281E-2</v>
      </c>
      <c r="E181" s="11">
        <v>0.19284080297771858</v>
      </c>
      <c r="F181" s="11">
        <v>0.23426377084272273</v>
      </c>
      <c r="G181" s="11">
        <v>7.5350046157836914E-2</v>
      </c>
      <c r="H181" s="40">
        <v>6.2160903934325149E-4</v>
      </c>
      <c r="I181" s="40">
        <v>1.3088572509434235</v>
      </c>
      <c r="J181" s="59">
        <v>0</v>
      </c>
      <c r="K181" s="59">
        <v>6257.3491595685482</v>
      </c>
      <c r="L181" s="59">
        <v>0</v>
      </c>
      <c r="M181" s="11">
        <v>0.77917623519897461</v>
      </c>
      <c r="N181" s="11">
        <v>0.70513808727264404</v>
      </c>
      <c r="O181" s="11">
        <v>0.31021624803543091</v>
      </c>
      <c r="Q181" s="59">
        <v>13.471892748739062</v>
      </c>
      <c r="R181" s="78">
        <v>542.44023879139752</v>
      </c>
      <c r="S181" s="78">
        <v>13.50824255845508</v>
      </c>
      <c r="T181" s="78">
        <v>607.96285024608324</v>
      </c>
      <c r="U181" s="59">
        <v>13.506352280678996</v>
      </c>
      <c r="V181" s="78">
        <v>823.16293012680194</v>
      </c>
      <c r="X181" s="134">
        <f t="shared" si="18"/>
        <v>1346646.834635115</v>
      </c>
      <c r="Y181" s="134">
        <f t="shared" si="19"/>
        <v>1350216.292995262</v>
      </c>
      <c r="Z181" s="134">
        <f t="shared" si="20"/>
        <v>1349812.0651377728</v>
      </c>
      <c r="AB181" s="127">
        <f t="shared" si="21"/>
        <v>0</v>
      </c>
      <c r="AC181" s="127">
        <f t="shared" si="22"/>
        <v>1</v>
      </c>
      <c r="AD181" s="127">
        <f t="shared" si="23"/>
        <v>0</v>
      </c>
    </row>
    <row r="182" spans="1:30" x14ac:dyDescent="0.25">
      <c r="A182">
        <v>177</v>
      </c>
      <c r="C182" s="11">
        <v>1.5870928764343262E-3</v>
      </c>
      <c r="D182" s="11">
        <v>1.0443180799484253E-2</v>
      </c>
      <c r="E182" s="11">
        <v>0.19456695105718749</v>
      </c>
      <c r="F182" s="11">
        <v>0.19282165085929523</v>
      </c>
      <c r="G182" s="11">
        <v>2.7844935655593872E-2</v>
      </c>
      <c r="H182" s="40">
        <v>4.6731501088122848E-4</v>
      </c>
      <c r="I182" s="40">
        <v>1.4581970386703456</v>
      </c>
      <c r="J182" s="59">
        <v>0</v>
      </c>
      <c r="K182" s="59">
        <v>5433.7712936103344</v>
      </c>
      <c r="L182" s="59">
        <v>0</v>
      </c>
      <c r="M182" s="11">
        <v>0.79543185234069824</v>
      </c>
      <c r="N182" s="11">
        <v>0.76282382011413574</v>
      </c>
      <c r="O182" s="11">
        <v>0.33479571342468262</v>
      </c>
      <c r="Q182" s="59">
        <v>13.994160165739471</v>
      </c>
      <c r="R182" s="78">
        <v>514.84140109620876</v>
      </c>
      <c r="S182" s="78">
        <v>14.021188848851237</v>
      </c>
      <c r="T182" s="78">
        <v>602.87682204656437</v>
      </c>
      <c r="U182" s="59">
        <v>14.021248538341991</v>
      </c>
      <c r="V182" s="78">
        <v>811.66343800630477</v>
      </c>
      <c r="X182" s="134">
        <f t="shared" si="18"/>
        <v>1398901.175172851</v>
      </c>
      <c r="Y182" s="134">
        <f t="shared" si="19"/>
        <v>1401516.0080630772</v>
      </c>
      <c r="Z182" s="134">
        <f t="shared" si="20"/>
        <v>1401313.1903961927</v>
      </c>
      <c r="AB182" s="127">
        <f t="shared" si="21"/>
        <v>0</v>
      </c>
      <c r="AC182" s="127">
        <f t="shared" si="22"/>
        <v>1</v>
      </c>
      <c r="AD182" s="127">
        <f t="shared" si="23"/>
        <v>0</v>
      </c>
    </row>
    <row r="183" spans="1:30" x14ac:dyDescent="0.25">
      <c r="A183">
        <v>178</v>
      </c>
      <c r="C183" s="11">
        <v>2.572399377822876E-2</v>
      </c>
      <c r="D183" s="11">
        <v>4.308629035949707E-2</v>
      </c>
      <c r="E183" s="11">
        <v>0.32235549329353874</v>
      </c>
      <c r="F183" s="11">
        <v>0.1754954528355904</v>
      </c>
      <c r="G183" s="11">
        <v>3.2960116863250732E-2</v>
      </c>
      <c r="H183" s="40">
        <v>4.8240273406761734E-4</v>
      </c>
      <c r="I183" s="40">
        <v>1.4428788496256995</v>
      </c>
      <c r="J183" s="59">
        <v>0</v>
      </c>
      <c r="K183" s="59">
        <v>6693.829782307148</v>
      </c>
      <c r="L183" s="59">
        <v>0</v>
      </c>
      <c r="M183" s="11">
        <v>0.79125714302062988</v>
      </c>
      <c r="N183" s="11">
        <v>0.68790411949157715</v>
      </c>
      <c r="O183" s="11">
        <v>0.25201535224914551</v>
      </c>
      <c r="Q183" s="59">
        <v>13.549984213368012</v>
      </c>
      <c r="R183" s="78">
        <v>540.41486864479441</v>
      </c>
      <c r="S183" s="78">
        <v>13.595016353905587</v>
      </c>
      <c r="T183" s="78">
        <v>626.79697435618357</v>
      </c>
      <c r="U183" s="59">
        <v>13.60494960087097</v>
      </c>
      <c r="V183" s="78">
        <v>814.09315923108272</v>
      </c>
      <c r="X183" s="134">
        <f t="shared" si="18"/>
        <v>1354458.0064681564</v>
      </c>
      <c r="Y183" s="134">
        <f t="shared" si="19"/>
        <v>1358874.8384162025</v>
      </c>
      <c r="Z183" s="134">
        <f t="shared" si="20"/>
        <v>1359680.8669278659</v>
      </c>
      <c r="AB183" s="127">
        <f t="shared" si="21"/>
        <v>0</v>
      </c>
      <c r="AC183" s="127">
        <f t="shared" si="22"/>
        <v>0</v>
      </c>
      <c r="AD183" s="127">
        <f t="shared" si="23"/>
        <v>1</v>
      </c>
    </row>
    <row r="184" spans="1:30" x14ac:dyDescent="0.25">
      <c r="A184">
        <v>179</v>
      </c>
      <c r="C184" s="11">
        <v>1.3860195875167847E-2</v>
      </c>
      <c r="D184" s="11">
        <v>2.1614238619804382E-2</v>
      </c>
      <c r="E184" s="11">
        <v>0.30695087349968836</v>
      </c>
      <c r="F184" s="11">
        <v>0.25070421072184379</v>
      </c>
      <c r="G184" s="11">
        <v>2.7721256017684937E-2</v>
      </c>
      <c r="H184" s="40">
        <v>3.3419138681424785E-4</v>
      </c>
      <c r="I184" s="40">
        <v>1.5459287130899944</v>
      </c>
      <c r="J184" s="59">
        <v>0</v>
      </c>
      <c r="K184" s="59">
        <v>7416.3125827908516</v>
      </c>
      <c r="L184" s="59">
        <v>0</v>
      </c>
      <c r="M184" s="11">
        <v>0.84710130095481873</v>
      </c>
      <c r="N184" s="11">
        <v>0.7752993106842041</v>
      </c>
      <c r="O184" s="11">
        <v>0.26677769422531128</v>
      </c>
      <c r="Q184" s="59">
        <v>14.704604092078501</v>
      </c>
      <c r="R184" s="78">
        <v>544.52607290139906</v>
      </c>
      <c r="S184" s="78">
        <v>14.739602157456421</v>
      </c>
      <c r="T184" s="78">
        <v>625.80427843777557</v>
      </c>
      <c r="U184" s="59">
        <v>14.742490224010307</v>
      </c>
      <c r="V184" s="78">
        <v>826.26802536553123</v>
      </c>
      <c r="X184" s="134">
        <f t="shared" si="18"/>
        <v>1469915.8831349486</v>
      </c>
      <c r="Y184" s="134">
        <f t="shared" si="19"/>
        <v>1473334.4114672043</v>
      </c>
      <c r="Z184" s="134">
        <f t="shared" si="20"/>
        <v>1473422.7543756652</v>
      </c>
      <c r="AB184" s="127">
        <f t="shared" si="21"/>
        <v>0</v>
      </c>
      <c r="AC184" s="127">
        <f t="shared" si="22"/>
        <v>0</v>
      </c>
      <c r="AD184" s="127">
        <f t="shared" si="23"/>
        <v>1</v>
      </c>
    </row>
    <row r="185" spans="1:30" x14ac:dyDescent="0.25">
      <c r="A185">
        <v>180</v>
      </c>
      <c r="C185" s="11">
        <v>2.3295998573303223E-2</v>
      </c>
      <c r="D185" s="11">
        <v>6.8593919277191162E-3</v>
      </c>
      <c r="E185" s="11">
        <v>0.41587394708078573</v>
      </c>
      <c r="F185" s="11">
        <v>9.6926939054774466E-2</v>
      </c>
      <c r="G185" s="11">
        <v>3.8053691387176514E-2</v>
      </c>
      <c r="H185" s="40">
        <v>4.3264929956070638E-4</v>
      </c>
      <c r="I185" s="40">
        <v>1.4453902905354246</v>
      </c>
      <c r="J185" s="59">
        <v>0</v>
      </c>
      <c r="K185" s="59">
        <v>6852.135993540287</v>
      </c>
      <c r="L185" s="59">
        <v>0</v>
      </c>
      <c r="M185" s="11">
        <v>0.90666532516479492</v>
      </c>
      <c r="N185" s="11">
        <v>0.77184373140335083</v>
      </c>
      <c r="O185" s="11">
        <v>0.326008141040802</v>
      </c>
      <c r="Q185" s="59">
        <v>15.578826212424193</v>
      </c>
      <c r="R185" s="78">
        <v>534.89274328478166</v>
      </c>
      <c r="S185" s="78">
        <v>15.615352448523369</v>
      </c>
      <c r="T185" s="78">
        <v>638.1692583199067</v>
      </c>
      <c r="U185" s="59">
        <v>15.63565038005942</v>
      </c>
      <c r="V185" s="78">
        <v>801.86475893009435</v>
      </c>
      <c r="X185" s="134">
        <f t="shared" si="18"/>
        <v>1557347.7284991345</v>
      </c>
      <c r="Y185" s="134">
        <f t="shared" si="19"/>
        <v>1560897.0755940168</v>
      </c>
      <c r="Z185" s="134">
        <f t="shared" si="20"/>
        <v>1562763.1732470118</v>
      </c>
      <c r="AB185" s="127">
        <f t="shared" si="21"/>
        <v>0</v>
      </c>
      <c r="AC185" s="127">
        <f t="shared" si="22"/>
        <v>0</v>
      </c>
      <c r="AD185" s="127">
        <f t="shared" si="23"/>
        <v>1</v>
      </c>
    </row>
    <row r="186" spans="1:30" x14ac:dyDescent="0.25">
      <c r="A186">
        <v>181</v>
      </c>
      <c r="C186" s="11">
        <v>1.1700421571731567E-2</v>
      </c>
      <c r="D186" s="11">
        <v>7.5916200876235962E-3</v>
      </c>
      <c r="E186" s="11">
        <v>0.22756063027872198</v>
      </c>
      <c r="F186" s="11">
        <v>0.17908135096619521</v>
      </c>
      <c r="G186" s="11">
        <v>6.7232489585876465E-2</v>
      </c>
      <c r="H186" s="40">
        <v>4.0106261137363644E-4</v>
      </c>
      <c r="I186" s="40">
        <v>1.4283477909648536</v>
      </c>
      <c r="J186" s="59">
        <v>0</v>
      </c>
      <c r="K186" s="59">
        <v>5134.7189582884312</v>
      </c>
      <c r="L186" s="59">
        <v>0</v>
      </c>
      <c r="M186" s="11">
        <v>0.85882669687271118</v>
      </c>
      <c r="N186" s="11">
        <v>0.79203701019287109</v>
      </c>
      <c r="O186" s="11">
        <v>0.26538753509521484</v>
      </c>
      <c r="Q186" s="59">
        <v>14.948583733857507</v>
      </c>
      <c r="R186" s="78">
        <v>502.42424218403102</v>
      </c>
      <c r="S186" s="78">
        <v>14.982337896101738</v>
      </c>
      <c r="T186" s="78">
        <v>603.94682725199607</v>
      </c>
      <c r="U186" s="59">
        <v>14.984486963826603</v>
      </c>
      <c r="V186" s="78">
        <v>807.64585015432181</v>
      </c>
      <c r="X186" s="134">
        <f t="shared" si="18"/>
        <v>1494355.9491435667</v>
      </c>
      <c r="Y186" s="134">
        <f t="shared" si="19"/>
        <v>1497629.8427829219</v>
      </c>
      <c r="Z186" s="134">
        <f t="shared" si="20"/>
        <v>1497641.0505325058</v>
      </c>
      <c r="AB186" s="127">
        <f t="shared" si="21"/>
        <v>0</v>
      </c>
      <c r="AC186" s="127">
        <f t="shared" si="22"/>
        <v>0</v>
      </c>
      <c r="AD186" s="127">
        <f t="shared" si="23"/>
        <v>1</v>
      </c>
    </row>
    <row r="187" spans="1:30" x14ac:dyDescent="0.25">
      <c r="A187">
        <v>182</v>
      </c>
      <c r="C187" s="11">
        <v>4.1054487228393555E-3</v>
      </c>
      <c r="D187" s="11">
        <v>1.3365462422370911E-2</v>
      </c>
      <c r="E187" s="11">
        <v>0.74332991317318542</v>
      </c>
      <c r="F187" s="11">
        <v>0.11889919974293833</v>
      </c>
      <c r="G187" s="11">
        <v>1.9189417362213135E-2</v>
      </c>
      <c r="H187" s="40">
        <v>7.5655977693892733E-4</v>
      </c>
      <c r="I187" s="40">
        <v>1.3523069809235768</v>
      </c>
      <c r="J187" s="59">
        <v>0</v>
      </c>
      <c r="K187" s="59">
        <v>5140.3883844614029</v>
      </c>
      <c r="L187" s="59">
        <v>0</v>
      </c>
      <c r="M187" s="11">
        <v>0.8299640417098999</v>
      </c>
      <c r="N187" s="11">
        <v>0.77657198905944824</v>
      </c>
      <c r="O187" s="11">
        <v>0.28665691614151001</v>
      </c>
      <c r="Q187" s="59">
        <v>14.549376249176184</v>
      </c>
      <c r="R187" s="78">
        <v>522.17277404637287</v>
      </c>
      <c r="S187" s="78">
        <v>14.562109722829161</v>
      </c>
      <c r="T187" s="78">
        <v>674.80140017554947</v>
      </c>
      <c r="U187" s="59">
        <v>14.59379764723481</v>
      </c>
      <c r="V187" s="78">
        <v>803.53241653005705</v>
      </c>
      <c r="X187" s="134">
        <f t="shared" si="18"/>
        <v>1454415.452143572</v>
      </c>
      <c r="Y187" s="134">
        <f t="shared" si="19"/>
        <v>1455536.1708827405</v>
      </c>
      <c r="Z187" s="134">
        <f t="shared" si="20"/>
        <v>1458576.232306951</v>
      </c>
      <c r="AB187" s="127">
        <f t="shared" si="21"/>
        <v>0</v>
      </c>
      <c r="AC187" s="127">
        <f t="shared" si="22"/>
        <v>0</v>
      </c>
      <c r="AD187" s="127">
        <f t="shared" si="23"/>
        <v>1</v>
      </c>
    </row>
    <row r="188" spans="1:30" x14ac:dyDescent="0.25">
      <c r="A188">
        <v>183</v>
      </c>
      <c r="C188" s="11">
        <v>1.9732281565666199E-2</v>
      </c>
      <c r="D188" s="11">
        <v>2.9961317777633667E-3</v>
      </c>
      <c r="E188" s="11">
        <v>0.25758761361254173</v>
      </c>
      <c r="F188" s="11">
        <v>0.2342373291509712</v>
      </c>
      <c r="G188" s="11">
        <v>2.8725564479827881E-2</v>
      </c>
      <c r="H188" s="40">
        <v>4.2843030009291389E-4</v>
      </c>
      <c r="I188" s="40">
        <v>1.4216759650532664</v>
      </c>
      <c r="J188" s="59">
        <v>0</v>
      </c>
      <c r="K188" s="59">
        <v>5599.9611504375935</v>
      </c>
      <c r="L188" s="59">
        <v>0</v>
      </c>
      <c r="M188" s="11">
        <v>0.86007499694824219</v>
      </c>
      <c r="N188" s="11">
        <v>0.75086969137191772</v>
      </c>
      <c r="O188" s="11">
        <v>0.28107857704162598</v>
      </c>
      <c r="Q188" s="59">
        <v>14.84266461067039</v>
      </c>
      <c r="R188" s="78">
        <v>495.70762694360241</v>
      </c>
      <c r="S188" s="78">
        <v>14.879290019936152</v>
      </c>
      <c r="T188" s="78">
        <v>605.5005429480002</v>
      </c>
      <c r="U188" s="59">
        <v>14.88045795009065</v>
      </c>
      <c r="V188" s="78">
        <v>812.10700155996642</v>
      </c>
      <c r="X188" s="134">
        <f t="shared" si="18"/>
        <v>1483770.7534400953</v>
      </c>
      <c r="Y188" s="134">
        <f t="shared" si="19"/>
        <v>1487323.5014506672</v>
      </c>
      <c r="Z188" s="134">
        <f t="shared" si="20"/>
        <v>1487233.6880075049</v>
      </c>
      <c r="AB188" s="127">
        <f t="shared" si="21"/>
        <v>0</v>
      </c>
      <c r="AC188" s="127">
        <f t="shared" si="22"/>
        <v>1</v>
      </c>
      <c r="AD188" s="127">
        <f t="shared" si="23"/>
        <v>0</v>
      </c>
    </row>
    <row r="189" spans="1:30" x14ac:dyDescent="0.25">
      <c r="A189">
        <v>184</v>
      </c>
      <c r="C189" s="11">
        <v>3.2240867614746094E-2</v>
      </c>
      <c r="D189" s="11">
        <v>2.5445610284805298E-2</v>
      </c>
      <c r="E189" s="11">
        <v>0.2676221334008394</v>
      </c>
      <c r="F189" s="11">
        <v>0.37292543741493089</v>
      </c>
      <c r="G189" s="11">
        <v>6.6397190093994141E-2</v>
      </c>
      <c r="H189" s="40">
        <v>5.0646809562808481E-4</v>
      </c>
      <c r="I189" s="40">
        <v>1.4386983845037664</v>
      </c>
      <c r="J189" s="59">
        <v>0</v>
      </c>
      <c r="K189" s="59">
        <v>4508.2613360136747</v>
      </c>
      <c r="L189" s="59">
        <v>0</v>
      </c>
      <c r="M189" s="11">
        <v>0.85459029674530029</v>
      </c>
      <c r="N189" s="11">
        <v>0.75583547353744507</v>
      </c>
      <c r="O189" s="11">
        <v>0.29679188132286072</v>
      </c>
      <c r="Q189" s="59">
        <v>14.538730091601145</v>
      </c>
      <c r="R189" s="78">
        <v>513.42150864487155</v>
      </c>
      <c r="S189" s="78">
        <v>14.589481730809739</v>
      </c>
      <c r="T189" s="78">
        <v>611.40035595089898</v>
      </c>
      <c r="U189" s="59">
        <v>14.58208284770758</v>
      </c>
      <c r="V189" s="78">
        <v>833.05993578600805</v>
      </c>
      <c r="X189" s="134">
        <f t="shared" si="18"/>
        <v>1453359.5876514695</v>
      </c>
      <c r="Y189" s="134">
        <f t="shared" si="19"/>
        <v>1458336.7727250229</v>
      </c>
      <c r="Z189" s="134">
        <f t="shared" si="20"/>
        <v>1457375.2248349721</v>
      </c>
      <c r="AB189" s="127">
        <f t="shared" si="21"/>
        <v>0</v>
      </c>
      <c r="AC189" s="127">
        <f t="shared" si="22"/>
        <v>1</v>
      </c>
      <c r="AD189" s="127">
        <f t="shared" si="23"/>
        <v>0</v>
      </c>
    </row>
    <row r="190" spans="1:30" x14ac:dyDescent="0.25">
      <c r="A190">
        <v>185</v>
      </c>
      <c r="C190" s="11">
        <v>8.414342999458313E-3</v>
      </c>
      <c r="D190" s="11">
        <v>4.3507814407348633E-2</v>
      </c>
      <c r="E190" s="11">
        <v>0.48234967972390547</v>
      </c>
      <c r="F190" s="11">
        <v>0.16822629876756606</v>
      </c>
      <c r="G190" s="11">
        <v>2.1404385566711426E-2</v>
      </c>
      <c r="H190" s="40">
        <v>3.8674496472173648E-4</v>
      </c>
      <c r="I190" s="40">
        <v>1.4330182608009117</v>
      </c>
      <c r="J190" s="59">
        <v>0</v>
      </c>
      <c r="K190" s="59">
        <v>5325.5190141499043</v>
      </c>
      <c r="L190" s="59">
        <v>0</v>
      </c>
      <c r="M190" s="11">
        <v>0.89279651641845703</v>
      </c>
      <c r="N190" s="11">
        <v>0.72095668315887451</v>
      </c>
      <c r="O190" s="11">
        <v>0.36727190017700195</v>
      </c>
      <c r="Q190" s="59">
        <v>15.568663167765646</v>
      </c>
      <c r="R190" s="78">
        <v>481.0659681723414</v>
      </c>
      <c r="S190" s="78">
        <v>15.603907320716576</v>
      </c>
      <c r="T190" s="78">
        <v>621.31547619666549</v>
      </c>
      <c r="U190" s="59">
        <v>15.625585448878095</v>
      </c>
      <c r="V190" s="78">
        <v>802.82644631907544</v>
      </c>
      <c r="X190" s="134">
        <f t="shared" si="18"/>
        <v>1556385.2508083922</v>
      </c>
      <c r="Y190" s="134">
        <f t="shared" si="19"/>
        <v>1559769.4165954611</v>
      </c>
      <c r="Z190" s="134">
        <f t="shared" si="20"/>
        <v>1561755.7184414905</v>
      </c>
      <c r="AB190" s="127">
        <f t="shared" si="21"/>
        <v>0</v>
      </c>
      <c r="AC190" s="127">
        <f t="shared" si="22"/>
        <v>0</v>
      </c>
      <c r="AD190" s="127">
        <f t="shared" si="23"/>
        <v>1</v>
      </c>
    </row>
    <row r="191" spans="1:30" x14ac:dyDescent="0.25">
      <c r="A191">
        <v>186</v>
      </c>
      <c r="C191" s="11">
        <v>1.124967634677887E-2</v>
      </c>
      <c r="D191" s="11">
        <v>2.8420984745025635E-3</v>
      </c>
      <c r="E191" s="11">
        <v>0.45208301686200003</v>
      </c>
      <c r="F191" s="11">
        <v>0.29804378385358532</v>
      </c>
      <c r="G191" s="11">
        <v>1.4501750469207764E-2</v>
      </c>
      <c r="H191" s="40">
        <v>4.3981770845598204E-4</v>
      </c>
      <c r="I191" s="40">
        <v>1.4293535132788564</v>
      </c>
      <c r="J191" s="59">
        <v>0</v>
      </c>
      <c r="K191" s="59">
        <v>5646.4923545718193</v>
      </c>
      <c r="L191" s="59">
        <v>0</v>
      </c>
      <c r="M191" s="11">
        <v>0.83769166469573975</v>
      </c>
      <c r="N191" s="11">
        <v>0.7797168493270874</v>
      </c>
      <c r="O191" s="11">
        <v>0.30702996253967285</v>
      </c>
      <c r="Q191" s="59">
        <v>14.595481477173502</v>
      </c>
      <c r="R191" s="78">
        <v>493.69853048755829</v>
      </c>
      <c r="S191" s="78">
        <v>14.614319591157125</v>
      </c>
      <c r="T191" s="78">
        <v>624.48228180003218</v>
      </c>
      <c r="U191" s="59">
        <v>14.619689849631433</v>
      </c>
      <c r="V191" s="78">
        <v>818.06185837774763</v>
      </c>
      <c r="X191" s="134">
        <f t="shared" si="18"/>
        <v>1459054.4491868627</v>
      </c>
      <c r="Y191" s="134">
        <f t="shared" si="19"/>
        <v>1460807.4768339123</v>
      </c>
      <c r="Z191" s="134">
        <f t="shared" si="20"/>
        <v>1461150.9231047656</v>
      </c>
      <c r="AB191" s="127">
        <f t="shared" si="21"/>
        <v>0</v>
      </c>
      <c r="AC191" s="127">
        <f t="shared" si="22"/>
        <v>0</v>
      </c>
      <c r="AD191" s="127">
        <f t="shared" si="23"/>
        <v>1</v>
      </c>
    </row>
    <row r="192" spans="1:30" x14ac:dyDescent="0.25">
      <c r="A192">
        <v>187</v>
      </c>
      <c r="C192" s="11">
        <v>1.1734813451766968E-2</v>
      </c>
      <c r="D192" s="11">
        <v>1.1374622583389282E-2</v>
      </c>
      <c r="E192" s="11">
        <v>0.35139254810220022</v>
      </c>
      <c r="F192" s="11">
        <v>0.15906089919812824</v>
      </c>
      <c r="G192" s="11">
        <v>2.783474326133728E-2</v>
      </c>
      <c r="H192" s="40">
        <v>3.7631540176465909E-4</v>
      </c>
      <c r="I192" s="40">
        <v>1.5863339123726816</v>
      </c>
      <c r="J192" s="59">
        <v>0</v>
      </c>
      <c r="K192" s="59">
        <v>6128.2841488718987</v>
      </c>
      <c r="L192" s="59">
        <v>0</v>
      </c>
      <c r="M192" s="11">
        <v>0.85495162010192871</v>
      </c>
      <c r="N192" s="11">
        <v>0.80617284774780273</v>
      </c>
      <c r="O192" s="11">
        <v>0.28144806623458862</v>
      </c>
      <c r="Q192" s="59">
        <v>14.872232108731524</v>
      </c>
      <c r="R192" s="78">
        <v>551.70170512888751</v>
      </c>
      <c r="S192" s="78">
        <v>14.905643206345371</v>
      </c>
      <c r="T192" s="78">
        <v>635.28739577665738</v>
      </c>
      <c r="U192" s="59">
        <v>14.915801253839533</v>
      </c>
      <c r="V192" s="78">
        <v>813.59834992275398</v>
      </c>
      <c r="X192" s="134">
        <f t="shared" si="18"/>
        <v>1486671.5091680235</v>
      </c>
      <c r="Y192" s="134">
        <f t="shared" si="19"/>
        <v>1489929.0332387604</v>
      </c>
      <c r="Z192" s="134">
        <f t="shared" si="20"/>
        <v>1490766.5270340305</v>
      </c>
      <c r="AB192" s="127">
        <f t="shared" si="21"/>
        <v>0</v>
      </c>
      <c r="AC192" s="127">
        <f t="shared" si="22"/>
        <v>0</v>
      </c>
      <c r="AD192" s="127">
        <f t="shared" si="23"/>
        <v>1</v>
      </c>
    </row>
    <row r="193" spans="1:30" x14ac:dyDescent="0.25">
      <c r="A193">
        <v>188</v>
      </c>
      <c r="C193" s="11">
        <v>4.4711977243423462E-3</v>
      </c>
      <c r="D193" s="11">
        <v>1.1507332324981689E-2</v>
      </c>
      <c r="E193" s="11">
        <v>0.16828495426096404</v>
      </c>
      <c r="F193" s="11">
        <v>0.11937655364702038</v>
      </c>
      <c r="G193" s="11">
        <v>4.6592831611633301E-2</v>
      </c>
      <c r="H193" s="40">
        <v>6.5403481759107932E-4</v>
      </c>
      <c r="I193" s="40">
        <v>1.3996130605227342</v>
      </c>
      <c r="J193" s="59">
        <v>0</v>
      </c>
      <c r="K193" s="59">
        <v>8639.2275989055634</v>
      </c>
      <c r="L193" s="59">
        <v>0</v>
      </c>
      <c r="M193" s="11">
        <v>0.84653043746948242</v>
      </c>
      <c r="N193" s="11">
        <v>0.73812121152877808</v>
      </c>
      <c r="O193" s="11">
        <v>0.28303354978561401</v>
      </c>
      <c r="Q193" s="59">
        <v>14.80943059981171</v>
      </c>
      <c r="R193" s="78">
        <v>642.46979498252335</v>
      </c>
      <c r="S193" s="78">
        <v>14.872760264255614</v>
      </c>
      <c r="T193" s="78">
        <v>621.56363199776274</v>
      </c>
      <c r="U193" s="59">
        <v>14.87656740309766</v>
      </c>
      <c r="V193" s="78">
        <v>818.2252569458775</v>
      </c>
      <c r="X193" s="134">
        <f t="shared" si="18"/>
        <v>1480300.5901861885</v>
      </c>
      <c r="Y193" s="134">
        <f t="shared" si="19"/>
        <v>1486654.4627935637</v>
      </c>
      <c r="Z193" s="134">
        <f t="shared" si="20"/>
        <v>1486838.5150528201</v>
      </c>
      <c r="AB193" s="127">
        <f t="shared" si="21"/>
        <v>0</v>
      </c>
      <c r="AC193" s="127">
        <f t="shared" si="22"/>
        <v>0</v>
      </c>
      <c r="AD193" s="127">
        <f t="shared" si="23"/>
        <v>1</v>
      </c>
    </row>
    <row r="194" spans="1:30" x14ac:dyDescent="0.25">
      <c r="A194">
        <v>189</v>
      </c>
      <c r="C194" s="11">
        <v>1.9563376903533936E-2</v>
      </c>
      <c r="D194" s="11">
        <v>1.4592230319976807E-2</v>
      </c>
      <c r="E194" s="11">
        <v>0.26356059141501031</v>
      </c>
      <c r="F194" s="11">
        <v>0.10958062333545407</v>
      </c>
      <c r="G194" s="11">
        <v>1.6613811254501343E-2</v>
      </c>
      <c r="H194" s="40">
        <v>5.5206289876705305E-4</v>
      </c>
      <c r="I194" s="40">
        <v>1.3693999704634245</v>
      </c>
      <c r="J194" s="59">
        <v>0</v>
      </c>
      <c r="K194" s="59">
        <v>5096.5067930519581</v>
      </c>
      <c r="L194" s="59">
        <v>0</v>
      </c>
      <c r="M194" s="11">
        <v>0.82038795948028564</v>
      </c>
      <c r="N194" s="11">
        <v>0.77108246088027954</v>
      </c>
      <c r="O194" s="11">
        <v>0.35386538505554199</v>
      </c>
      <c r="Q194" s="59">
        <v>14.172972001634797</v>
      </c>
      <c r="R194" s="78">
        <v>488.94285680706446</v>
      </c>
      <c r="S194" s="78">
        <v>14.198261560114879</v>
      </c>
      <c r="T194" s="78">
        <v>604.33480635700391</v>
      </c>
      <c r="U194" s="59">
        <v>14.203643608506408</v>
      </c>
      <c r="V194" s="78">
        <v>798.5609136321973</v>
      </c>
      <c r="X194" s="134">
        <f t="shared" si="18"/>
        <v>1416808.2573066726</v>
      </c>
      <c r="Y194" s="134">
        <f t="shared" si="19"/>
        <v>1419221.8212051308</v>
      </c>
      <c r="Z194" s="134">
        <f t="shared" si="20"/>
        <v>1419565.7999370086</v>
      </c>
      <c r="AB194" s="127">
        <f t="shared" si="21"/>
        <v>0</v>
      </c>
      <c r="AC194" s="127">
        <f t="shared" si="22"/>
        <v>0</v>
      </c>
      <c r="AD194" s="127">
        <f t="shared" si="23"/>
        <v>1</v>
      </c>
    </row>
    <row r="195" spans="1:30" x14ac:dyDescent="0.25">
      <c r="A195">
        <v>190</v>
      </c>
      <c r="C195" s="11">
        <v>3.3734738826751709E-3</v>
      </c>
      <c r="D195" s="11">
        <v>2.1373271942138672E-2</v>
      </c>
      <c r="E195" s="11">
        <v>0.19822936428612214</v>
      </c>
      <c r="F195" s="11">
        <v>0.3076493244482903</v>
      </c>
      <c r="G195" s="11">
        <v>2.8862416744232178E-2</v>
      </c>
      <c r="H195" s="40">
        <v>2.810281147285543E-4</v>
      </c>
      <c r="I195" s="40">
        <v>1.6072632079514493</v>
      </c>
      <c r="J195" s="59">
        <v>0</v>
      </c>
      <c r="K195" s="59">
        <v>4528.7027023732662</v>
      </c>
      <c r="L195" s="59">
        <v>0</v>
      </c>
      <c r="M195" s="11">
        <v>0.83128654956817627</v>
      </c>
      <c r="N195" s="11">
        <v>0.78553932905197144</v>
      </c>
      <c r="O195" s="11">
        <v>0.29463362693786621</v>
      </c>
      <c r="Q195" s="59">
        <v>14.591288002269053</v>
      </c>
      <c r="R195" s="78">
        <v>488.15505365522966</v>
      </c>
      <c r="S195" s="78">
        <v>14.625339055652079</v>
      </c>
      <c r="T195" s="78">
        <v>597.95731403533102</v>
      </c>
      <c r="U195" s="59">
        <v>14.620615160342066</v>
      </c>
      <c r="V195" s="78">
        <v>817.35862700698158</v>
      </c>
      <c r="X195" s="134">
        <f t="shared" si="18"/>
        <v>1458640.6451732502</v>
      </c>
      <c r="Y195" s="134">
        <f t="shared" si="19"/>
        <v>1461935.9482511724</v>
      </c>
      <c r="Z195" s="134">
        <f t="shared" si="20"/>
        <v>1461244.1574071997</v>
      </c>
      <c r="AB195" s="127">
        <f t="shared" si="21"/>
        <v>0</v>
      </c>
      <c r="AC195" s="127">
        <f t="shared" si="22"/>
        <v>1</v>
      </c>
      <c r="AD195" s="127">
        <f t="shared" si="23"/>
        <v>0</v>
      </c>
    </row>
    <row r="196" spans="1:30" x14ac:dyDescent="0.25">
      <c r="A196">
        <v>191</v>
      </c>
      <c r="C196" s="11">
        <v>7.1159303188323975E-3</v>
      </c>
      <c r="D196" s="11">
        <v>1.4224827289581299E-2</v>
      </c>
      <c r="E196" s="11">
        <v>0.21696420512209663</v>
      </c>
      <c r="F196" s="11">
        <v>0.13150974493310497</v>
      </c>
      <c r="G196" s="11">
        <v>4.5777201652526855E-2</v>
      </c>
      <c r="H196" s="40">
        <v>5.9963052169835561E-4</v>
      </c>
      <c r="I196" s="40">
        <v>1.4571464964761229</v>
      </c>
      <c r="J196" s="59">
        <v>0</v>
      </c>
      <c r="K196" s="59">
        <v>2942.1504586935043</v>
      </c>
      <c r="L196" s="59">
        <v>0</v>
      </c>
      <c r="M196" s="11">
        <v>0.79156970977783203</v>
      </c>
      <c r="N196" s="11">
        <v>0.75246477127075195</v>
      </c>
      <c r="O196" s="11">
        <v>0.3404158353805542</v>
      </c>
      <c r="Q196" s="59">
        <v>13.832997828285245</v>
      </c>
      <c r="R196" s="78">
        <v>484.88048090026871</v>
      </c>
      <c r="S196" s="78">
        <v>13.8714798071089</v>
      </c>
      <c r="T196" s="78">
        <v>599.09094179959311</v>
      </c>
      <c r="U196" s="59">
        <v>13.875787206576513</v>
      </c>
      <c r="V196" s="78">
        <v>800.20300324051675</v>
      </c>
      <c r="X196" s="134">
        <f t="shared" si="18"/>
        <v>1382814.9023476243</v>
      </c>
      <c r="Y196" s="134">
        <f t="shared" si="19"/>
        <v>1386548.8897690903</v>
      </c>
      <c r="Z196" s="134">
        <f t="shared" si="20"/>
        <v>1386778.5176544108</v>
      </c>
      <c r="AB196" s="127">
        <f t="shared" si="21"/>
        <v>0</v>
      </c>
      <c r="AC196" s="127">
        <f t="shared" si="22"/>
        <v>0</v>
      </c>
      <c r="AD196" s="127">
        <f t="shared" si="23"/>
        <v>1</v>
      </c>
    </row>
    <row r="197" spans="1:30" x14ac:dyDescent="0.25">
      <c r="A197">
        <v>192</v>
      </c>
      <c r="C197" s="11">
        <v>3.5755634307861328E-2</v>
      </c>
      <c r="D197" s="11">
        <v>1.252293586730957E-2</v>
      </c>
      <c r="E197" s="11">
        <v>0.14722037440273836</v>
      </c>
      <c r="F197" s="11">
        <v>0.34757499466460018</v>
      </c>
      <c r="G197" s="11">
        <v>3.84846031665802E-2</v>
      </c>
      <c r="H197" s="40">
        <v>6.0076745509908482E-4</v>
      </c>
      <c r="I197" s="40">
        <v>1.3498546008764678</v>
      </c>
      <c r="J197" s="59">
        <v>0</v>
      </c>
      <c r="K197" s="59">
        <v>5357.3050536215305</v>
      </c>
      <c r="L197" s="59">
        <v>0</v>
      </c>
      <c r="M197" s="11">
        <v>0.85533621907234192</v>
      </c>
      <c r="N197" s="11">
        <v>0.78274774551391602</v>
      </c>
      <c r="O197" s="11">
        <v>0.25896823406219482</v>
      </c>
      <c r="Q197" s="59">
        <v>14.518802904584307</v>
      </c>
      <c r="R197" s="78">
        <v>508.24513103035889</v>
      </c>
      <c r="S197" s="78">
        <v>14.56071120866309</v>
      </c>
      <c r="T197" s="78">
        <v>596.06005021491194</v>
      </c>
      <c r="U197" s="59">
        <v>14.55073713516909</v>
      </c>
      <c r="V197" s="78">
        <v>828.14244077509875</v>
      </c>
      <c r="X197" s="134">
        <f t="shared" si="18"/>
        <v>1451372.0453274003</v>
      </c>
      <c r="Y197" s="134">
        <f t="shared" si="19"/>
        <v>1455475.060816094</v>
      </c>
      <c r="Z197" s="134">
        <f t="shared" si="20"/>
        <v>1454245.5710761338</v>
      </c>
      <c r="AB197" s="127">
        <f t="shared" si="21"/>
        <v>0</v>
      </c>
      <c r="AC197" s="127">
        <f t="shared" si="22"/>
        <v>1</v>
      </c>
      <c r="AD197" s="127">
        <f t="shared" si="23"/>
        <v>0</v>
      </c>
    </row>
    <row r="198" spans="1:30" x14ac:dyDescent="0.25">
      <c r="A198">
        <v>193</v>
      </c>
      <c r="C198" s="11">
        <v>1.5425786375999451E-2</v>
      </c>
      <c r="D198" s="11">
        <v>1.4356955885887146E-2</v>
      </c>
      <c r="E198" s="11">
        <v>0.22119002730568321</v>
      </c>
      <c r="F198" s="11">
        <v>0.22494213498885771</v>
      </c>
      <c r="G198" s="11">
        <v>2.3437291383743286E-2</v>
      </c>
      <c r="H198" s="40">
        <v>5.9005038997412629E-4</v>
      </c>
      <c r="I198" s="40">
        <v>1.337211070651259</v>
      </c>
      <c r="J198" s="59">
        <v>0</v>
      </c>
      <c r="K198" s="59">
        <v>9720.8470106124878</v>
      </c>
      <c r="L198" s="59">
        <v>0</v>
      </c>
      <c r="M198" s="11">
        <v>0.82800960540771484</v>
      </c>
      <c r="N198" s="11">
        <v>0.75448161363601685</v>
      </c>
      <c r="O198" s="11">
        <v>0.2595752477645874</v>
      </c>
      <c r="Q198" s="59">
        <v>14.355138792083464</v>
      </c>
      <c r="R198" s="78">
        <v>578.37184206492589</v>
      </c>
      <c r="S198" s="78">
        <v>14.389932375523731</v>
      </c>
      <c r="T198" s="78">
        <v>620.29020836489838</v>
      </c>
      <c r="U198" s="59">
        <v>14.389762306324847</v>
      </c>
      <c r="V198" s="78">
        <v>829.98810398137641</v>
      </c>
      <c r="X198" s="134">
        <f t="shared" si="18"/>
        <v>1434935.5073662815</v>
      </c>
      <c r="Y198" s="134">
        <f t="shared" si="19"/>
        <v>1438372.9473440084</v>
      </c>
      <c r="Z198" s="134">
        <f t="shared" si="20"/>
        <v>1438146.2425285033</v>
      </c>
      <c r="AB198" s="127">
        <f t="shared" si="21"/>
        <v>0</v>
      </c>
      <c r="AC198" s="127">
        <f t="shared" si="22"/>
        <v>1</v>
      </c>
      <c r="AD198" s="127">
        <f t="shared" si="23"/>
        <v>0</v>
      </c>
    </row>
    <row r="199" spans="1:30" x14ac:dyDescent="0.25">
      <c r="A199">
        <v>194</v>
      </c>
      <c r="C199" s="11">
        <v>6.4915120601654053E-3</v>
      </c>
      <c r="D199" s="11">
        <v>1.054808497428894E-2</v>
      </c>
      <c r="E199" s="11">
        <v>0.25447781003868836</v>
      </c>
      <c r="F199" s="11">
        <v>0.27049707680258545</v>
      </c>
      <c r="G199" s="11">
        <v>0.11294937133789063</v>
      </c>
      <c r="H199" s="40">
        <v>5.7921846886950555E-4</v>
      </c>
      <c r="I199" s="40">
        <v>1.3537495246548041</v>
      </c>
      <c r="J199" s="59">
        <v>0</v>
      </c>
      <c r="K199" s="59">
        <v>4579.0639705955982</v>
      </c>
      <c r="L199" s="59">
        <v>0</v>
      </c>
      <c r="M199" s="11">
        <v>0.85324490070343018</v>
      </c>
      <c r="N199" s="11">
        <v>0.75113397836685181</v>
      </c>
      <c r="O199" s="11">
        <v>0.24523520469665527</v>
      </c>
      <c r="Q199" s="59">
        <v>14.905062983037244</v>
      </c>
      <c r="R199" s="78">
        <v>528.09014981119128</v>
      </c>
      <c r="S199" s="78">
        <v>14.955856042373997</v>
      </c>
      <c r="T199" s="78">
        <v>613.51860345177238</v>
      </c>
      <c r="U199" s="59">
        <v>14.954749641770899</v>
      </c>
      <c r="V199" s="78">
        <v>824.68240347152516</v>
      </c>
      <c r="X199" s="134">
        <f t="shared" si="18"/>
        <v>1489978.208153913</v>
      </c>
      <c r="Y199" s="134">
        <f t="shared" si="19"/>
        <v>1494972.085633948</v>
      </c>
      <c r="Z199" s="134">
        <f t="shared" si="20"/>
        <v>1494650.2817736184</v>
      </c>
      <c r="AB199" s="127">
        <f t="shared" si="21"/>
        <v>0</v>
      </c>
      <c r="AC199" s="127">
        <f t="shared" si="22"/>
        <v>1</v>
      </c>
      <c r="AD199" s="127">
        <f t="shared" si="23"/>
        <v>0</v>
      </c>
    </row>
    <row r="200" spans="1:30" x14ac:dyDescent="0.25">
      <c r="A200">
        <v>195</v>
      </c>
      <c r="C200" s="11">
        <v>2.5051608681678772E-2</v>
      </c>
      <c r="D200" s="11">
        <v>5.1986455917358398E-2</v>
      </c>
      <c r="E200" s="11">
        <v>0.6987887646048796</v>
      </c>
      <c r="F200" s="11">
        <v>0.25416654553486828</v>
      </c>
      <c r="G200" s="11">
        <v>3.1287908554077148E-2</v>
      </c>
      <c r="H200" s="40">
        <v>4.7318987742800585E-4</v>
      </c>
      <c r="I200" s="40">
        <v>1.4514398107203463</v>
      </c>
      <c r="J200" s="59">
        <v>0</v>
      </c>
      <c r="K200" s="59">
        <v>5394.8443382978439</v>
      </c>
      <c r="L200" s="59">
        <v>0</v>
      </c>
      <c r="M200" s="11">
        <v>0.81070840358734131</v>
      </c>
      <c r="N200" s="11">
        <v>0.73595380783081055</v>
      </c>
      <c r="O200" s="11">
        <v>0.30380058288574219</v>
      </c>
      <c r="Q200" s="59">
        <v>13.901039626152395</v>
      </c>
      <c r="R200" s="78">
        <v>511.49632614116314</v>
      </c>
      <c r="S200" s="78">
        <v>13.918906741490657</v>
      </c>
      <c r="T200" s="78">
        <v>661.57144169442961</v>
      </c>
      <c r="U200" s="59">
        <v>13.945712381050649</v>
      </c>
      <c r="V200" s="78">
        <v>818.28691019678172</v>
      </c>
      <c r="X200" s="134">
        <f t="shared" si="18"/>
        <v>1389592.4662890984</v>
      </c>
      <c r="Y200" s="134">
        <f t="shared" si="19"/>
        <v>1391229.1027073713</v>
      </c>
      <c r="Z200" s="134">
        <f t="shared" si="20"/>
        <v>1393752.9511948682</v>
      </c>
      <c r="AB200" s="127">
        <f t="shared" si="21"/>
        <v>0</v>
      </c>
      <c r="AC200" s="127">
        <f t="shared" si="22"/>
        <v>0</v>
      </c>
      <c r="AD200" s="127">
        <f t="shared" si="23"/>
        <v>1</v>
      </c>
    </row>
    <row r="201" spans="1:30" x14ac:dyDescent="0.25">
      <c r="A201">
        <v>196</v>
      </c>
      <c r="C201" s="11">
        <v>2.3227959871292114E-2</v>
      </c>
      <c r="D201" s="11">
        <v>1.0201871395111084E-2</v>
      </c>
      <c r="E201" s="11">
        <v>0.22684787586444377</v>
      </c>
      <c r="F201" s="11">
        <v>6.7748230433326742E-2</v>
      </c>
      <c r="G201" s="11">
        <v>3.9484858512878418E-2</v>
      </c>
      <c r="H201" s="40">
        <v>4.967523303943455E-4</v>
      </c>
      <c r="I201" s="40">
        <v>1.4409627256961703</v>
      </c>
      <c r="J201" s="59">
        <v>0</v>
      </c>
      <c r="K201" s="59">
        <v>5076.0572776198387</v>
      </c>
      <c r="L201" s="59">
        <v>0</v>
      </c>
      <c r="M201" s="11">
        <v>0.87463349103927612</v>
      </c>
      <c r="N201" s="11">
        <v>0.78527438640594482</v>
      </c>
      <c r="O201" s="11">
        <v>0.30209767818450928</v>
      </c>
      <c r="Q201" s="59">
        <v>15.032356491473905</v>
      </c>
      <c r="R201" s="78">
        <v>512.81911250910093</v>
      </c>
      <c r="S201" s="78">
        <v>15.076929561981002</v>
      </c>
      <c r="T201" s="78">
        <v>606.35063294702354</v>
      </c>
      <c r="U201" s="59">
        <v>15.086295625841135</v>
      </c>
      <c r="V201" s="78">
        <v>796.1930666527245</v>
      </c>
      <c r="X201" s="134">
        <f t="shared" si="18"/>
        <v>1502722.8300348816</v>
      </c>
      <c r="Y201" s="134">
        <f t="shared" si="19"/>
        <v>1507086.6055651533</v>
      </c>
      <c r="Z201" s="134">
        <f t="shared" si="20"/>
        <v>1507833.3695174609</v>
      </c>
      <c r="AB201" s="127">
        <f t="shared" si="21"/>
        <v>0</v>
      </c>
      <c r="AC201" s="127">
        <f t="shared" si="22"/>
        <v>0</v>
      </c>
      <c r="AD201" s="127">
        <f t="shared" si="23"/>
        <v>1</v>
      </c>
    </row>
    <row r="202" spans="1:30" x14ac:dyDescent="0.25">
      <c r="A202">
        <v>197</v>
      </c>
      <c r="C202" s="11">
        <v>3.4694790840148926E-2</v>
      </c>
      <c r="D202" s="11">
        <v>2.2218644618988037E-2</v>
      </c>
      <c r="E202" s="11">
        <v>0.38802754165803466</v>
      </c>
      <c r="F202" s="11">
        <v>0.21210449842743573</v>
      </c>
      <c r="G202" s="11">
        <v>3.1895920634269714E-2</v>
      </c>
      <c r="H202" s="40">
        <v>4.9193905825317273E-4</v>
      </c>
      <c r="I202" s="40">
        <v>1.4564580787708536</v>
      </c>
      <c r="J202" s="59">
        <v>0</v>
      </c>
      <c r="K202" s="59">
        <v>5819.2643336951733</v>
      </c>
      <c r="L202" s="59">
        <v>0</v>
      </c>
      <c r="M202" s="11">
        <v>0.86535745859146118</v>
      </c>
      <c r="N202" s="11">
        <v>0.73089998960494995</v>
      </c>
      <c r="O202" s="11">
        <v>0.34270060062408447</v>
      </c>
      <c r="Q202" s="59">
        <v>14.681046566776352</v>
      </c>
      <c r="R202" s="78">
        <v>527.54425814188858</v>
      </c>
      <c r="S202" s="78">
        <v>14.725896005324184</v>
      </c>
      <c r="T202" s="78">
        <v>631.45355724293597</v>
      </c>
      <c r="U202" s="59">
        <v>14.739021738126837</v>
      </c>
      <c r="V202" s="78">
        <v>816.77348343425467</v>
      </c>
      <c r="X202" s="134">
        <f t="shared" si="18"/>
        <v>1467577.1124194933</v>
      </c>
      <c r="Y202" s="134">
        <f t="shared" si="19"/>
        <v>1471958.1469751755</v>
      </c>
      <c r="Z202" s="134">
        <f t="shared" si="20"/>
        <v>1473085.4003292494</v>
      </c>
      <c r="AB202" s="127">
        <f t="shared" si="21"/>
        <v>0</v>
      </c>
      <c r="AC202" s="127">
        <f t="shared" si="22"/>
        <v>0</v>
      </c>
      <c r="AD202" s="127">
        <f t="shared" si="23"/>
        <v>1</v>
      </c>
    </row>
    <row r="203" spans="1:30" x14ac:dyDescent="0.25">
      <c r="A203">
        <v>198</v>
      </c>
      <c r="C203" s="11">
        <v>1.2433573603630066E-2</v>
      </c>
      <c r="D203" s="11">
        <v>1.3946235179901123E-2</v>
      </c>
      <c r="E203" s="11">
        <v>0.21522833606962155</v>
      </c>
      <c r="F203" s="11">
        <v>0.18329883522340679</v>
      </c>
      <c r="G203" s="11">
        <v>2.4705469608306885E-2</v>
      </c>
      <c r="H203" s="40">
        <v>5.3847492803124055E-4</v>
      </c>
      <c r="I203" s="40">
        <v>1.4954910643463108</v>
      </c>
      <c r="J203" s="59">
        <v>0</v>
      </c>
      <c r="K203" s="59">
        <v>3507.1978345513344</v>
      </c>
      <c r="L203" s="59">
        <v>0</v>
      </c>
      <c r="M203" s="11">
        <v>0.81250321865081787</v>
      </c>
      <c r="N203" s="11">
        <v>0.79648137092590332</v>
      </c>
      <c r="O203" s="11">
        <v>0.30340325832366943</v>
      </c>
      <c r="Q203" s="59">
        <v>14.133639057866155</v>
      </c>
      <c r="R203" s="78">
        <v>490.83545150094636</v>
      </c>
      <c r="S203" s="78">
        <v>14.164525578384215</v>
      </c>
      <c r="T203" s="78">
        <v>600.25699443070778</v>
      </c>
      <c r="U203" s="59">
        <v>14.165815307351641</v>
      </c>
      <c r="V203" s="78">
        <v>806.11814996406258</v>
      </c>
      <c r="X203" s="134">
        <f t="shared" si="18"/>
        <v>1412873.0703351146</v>
      </c>
      <c r="Y203" s="134">
        <f t="shared" si="19"/>
        <v>1415852.3008439909</v>
      </c>
      <c r="Z203" s="134">
        <f t="shared" si="20"/>
        <v>1415775.4125852</v>
      </c>
      <c r="AB203" s="127">
        <f t="shared" si="21"/>
        <v>0</v>
      </c>
      <c r="AC203" s="127">
        <f t="shared" si="22"/>
        <v>1</v>
      </c>
      <c r="AD203" s="127">
        <f t="shared" si="23"/>
        <v>0</v>
      </c>
    </row>
    <row r="204" spans="1:30" x14ac:dyDescent="0.25">
      <c r="A204">
        <v>199</v>
      </c>
      <c r="C204" s="11">
        <v>2.0619034767150879E-2</v>
      </c>
      <c r="D204" s="11">
        <v>4.6220898628234863E-2</v>
      </c>
      <c r="E204" s="11">
        <v>9.6145208798480986E-2</v>
      </c>
      <c r="F204" s="11">
        <v>0.1571664774910049</v>
      </c>
      <c r="G204" s="11">
        <v>3.7402719259262085E-2</v>
      </c>
      <c r="H204" s="40">
        <v>5.6052068682661967E-4</v>
      </c>
      <c r="I204" s="40">
        <v>1.4352550802352466</v>
      </c>
      <c r="J204" s="59">
        <v>0</v>
      </c>
      <c r="K204" s="59">
        <v>5849.8559519648552</v>
      </c>
      <c r="L204" s="59">
        <v>0</v>
      </c>
      <c r="M204" s="11">
        <v>0.80594325065612793</v>
      </c>
      <c r="N204" s="11">
        <v>0.79659545421600342</v>
      </c>
      <c r="O204" s="11">
        <v>0.31489777565002441</v>
      </c>
      <c r="Q204" s="59">
        <v>13.897166134242502</v>
      </c>
      <c r="R204" s="78">
        <v>543.02401477574347</v>
      </c>
      <c r="S204" s="78">
        <v>13.937870770297867</v>
      </c>
      <c r="T204" s="78">
        <v>593.60235623914843</v>
      </c>
      <c r="U204" s="59">
        <v>13.9350633047353</v>
      </c>
      <c r="V204" s="78">
        <v>811.8393698278187</v>
      </c>
      <c r="X204" s="134">
        <f t="shared" si="18"/>
        <v>1389173.5894094745</v>
      </c>
      <c r="Y204" s="134">
        <f t="shared" si="19"/>
        <v>1393193.4746735475</v>
      </c>
      <c r="Z204" s="134">
        <f t="shared" si="20"/>
        <v>1392694.491103702</v>
      </c>
      <c r="AB204" s="127">
        <f t="shared" si="21"/>
        <v>0</v>
      </c>
      <c r="AC204" s="127">
        <f t="shared" si="22"/>
        <v>1</v>
      </c>
      <c r="AD204" s="127">
        <f t="shared" si="23"/>
        <v>0</v>
      </c>
    </row>
    <row r="205" spans="1:30" x14ac:dyDescent="0.25">
      <c r="A205">
        <v>200</v>
      </c>
      <c r="C205" s="11">
        <v>1.8380284309387207E-3</v>
      </c>
      <c r="D205" s="11">
        <v>1.5426322817802429E-2</v>
      </c>
      <c r="E205" s="11">
        <v>0.25180801275390613</v>
      </c>
      <c r="F205" s="11">
        <v>0.15632228027910097</v>
      </c>
      <c r="G205" s="11">
        <v>2.1542280912399292E-2</v>
      </c>
      <c r="H205" s="40">
        <v>4.914119850388816E-4</v>
      </c>
      <c r="I205" s="40">
        <v>1.4484865511327267</v>
      </c>
      <c r="J205" s="59">
        <v>0</v>
      </c>
      <c r="K205" s="59">
        <v>4181.1936534941196</v>
      </c>
      <c r="L205" s="59">
        <v>0</v>
      </c>
      <c r="M205" s="11">
        <v>0.88255399465560913</v>
      </c>
      <c r="N205" s="11">
        <v>0.7330167293548584</v>
      </c>
      <c r="O205" s="11">
        <v>0.28094482421875</v>
      </c>
      <c r="Q205" s="59">
        <v>15.481097157994325</v>
      </c>
      <c r="R205" s="78">
        <v>485.52055677566108</v>
      </c>
      <c r="S205" s="78">
        <v>15.540102212517869</v>
      </c>
      <c r="T205" s="78">
        <v>602.38571417243077</v>
      </c>
      <c r="U205" s="59">
        <v>15.547775223502901</v>
      </c>
      <c r="V205" s="78">
        <v>802.54519864977908</v>
      </c>
      <c r="X205" s="134">
        <f t="shared" si="18"/>
        <v>1547624.1952426569</v>
      </c>
      <c r="Y205" s="134">
        <f t="shared" si="19"/>
        <v>1553407.8355376145</v>
      </c>
      <c r="Z205" s="134">
        <f t="shared" si="20"/>
        <v>1553974.9771516402</v>
      </c>
      <c r="AB205" s="127">
        <f t="shared" si="21"/>
        <v>0</v>
      </c>
      <c r="AC205" s="127">
        <f t="shared" si="22"/>
        <v>0</v>
      </c>
      <c r="AD205" s="127">
        <f t="shared" si="23"/>
        <v>1</v>
      </c>
    </row>
    <row r="206" spans="1:30" x14ac:dyDescent="0.25">
      <c r="A206">
        <v>201</v>
      </c>
      <c r="C206" s="11">
        <v>2.2419095039367676E-2</v>
      </c>
      <c r="D206" s="11">
        <v>1.6912281513214111E-2</v>
      </c>
      <c r="E206" s="11">
        <v>0.33147985381770462</v>
      </c>
      <c r="F206" s="11">
        <v>0.2527999911062076</v>
      </c>
      <c r="G206" s="11">
        <v>1.1047124862670898E-2</v>
      </c>
      <c r="H206" s="40">
        <v>5.6765925256508937E-4</v>
      </c>
      <c r="I206" s="40">
        <v>1.3372771481333325</v>
      </c>
      <c r="J206" s="59">
        <v>0</v>
      </c>
      <c r="K206" s="59">
        <v>3615.9087903797626</v>
      </c>
      <c r="L206" s="59">
        <v>0</v>
      </c>
      <c r="M206" s="11">
        <v>0.87566417455673218</v>
      </c>
      <c r="N206" s="11">
        <v>0.65801143646240234</v>
      </c>
      <c r="O206" s="11">
        <v>0.2898985743522644</v>
      </c>
      <c r="Q206" s="59">
        <v>15.039612071262328</v>
      </c>
      <c r="R206" s="78">
        <v>454.7126815585375</v>
      </c>
      <c r="S206" s="78">
        <v>15.093447144515789</v>
      </c>
      <c r="T206" s="78">
        <v>599.33555294614212</v>
      </c>
      <c r="U206" s="59">
        <v>15.099863919372746</v>
      </c>
      <c r="V206" s="78">
        <v>803.52781134282327</v>
      </c>
      <c r="X206" s="134">
        <f t="shared" si="18"/>
        <v>1503506.4944446743</v>
      </c>
      <c r="Y206" s="134">
        <f t="shared" si="19"/>
        <v>1508745.3788986327</v>
      </c>
      <c r="Z206" s="134">
        <f t="shared" si="20"/>
        <v>1509182.8641259316</v>
      </c>
      <c r="AB206" s="127">
        <f t="shared" si="21"/>
        <v>0</v>
      </c>
      <c r="AC206" s="127">
        <f t="shared" si="22"/>
        <v>0</v>
      </c>
      <c r="AD206" s="127">
        <f t="shared" si="23"/>
        <v>1</v>
      </c>
    </row>
    <row r="207" spans="1:30" x14ac:dyDescent="0.25">
      <c r="A207">
        <v>202</v>
      </c>
      <c r="C207" s="11">
        <v>4.8637539148330688E-3</v>
      </c>
      <c r="D207" s="11">
        <v>4.7046422958374023E-2</v>
      </c>
      <c r="E207" s="11">
        <v>0.44976785376323769</v>
      </c>
      <c r="F207" s="11">
        <v>0.14265971580333525</v>
      </c>
      <c r="G207" s="11">
        <v>2.4051785469055176E-2</v>
      </c>
      <c r="H207" s="40">
        <v>3.3386043174565941E-4</v>
      </c>
      <c r="I207" s="40">
        <v>1.5362937880114147</v>
      </c>
      <c r="J207" s="59">
        <v>0</v>
      </c>
      <c r="K207" s="59">
        <v>6814.8458376526833</v>
      </c>
      <c r="L207" s="59">
        <v>0</v>
      </c>
      <c r="M207" s="11">
        <v>0.79006123542785645</v>
      </c>
      <c r="N207" s="11">
        <v>0.68496131896972656</v>
      </c>
      <c r="O207" s="11">
        <v>0.25647807121276855</v>
      </c>
      <c r="Q207" s="59">
        <v>13.82493188439541</v>
      </c>
      <c r="R207" s="78">
        <v>526.3228559139061</v>
      </c>
      <c r="S207" s="78">
        <v>13.859000021224093</v>
      </c>
      <c r="T207" s="78">
        <v>639.10898143414522</v>
      </c>
      <c r="U207" s="59">
        <v>13.878356488940865</v>
      </c>
      <c r="V207" s="78">
        <v>807.17246518282877</v>
      </c>
      <c r="X207" s="134">
        <f t="shared" si="18"/>
        <v>1381966.865583627</v>
      </c>
      <c r="Y207" s="134">
        <f t="shared" si="19"/>
        <v>1385260.8931409749</v>
      </c>
      <c r="Z207" s="134">
        <f t="shared" si="20"/>
        <v>1387028.4764289036</v>
      </c>
      <c r="AB207" s="127">
        <f t="shared" si="21"/>
        <v>0</v>
      </c>
      <c r="AC207" s="127">
        <f t="shared" si="22"/>
        <v>0</v>
      </c>
      <c r="AD207" s="127">
        <f t="shared" si="23"/>
        <v>1</v>
      </c>
    </row>
    <row r="208" spans="1:30" x14ac:dyDescent="0.25">
      <c r="A208">
        <v>203</v>
      </c>
      <c r="C208" s="11">
        <v>1.2134581804275513E-2</v>
      </c>
      <c r="D208" s="11">
        <v>1.9577577710151672E-2</v>
      </c>
      <c r="E208" s="11">
        <v>0.62316397618198016</v>
      </c>
      <c r="F208" s="11">
        <v>0.29303015403321753</v>
      </c>
      <c r="G208" s="11">
        <v>3.1282871961593628E-2</v>
      </c>
      <c r="H208" s="40">
        <v>4.1682445539078036E-4</v>
      </c>
      <c r="I208" s="40">
        <v>1.3745128387243033</v>
      </c>
      <c r="J208" s="59">
        <v>0</v>
      </c>
      <c r="K208" s="59">
        <v>5469.8926396667957</v>
      </c>
      <c r="L208" s="59">
        <v>0</v>
      </c>
      <c r="M208" s="11">
        <v>0.83315122127532959</v>
      </c>
      <c r="N208" s="11">
        <v>0.80603528022766113</v>
      </c>
      <c r="O208" s="11">
        <v>0.34051811695098877</v>
      </c>
      <c r="Q208" s="59">
        <v>14.512335053905398</v>
      </c>
      <c r="R208" s="78">
        <v>479.95334562356027</v>
      </c>
      <c r="S208" s="78">
        <v>14.521858563481628</v>
      </c>
      <c r="T208" s="78">
        <v>632.81995331153223</v>
      </c>
      <c r="U208" s="59">
        <v>14.530293713917677</v>
      </c>
      <c r="V208" s="78">
        <v>813.41444615968828</v>
      </c>
      <c r="X208" s="134">
        <f t="shared" si="18"/>
        <v>1450753.5520449162</v>
      </c>
      <c r="Y208" s="134">
        <f t="shared" si="19"/>
        <v>1451553.0363948513</v>
      </c>
      <c r="Z208" s="134">
        <f t="shared" si="20"/>
        <v>1452215.9569456079</v>
      </c>
      <c r="AB208" s="127">
        <f t="shared" si="21"/>
        <v>0</v>
      </c>
      <c r="AC208" s="127">
        <f t="shared" si="22"/>
        <v>0</v>
      </c>
      <c r="AD208" s="127">
        <f t="shared" si="23"/>
        <v>1</v>
      </c>
    </row>
    <row r="209" spans="1:30" x14ac:dyDescent="0.25">
      <c r="A209">
        <v>204</v>
      </c>
      <c r="C209" s="11">
        <v>3.5100579261779785E-3</v>
      </c>
      <c r="D209" s="11">
        <v>2.4694979190826416E-2</v>
      </c>
      <c r="E209" s="11">
        <v>0.15890182138182882</v>
      </c>
      <c r="F209" s="11">
        <v>0.25923790308705991</v>
      </c>
      <c r="G209" s="11">
        <v>1.9442379474639893E-2</v>
      </c>
      <c r="H209" s="40">
        <v>4.3635258789573029E-4</v>
      </c>
      <c r="I209" s="40">
        <v>1.420500078781701</v>
      </c>
      <c r="J209" s="59">
        <v>0</v>
      </c>
      <c r="K209" s="59">
        <v>4726.7880290746689</v>
      </c>
      <c r="L209" s="59">
        <v>0</v>
      </c>
      <c r="M209" s="11">
        <v>0.8595237135887146</v>
      </c>
      <c r="N209" s="11">
        <v>0.70213019847869873</v>
      </c>
      <c r="O209" s="11">
        <v>0.24386906623840332</v>
      </c>
      <c r="Q209" s="59">
        <v>15.059835994061039</v>
      </c>
      <c r="R209" s="78">
        <v>477.62156996711934</v>
      </c>
      <c r="S209" s="78">
        <v>15.117821245846926</v>
      </c>
      <c r="T209" s="78">
        <v>592.4659372747152</v>
      </c>
      <c r="U209" s="59">
        <v>15.110812094049592</v>
      </c>
      <c r="V209" s="78">
        <v>809.93371571181399</v>
      </c>
      <c r="X209" s="134">
        <f t="shared" si="18"/>
        <v>1505505.9778361367</v>
      </c>
      <c r="Y209" s="134">
        <f t="shared" si="19"/>
        <v>1511189.6586474178</v>
      </c>
      <c r="Z209" s="134">
        <f t="shared" si="20"/>
        <v>1510271.2756892473</v>
      </c>
      <c r="AB209" s="127">
        <f t="shared" si="21"/>
        <v>0</v>
      </c>
      <c r="AC209" s="127">
        <f t="shared" si="22"/>
        <v>1</v>
      </c>
      <c r="AD209" s="127">
        <f t="shared" si="23"/>
        <v>0</v>
      </c>
    </row>
    <row r="210" spans="1:30" x14ac:dyDescent="0.25">
      <c r="A210">
        <v>205</v>
      </c>
      <c r="C210" s="11">
        <v>2.9031902551651001E-2</v>
      </c>
      <c r="D210" s="11">
        <v>6.5561234951019287E-3</v>
      </c>
      <c r="E210" s="11">
        <v>0.25926061126346317</v>
      </c>
      <c r="F210" s="11">
        <v>0.14254160940092767</v>
      </c>
      <c r="G210" s="11">
        <v>4.3461650609970093E-2</v>
      </c>
      <c r="H210" s="40">
        <v>4.3580898066555488E-4</v>
      </c>
      <c r="I210" s="40">
        <v>1.4683267212599012</v>
      </c>
      <c r="J210" s="59">
        <v>0</v>
      </c>
      <c r="K210" s="59">
        <v>5928.2407164573669</v>
      </c>
      <c r="L210" s="59">
        <v>0</v>
      </c>
      <c r="M210" s="11">
        <v>0.86725813150405884</v>
      </c>
      <c r="N210" s="11">
        <v>0.76202285289764404</v>
      </c>
      <c r="O210" s="11">
        <v>0.26412856578826904</v>
      </c>
      <c r="Q210" s="59">
        <v>14.813732725147249</v>
      </c>
      <c r="R210" s="78">
        <v>528.03423697107769</v>
      </c>
      <c r="S210" s="78">
        <v>14.858230525667414</v>
      </c>
      <c r="T210" s="78">
        <v>614.22085673196796</v>
      </c>
      <c r="U210" s="59">
        <v>14.865373117417544</v>
      </c>
      <c r="V210" s="78">
        <v>807.40585333645924</v>
      </c>
      <c r="X210" s="134">
        <f t="shared" si="18"/>
        <v>1480845.2382777538</v>
      </c>
      <c r="Y210" s="134">
        <f t="shared" si="19"/>
        <v>1485208.8317100094</v>
      </c>
      <c r="Z210" s="134">
        <f t="shared" si="20"/>
        <v>1485729.905888418</v>
      </c>
      <c r="AB210" s="127">
        <f t="shared" si="21"/>
        <v>0</v>
      </c>
      <c r="AC210" s="127">
        <f t="shared" si="22"/>
        <v>0</v>
      </c>
      <c r="AD210" s="127">
        <f t="shared" si="23"/>
        <v>1</v>
      </c>
    </row>
    <row r="211" spans="1:30" x14ac:dyDescent="0.25">
      <c r="A211">
        <v>206</v>
      </c>
      <c r="C211" s="11">
        <v>1.4427348971366882E-2</v>
      </c>
      <c r="D211" s="11">
        <v>1.9080296158790588E-2</v>
      </c>
      <c r="E211" s="11">
        <v>0.40592054007536327</v>
      </c>
      <c r="F211" s="11">
        <v>0.1919554475215994</v>
      </c>
      <c r="G211" s="11">
        <v>3.5343602299690247E-2</v>
      </c>
      <c r="H211" s="40">
        <v>5.4450699507634136E-4</v>
      </c>
      <c r="I211" s="40">
        <v>1.3696148059893216</v>
      </c>
      <c r="J211" s="59">
        <v>0</v>
      </c>
      <c r="K211" s="59">
        <v>6888.9791145920753</v>
      </c>
      <c r="L211" s="59">
        <v>0</v>
      </c>
      <c r="M211" s="11">
        <v>0.89388620853424072</v>
      </c>
      <c r="N211" s="11">
        <v>0.71439635753631592</v>
      </c>
      <c r="O211" s="11">
        <v>0.33037728071212769</v>
      </c>
      <c r="Q211" s="59">
        <v>15.482998745216438</v>
      </c>
      <c r="R211" s="78">
        <v>535.65823692135416</v>
      </c>
      <c r="S211" s="78">
        <v>15.529247031662885</v>
      </c>
      <c r="T211" s="78">
        <v>637.05881746737839</v>
      </c>
      <c r="U211" s="59">
        <v>15.54615210040911</v>
      </c>
      <c r="V211" s="78">
        <v>815.55136633444943</v>
      </c>
      <c r="X211" s="134">
        <f t="shared" si="18"/>
        <v>1547764.2162847226</v>
      </c>
      <c r="Y211" s="134">
        <f t="shared" si="19"/>
        <v>1552287.6443488211</v>
      </c>
      <c r="Z211" s="134">
        <f t="shared" si="20"/>
        <v>1553799.6586745763</v>
      </c>
      <c r="AB211" s="127">
        <f t="shared" si="21"/>
        <v>0</v>
      </c>
      <c r="AC211" s="127">
        <f t="shared" si="22"/>
        <v>0</v>
      </c>
      <c r="AD211" s="127">
        <f t="shared" si="23"/>
        <v>1</v>
      </c>
    </row>
    <row r="212" spans="1:30" x14ac:dyDescent="0.25">
      <c r="A212">
        <v>207</v>
      </c>
      <c r="C212" s="11">
        <v>9.6710324287414551E-3</v>
      </c>
      <c r="D212" s="11">
        <v>1.3323098421096802E-2</v>
      </c>
      <c r="E212" s="11">
        <v>0.45771788944249314</v>
      </c>
      <c r="F212" s="11">
        <v>0.11174907475685708</v>
      </c>
      <c r="G212" s="11">
        <v>3.647226095199585E-2</v>
      </c>
      <c r="H212" s="40">
        <v>3.7045007753384087E-4</v>
      </c>
      <c r="I212" s="40">
        <v>1.5247990348689739</v>
      </c>
      <c r="J212" s="59">
        <v>0</v>
      </c>
      <c r="K212" s="59">
        <v>6461.7488533258438</v>
      </c>
      <c r="L212" s="59">
        <v>0</v>
      </c>
      <c r="M212" s="11">
        <v>0.88332664966583252</v>
      </c>
      <c r="N212" s="11">
        <v>0.82212066650390625</v>
      </c>
      <c r="O212" s="11">
        <v>0.26514720916748047</v>
      </c>
      <c r="Q212" s="59">
        <v>15.401090658463323</v>
      </c>
      <c r="R212" s="78">
        <v>537.91076695887932</v>
      </c>
      <c r="S212" s="78">
        <v>15.428305263686255</v>
      </c>
      <c r="T212" s="78">
        <v>645.55063280265665</v>
      </c>
      <c r="U212" s="59">
        <v>15.446028676026232</v>
      </c>
      <c r="V212" s="78">
        <v>804.35557645522215</v>
      </c>
      <c r="X212" s="134">
        <f t="shared" ref="X212:X275" si="24">Q212*cRatio-R212</f>
        <v>1539571.1550793734</v>
      </c>
      <c r="Y212" s="134">
        <f t="shared" ref="Y212:Y275" si="25">S212*cRatio-T212</f>
        <v>1542184.9757358227</v>
      </c>
      <c r="Z212" s="134">
        <f t="shared" ref="Z212:Z275" si="26">U212*cRatio-V212</f>
        <v>1543798.5120261682</v>
      </c>
      <c r="AB212" s="127">
        <f t="shared" ref="AB212:AB275" si="27">IF(X212=MAX($X212:$Z212),1,0)</f>
        <v>0</v>
      </c>
      <c r="AC212" s="127">
        <f t="shared" ref="AC212:AC275" si="28">IF(Y212=MAX($X212:$Z212),1,0)</f>
        <v>0</v>
      </c>
      <c r="AD212" s="127">
        <f t="shared" ref="AD212:AD275" si="29">IF(Z212=MAX($X212:$Z212),1,0)</f>
        <v>1</v>
      </c>
    </row>
    <row r="213" spans="1:30" x14ac:dyDescent="0.25">
      <c r="A213">
        <v>208</v>
      </c>
      <c r="C213" s="11">
        <v>1.24044269323349E-2</v>
      </c>
      <c r="D213" s="11">
        <v>1.040196418762207E-2</v>
      </c>
      <c r="E213" s="11">
        <v>0.24674034703617698</v>
      </c>
      <c r="F213" s="11">
        <v>0.20635647520239553</v>
      </c>
      <c r="G213" s="11">
        <v>3.6162346601486206E-2</v>
      </c>
      <c r="H213" s="40">
        <v>3.7221035268223188E-4</v>
      </c>
      <c r="I213" s="40">
        <v>1.4200933945640493</v>
      </c>
      <c r="J213" s="59">
        <v>0</v>
      </c>
      <c r="K213" s="59">
        <v>6740.5914887785912</v>
      </c>
      <c r="L213" s="59">
        <v>0</v>
      </c>
      <c r="M213" s="11">
        <v>0.81623780727386475</v>
      </c>
      <c r="N213" s="11">
        <v>0.66591405868530273</v>
      </c>
      <c r="O213" s="11">
        <v>0.27599501609802246</v>
      </c>
      <c r="Q213" s="59">
        <v>14.185346942020598</v>
      </c>
      <c r="R213" s="78">
        <v>505.1308278996438</v>
      </c>
      <c r="S213" s="78">
        <v>14.22548752547578</v>
      </c>
      <c r="T213" s="78">
        <v>606.69544058615929</v>
      </c>
      <c r="U213" s="59">
        <v>14.227665570984179</v>
      </c>
      <c r="V213" s="78">
        <v>811.17499096452184</v>
      </c>
      <c r="X213" s="134">
        <f t="shared" si="24"/>
        <v>1418029.5633741601</v>
      </c>
      <c r="Y213" s="134">
        <f t="shared" si="25"/>
        <v>1421942.0571069918</v>
      </c>
      <c r="Z213" s="134">
        <f t="shared" si="26"/>
        <v>1421955.3821074534</v>
      </c>
      <c r="AB213" s="127">
        <f t="shared" si="27"/>
        <v>0</v>
      </c>
      <c r="AC213" s="127">
        <f t="shared" si="28"/>
        <v>0</v>
      </c>
      <c r="AD213" s="127">
        <f t="shared" si="29"/>
        <v>1</v>
      </c>
    </row>
    <row r="214" spans="1:30" x14ac:dyDescent="0.25">
      <c r="A214">
        <v>209</v>
      </c>
      <c r="C214" s="11">
        <v>8.7038725614547729E-3</v>
      </c>
      <c r="D214" s="11">
        <v>3.2685041427612305E-2</v>
      </c>
      <c r="E214" s="11">
        <v>0.28190425280335168</v>
      </c>
      <c r="F214" s="11">
        <v>0.40080281891162139</v>
      </c>
      <c r="G214" s="11">
        <v>2.6120156049728394E-2</v>
      </c>
      <c r="H214" s="40">
        <v>4.6037598339720867E-4</v>
      </c>
      <c r="I214" s="40">
        <v>1.5838736864519398</v>
      </c>
      <c r="J214" s="59">
        <v>0</v>
      </c>
      <c r="K214" s="59">
        <v>3558.1551492214203</v>
      </c>
      <c r="L214" s="59">
        <v>0</v>
      </c>
      <c r="M214" s="11">
        <v>0.85591715574264526</v>
      </c>
      <c r="N214" s="11">
        <v>0.79944407939910889</v>
      </c>
      <c r="O214" s="11">
        <v>0.28313937783241272</v>
      </c>
      <c r="Q214" s="59">
        <v>14.91143777317019</v>
      </c>
      <c r="R214" s="78">
        <v>503.51186509230195</v>
      </c>
      <c r="S214" s="78">
        <v>14.965135462230265</v>
      </c>
      <c r="T214" s="78">
        <v>610.52642646183017</v>
      </c>
      <c r="U214" s="59">
        <v>14.95605659417596</v>
      </c>
      <c r="V214" s="78">
        <v>832.66661785164877</v>
      </c>
      <c r="X214" s="134">
        <f t="shared" si="24"/>
        <v>1490640.2654519267</v>
      </c>
      <c r="Y214" s="134">
        <f t="shared" si="25"/>
        <v>1495903.0197965647</v>
      </c>
      <c r="Z214" s="134">
        <f t="shared" si="26"/>
        <v>1494772.9927997442</v>
      </c>
      <c r="AB214" s="127">
        <f t="shared" si="27"/>
        <v>0</v>
      </c>
      <c r="AC214" s="127">
        <f t="shared" si="28"/>
        <v>1</v>
      </c>
      <c r="AD214" s="127">
        <f t="shared" si="29"/>
        <v>0</v>
      </c>
    </row>
    <row r="215" spans="1:30" x14ac:dyDescent="0.25">
      <c r="A215">
        <v>210</v>
      </c>
      <c r="C215" s="11">
        <v>1.9942298531532288E-2</v>
      </c>
      <c r="D215" s="11">
        <v>5.9593021869659424E-3</v>
      </c>
      <c r="E215" s="11">
        <v>0.37051002348888135</v>
      </c>
      <c r="F215" s="11">
        <v>0.223426343202169</v>
      </c>
      <c r="G215" s="11">
        <v>1.915818452835083E-2</v>
      </c>
      <c r="H215" s="40">
        <v>4.5670721803483529E-4</v>
      </c>
      <c r="I215" s="40">
        <v>1.5595607342449813</v>
      </c>
      <c r="J215" s="59">
        <v>0</v>
      </c>
      <c r="K215" s="59">
        <v>5007.3117017745972</v>
      </c>
      <c r="L215" s="59">
        <v>0</v>
      </c>
      <c r="M215" s="11">
        <v>0.87611961364746094</v>
      </c>
      <c r="N215" s="11">
        <v>0.70620393753051758</v>
      </c>
      <c r="O215" s="11">
        <v>0.31389778852462769</v>
      </c>
      <c r="Q215" s="59">
        <v>15.063915883183439</v>
      </c>
      <c r="R215" s="78">
        <v>530.11776684606457</v>
      </c>
      <c r="S215" s="78">
        <v>15.127941134744862</v>
      </c>
      <c r="T215" s="78">
        <v>630.29171625331776</v>
      </c>
      <c r="U215" s="59">
        <v>15.143258113307887</v>
      </c>
      <c r="V215" s="78">
        <v>819.05353169875991</v>
      </c>
      <c r="X215" s="134">
        <f t="shared" si="24"/>
        <v>1505861.470551498</v>
      </c>
      <c r="Y215" s="134">
        <f t="shared" si="25"/>
        <v>1512163.8217582328</v>
      </c>
      <c r="Z215" s="134">
        <f t="shared" si="26"/>
        <v>1513506.7577990901</v>
      </c>
      <c r="AB215" s="127">
        <f t="shared" si="27"/>
        <v>0</v>
      </c>
      <c r="AC215" s="127">
        <f t="shared" si="28"/>
        <v>0</v>
      </c>
      <c r="AD215" s="127">
        <f t="shared" si="29"/>
        <v>1</v>
      </c>
    </row>
    <row r="216" spans="1:30" x14ac:dyDescent="0.25">
      <c r="A216">
        <v>211</v>
      </c>
      <c r="C216" s="11">
        <v>1.1558890342712402E-2</v>
      </c>
      <c r="D216" s="11">
        <v>2.9021918773651123E-2</v>
      </c>
      <c r="E216" s="11">
        <v>0.38423989571583367</v>
      </c>
      <c r="F216" s="11">
        <v>0.33183358061919055</v>
      </c>
      <c r="G216" s="11">
        <v>1.8440067768096924E-2</v>
      </c>
      <c r="H216" s="40">
        <v>4.4277231763875413E-4</v>
      </c>
      <c r="I216" s="40">
        <v>1.3817845147659948</v>
      </c>
      <c r="J216" s="59">
        <v>0</v>
      </c>
      <c r="K216" s="59">
        <v>3293.4639602899551</v>
      </c>
      <c r="L216" s="59">
        <v>0</v>
      </c>
      <c r="M216" s="11">
        <v>0.86146843433380127</v>
      </c>
      <c r="N216" s="11">
        <v>0.77189493179321289</v>
      </c>
      <c r="O216" s="11">
        <v>0.28780144453048706</v>
      </c>
      <c r="Q216" s="59">
        <v>14.995170906792795</v>
      </c>
      <c r="R216" s="78">
        <v>446.07392057744482</v>
      </c>
      <c r="S216" s="78">
        <v>15.023047947375945</v>
      </c>
      <c r="T216" s="78">
        <v>599.18281994842903</v>
      </c>
      <c r="U216" s="59">
        <v>15.025446282771391</v>
      </c>
      <c r="V216" s="78">
        <v>805.44298787174546</v>
      </c>
      <c r="X216" s="134">
        <f t="shared" si="24"/>
        <v>1499071.016758702</v>
      </c>
      <c r="Y216" s="134">
        <f t="shared" si="25"/>
        <v>1501705.6119176459</v>
      </c>
      <c r="Z216" s="134">
        <f t="shared" si="26"/>
        <v>1501739.1852892672</v>
      </c>
      <c r="AB216" s="127">
        <f t="shared" si="27"/>
        <v>0</v>
      </c>
      <c r="AC216" s="127">
        <f t="shared" si="28"/>
        <v>0</v>
      </c>
      <c r="AD216" s="127">
        <f t="shared" si="29"/>
        <v>1</v>
      </c>
    </row>
    <row r="217" spans="1:30" x14ac:dyDescent="0.25">
      <c r="A217">
        <v>212</v>
      </c>
      <c r="C217" s="11">
        <v>1.2411355972290039E-2</v>
      </c>
      <c r="D217" s="11">
        <v>2.4087786674499512E-2</v>
      </c>
      <c r="E217" s="11">
        <v>0.33278621850414364</v>
      </c>
      <c r="F217" s="11">
        <v>0.1902205051688238</v>
      </c>
      <c r="G217" s="11">
        <v>3.7083134055137634E-2</v>
      </c>
      <c r="H217" s="40">
        <v>3.3134388496166856E-4</v>
      </c>
      <c r="I217" s="40">
        <v>1.5344540791742047</v>
      </c>
      <c r="J217" s="59">
        <v>0</v>
      </c>
      <c r="K217" s="59">
        <v>4342.945758253336</v>
      </c>
      <c r="L217" s="59">
        <v>0</v>
      </c>
      <c r="M217" s="11">
        <v>0.84783875942230225</v>
      </c>
      <c r="N217" s="11">
        <v>0.72953993082046509</v>
      </c>
      <c r="O217" s="11">
        <v>0.36850500106811523</v>
      </c>
      <c r="Q217" s="59">
        <v>14.730440125784183</v>
      </c>
      <c r="R217" s="78">
        <v>482.92527545861935</v>
      </c>
      <c r="S217" s="78">
        <v>14.769906672215864</v>
      </c>
      <c r="T217" s="78">
        <v>608.9418576790888</v>
      </c>
      <c r="U217" s="59">
        <v>14.778479163034193</v>
      </c>
      <c r="V217" s="78">
        <v>805.15793144017073</v>
      </c>
      <c r="X217" s="134">
        <f t="shared" si="24"/>
        <v>1472561.0873029595</v>
      </c>
      <c r="Y217" s="134">
        <f t="shared" si="25"/>
        <v>1476381.7253639074</v>
      </c>
      <c r="Z217" s="134">
        <f t="shared" si="26"/>
        <v>1477042.758371979</v>
      </c>
      <c r="AB217" s="127">
        <f t="shared" si="27"/>
        <v>0</v>
      </c>
      <c r="AC217" s="127">
        <f t="shared" si="28"/>
        <v>0</v>
      </c>
      <c r="AD217" s="127">
        <f t="shared" si="29"/>
        <v>1</v>
      </c>
    </row>
    <row r="218" spans="1:30" x14ac:dyDescent="0.25">
      <c r="A218">
        <v>213</v>
      </c>
      <c r="C218" s="11">
        <v>1.1424094438552856E-2</v>
      </c>
      <c r="D218" s="11">
        <v>3.5144567489624023E-2</v>
      </c>
      <c r="E218" s="11">
        <v>0.15837799695659122</v>
      </c>
      <c r="F218" s="11">
        <v>0.11399020519969846</v>
      </c>
      <c r="G218" s="11">
        <v>2.7241170406341553E-2</v>
      </c>
      <c r="H218" s="40">
        <v>6.4050943782585038E-4</v>
      </c>
      <c r="I218" s="40">
        <v>1.3806850446045813</v>
      </c>
      <c r="J218" s="59">
        <v>0</v>
      </c>
      <c r="K218" s="59">
        <v>8380.5248141288757</v>
      </c>
      <c r="L218" s="59">
        <v>0</v>
      </c>
      <c r="M218" s="11">
        <v>0.83826816082000732</v>
      </c>
      <c r="N218" s="11">
        <v>0.78721439838409424</v>
      </c>
      <c r="O218" s="11">
        <v>0.297005295753479</v>
      </c>
      <c r="Q218" s="59">
        <v>14.583122312098336</v>
      </c>
      <c r="R218" s="78">
        <v>593.58383165717976</v>
      </c>
      <c r="S218" s="78">
        <v>14.62885000816412</v>
      </c>
      <c r="T218" s="78">
        <v>611.14676552285118</v>
      </c>
      <c r="U218" s="59">
        <v>14.631312595235132</v>
      </c>
      <c r="V218" s="78">
        <v>811.15787458234979</v>
      </c>
      <c r="X218" s="134">
        <f t="shared" si="24"/>
        <v>1457718.6473781765</v>
      </c>
      <c r="Y218" s="134">
        <f t="shared" si="25"/>
        <v>1462273.8540508891</v>
      </c>
      <c r="Z218" s="134">
        <f t="shared" si="26"/>
        <v>1462320.1016489309</v>
      </c>
      <c r="AB218" s="127">
        <f t="shared" si="27"/>
        <v>0</v>
      </c>
      <c r="AC218" s="127">
        <f t="shared" si="28"/>
        <v>0</v>
      </c>
      <c r="AD218" s="127">
        <f t="shared" si="29"/>
        <v>1</v>
      </c>
    </row>
    <row r="219" spans="1:30" x14ac:dyDescent="0.25">
      <c r="A219">
        <v>214</v>
      </c>
      <c r="C219" s="11">
        <v>1.0587930679321289E-2</v>
      </c>
      <c r="D219" s="11">
        <v>2.2489011287689209E-2</v>
      </c>
      <c r="E219" s="11">
        <v>0.25438743183548973</v>
      </c>
      <c r="F219" s="11">
        <v>0.14222777356121921</v>
      </c>
      <c r="G219" s="11">
        <v>4.4513076543807983E-2</v>
      </c>
      <c r="H219" s="40">
        <v>7.656061282258613E-4</v>
      </c>
      <c r="I219" s="40">
        <v>1.3560231671247795</v>
      </c>
      <c r="J219" s="59">
        <v>0</v>
      </c>
      <c r="K219" s="59">
        <v>4488.0597852170467</v>
      </c>
      <c r="L219" s="59">
        <v>0</v>
      </c>
      <c r="M219" s="11">
        <v>0.84944126009941101</v>
      </c>
      <c r="N219" s="11">
        <v>0.74571967124938965</v>
      </c>
      <c r="O219" s="11">
        <v>0.30457761883735657</v>
      </c>
      <c r="Q219" s="59">
        <v>14.766226196676742</v>
      </c>
      <c r="R219" s="78">
        <v>524.38992274248369</v>
      </c>
      <c r="S219" s="78">
        <v>14.824813645678374</v>
      </c>
      <c r="T219" s="78">
        <v>612.70620017776412</v>
      </c>
      <c r="U219" s="59">
        <v>14.83381757796889</v>
      </c>
      <c r="V219" s="78">
        <v>806.89100373378596</v>
      </c>
      <c r="X219" s="134">
        <f t="shared" si="24"/>
        <v>1476098.2297449317</v>
      </c>
      <c r="Y219" s="134">
        <f t="shared" si="25"/>
        <v>1481868.6583676597</v>
      </c>
      <c r="Z219" s="134">
        <f t="shared" si="26"/>
        <v>1482574.8667931552</v>
      </c>
      <c r="AB219" s="127">
        <f t="shared" si="27"/>
        <v>0</v>
      </c>
      <c r="AC219" s="127">
        <f t="shared" si="28"/>
        <v>0</v>
      </c>
      <c r="AD219" s="127">
        <f t="shared" si="29"/>
        <v>1</v>
      </c>
    </row>
    <row r="220" spans="1:30" x14ac:dyDescent="0.25">
      <c r="A220">
        <v>215</v>
      </c>
      <c r="C220" s="11">
        <v>2.57071852684021E-2</v>
      </c>
      <c r="D220" s="11">
        <v>3.885197639465332E-2</v>
      </c>
      <c r="E220" s="11">
        <v>0.27101377675929311</v>
      </c>
      <c r="F220" s="11">
        <v>0.12538364126840232</v>
      </c>
      <c r="G220" s="11">
        <v>3.8688540458679199E-2</v>
      </c>
      <c r="H220" s="40">
        <v>5.8662852298452803E-4</v>
      </c>
      <c r="I220" s="40">
        <v>1.450016282798704</v>
      </c>
      <c r="J220" s="59">
        <v>0</v>
      </c>
      <c r="K220" s="59">
        <v>5302.4967201054096</v>
      </c>
      <c r="L220" s="59">
        <v>0</v>
      </c>
      <c r="M220" s="11">
        <v>0.84242886304855347</v>
      </c>
      <c r="N220" s="11">
        <v>0.68904614448547363</v>
      </c>
      <c r="O220" s="11">
        <v>0.29333260655403137</v>
      </c>
      <c r="Q220" s="59">
        <v>14.39568149695473</v>
      </c>
      <c r="R220" s="78">
        <v>541.78192371752175</v>
      </c>
      <c r="S220" s="78">
        <v>14.469575448304282</v>
      </c>
      <c r="T220" s="78">
        <v>619.72905377010261</v>
      </c>
      <c r="U220" s="59">
        <v>14.48467938470688</v>
      </c>
      <c r="V220" s="78">
        <v>806.90702398682595</v>
      </c>
      <c r="X220" s="134">
        <f t="shared" si="24"/>
        <v>1439026.3677717554</v>
      </c>
      <c r="Y220" s="134">
        <f t="shared" si="25"/>
        <v>1446337.815776658</v>
      </c>
      <c r="Z220" s="134">
        <f t="shared" si="26"/>
        <v>1447661.0314467011</v>
      </c>
      <c r="AB220" s="127">
        <f t="shared" si="27"/>
        <v>0</v>
      </c>
      <c r="AC220" s="127">
        <f t="shared" si="28"/>
        <v>0</v>
      </c>
      <c r="AD220" s="127">
        <f t="shared" si="29"/>
        <v>1</v>
      </c>
    </row>
    <row r="221" spans="1:30" x14ac:dyDescent="0.25">
      <c r="A221">
        <v>216</v>
      </c>
      <c r="C221" s="11">
        <v>1.6479566693305969E-2</v>
      </c>
      <c r="D221" s="11">
        <v>5.877685546875E-2</v>
      </c>
      <c r="E221" s="11">
        <v>0.39591764812786812</v>
      </c>
      <c r="F221" s="11">
        <v>0.19296809155937322</v>
      </c>
      <c r="G221" s="11">
        <v>5.7947933673858643E-2</v>
      </c>
      <c r="H221" s="40">
        <v>4.8381456818604639E-4</v>
      </c>
      <c r="I221" s="40">
        <v>1.4121787414143658</v>
      </c>
      <c r="J221" s="59">
        <v>0</v>
      </c>
      <c r="K221" s="59">
        <v>5451.8133401870728</v>
      </c>
      <c r="L221" s="59">
        <v>0</v>
      </c>
      <c r="M221" s="11">
        <v>0.89245420694351196</v>
      </c>
      <c r="N221" s="11">
        <v>0.7304919958114624</v>
      </c>
      <c r="O221" s="11">
        <v>0.26434153318405151</v>
      </c>
      <c r="Q221" s="59">
        <v>15.412350773119721</v>
      </c>
      <c r="R221" s="78">
        <v>517.78984538797374</v>
      </c>
      <c r="S221" s="78">
        <v>15.467391602209378</v>
      </c>
      <c r="T221" s="78">
        <v>628.4993492321513</v>
      </c>
      <c r="U221" s="59">
        <v>15.486166146566744</v>
      </c>
      <c r="V221" s="78">
        <v>812.2067348935899</v>
      </c>
      <c r="X221" s="134">
        <f t="shared" si="24"/>
        <v>1540717.2874665842</v>
      </c>
      <c r="Y221" s="134">
        <f t="shared" si="25"/>
        <v>1546110.6608717057</v>
      </c>
      <c r="Z221" s="134">
        <f t="shared" si="26"/>
        <v>1547804.4079217808</v>
      </c>
      <c r="AB221" s="127">
        <f t="shared" si="27"/>
        <v>0</v>
      </c>
      <c r="AC221" s="127">
        <f t="shared" si="28"/>
        <v>0</v>
      </c>
      <c r="AD221" s="127">
        <f t="shared" si="29"/>
        <v>1</v>
      </c>
    </row>
    <row r="222" spans="1:30" x14ac:dyDescent="0.25">
      <c r="A222">
        <v>217</v>
      </c>
      <c r="C222" s="11">
        <v>1.0791540145874023E-2</v>
      </c>
      <c r="D222" s="11">
        <v>1.3321965932846069E-2</v>
      </c>
      <c r="E222" s="11">
        <v>0.23614378484441589</v>
      </c>
      <c r="F222" s="11">
        <v>0.34592036529075942</v>
      </c>
      <c r="G222" s="11">
        <v>1.751437783241272E-2</v>
      </c>
      <c r="H222" s="40">
        <v>4.1111961656116827E-4</v>
      </c>
      <c r="I222" s="40">
        <v>1.4873780305823658</v>
      </c>
      <c r="J222" s="59">
        <v>0</v>
      </c>
      <c r="K222" s="59">
        <v>4908.9104868471622</v>
      </c>
      <c r="L222" s="59">
        <v>0</v>
      </c>
      <c r="M222" s="11">
        <v>0.90016627311706543</v>
      </c>
      <c r="N222" s="11">
        <v>0.77073419094085693</v>
      </c>
      <c r="O222" s="11">
        <v>0.3187289834022522</v>
      </c>
      <c r="Q222" s="59">
        <v>15.662514827970114</v>
      </c>
      <c r="R222" s="78">
        <v>491.66481735977237</v>
      </c>
      <c r="S222" s="78">
        <v>15.712712407330581</v>
      </c>
      <c r="T222" s="78">
        <v>602.39801827052008</v>
      </c>
      <c r="U222" s="59">
        <v>15.70539595986579</v>
      </c>
      <c r="V222" s="78">
        <v>822.20374150455086</v>
      </c>
      <c r="X222" s="134">
        <f t="shared" si="24"/>
        <v>1565759.8179796515</v>
      </c>
      <c r="Y222" s="134">
        <f t="shared" si="25"/>
        <v>1570668.8427147877</v>
      </c>
      <c r="Z222" s="134">
        <f t="shared" si="26"/>
        <v>1569717.3922450745</v>
      </c>
      <c r="AB222" s="127">
        <f t="shared" si="27"/>
        <v>0</v>
      </c>
      <c r="AC222" s="127">
        <f t="shared" si="28"/>
        <v>1</v>
      </c>
      <c r="AD222" s="127">
        <f t="shared" si="29"/>
        <v>0</v>
      </c>
    </row>
    <row r="223" spans="1:30" x14ac:dyDescent="0.25">
      <c r="A223">
        <v>218</v>
      </c>
      <c r="C223" s="11">
        <v>2.1821111440658569E-2</v>
      </c>
      <c r="D223" s="11">
        <v>4.0306329727172852E-2</v>
      </c>
      <c r="E223" s="11">
        <v>0.33300387151926958</v>
      </c>
      <c r="F223" s="11">
        <v>9.6704514198166017E-2</v>
      </c>
      <c r="G223" s="11">
        <v>4.8106670379638672E-2</v>
      </c>
      <c r="H223" s="40">
        <v>3.4471197851787565E-4</v>
      </c>
      <c r="I223" s="40">
        <v>1.5783913712798652</v>
      </c>
      <c r="J223" s="59">
        <v>0</v>
      </c>
      <c r="K223" s="59">
        <v>3919.5222780108452</v>
      </c>
      <c r="L223" s="59">
        <v>0</v>
      </c>
      <c r="M223" s="11">
        <v>0.82649123668670654</v>
      </c>
      <c r="N223" s="11">
        <v>0.6889653205871582</v>
      </c>
      <c r="O223" s="11">
        <v>0.23321056365966797</v>
      </c>
      <c r="Q223" s="59">
        <v>14.192103218508564</v>
      </c>
      <c r="R223" s="78">
        <v>492.44443338731094</v>
      </c>
      <c r="S223" s="78">
        <v>14.250399652590779</v>
      </c>
      <c r="T223" s="78">
        <v>612.2464127890463</v>
      </c>
      <c r="U223" s="59">
        <v>14.271516683514244</v>
      </c>
      <c r="V223" s="78">
        <v>797.70340376780234</v>
      </c>
      <c r="X223" s="134">
        <f t="shared" si="24"/>
        <v>1418717.8774174689</v>
      </c>
      <c r="Y223" s="134">
        <f t="shared" si="25"/>
        <v>1424427.718846289</v>
      </c>
      <c r="Z223" s="134">
        <f t="shared" si="26"/>
        <v>1426353.9649476565</v>
      </c>
      <c r="AB223" s="127">
        <f t="shared" si="27"/>
        <v>0</v>
      </c>
      <c r="AC223" s="127">
        <f t="shared" si="28"/>
        <v>0</v>
      </c>
      <c r="AD223" s="127">
        <f t="shared" si="29"/>
        <v>1</v>
      </c>
    </row>
    <row r="224" spans="1:30" x14ac:dyDescent="0.25">
      <c r="A224">
        <v>219</v>
      </c>
      <c r="C224" s="11">
        <v>2.8404116630554199E-2</v>
      </c>
      <c r="D224" s="11">
        <v>2.6338756084442139E-2</v>
      </c>
      <c r="E224" s="11">
        <v>0.46266527351419973</v>
      </c>
      <c r="F224" s="11">
        <v>0.15000961090585338</v>
      </c>
      <c r="G224" s="11">
        <v>6.480252742767334E-2</v>
      </c>
      <c r="H224" s="40">
        <v>5.1649845224550873E-4</v>
      </c>
      <c r="I224" s="40">
        <v>1.3323381487079664</v>
      </c>
      <c r="J224" s="59">
        <v>0</v>
      </c>
      <c r="K224" s="59">
        <v>8011.7955803871155</v>
      </c>
      <c r="L224" s="59">
        <v>0</v>
      </c>
      <c r="M224" s="11">
        <v>0.88983380794525146</v>
      </c>
      <c r="N224" s="11">
        <v>0.75273376703262329</v>
      </c>
      <c r="O224" s="11">
        <v>0.27339434623718262</v>
      </c>
      <c r="Q224" s="59">
        <v>15.207897934469207</v>
      </c>
      <c r="R224" s="78">
        <v>553.15292710417737</v>
      </c>
      <c r="S224" s="78">
        <v>15.241671871705954</v>
      </c>
      <c r="T224" s="78">
        <v>653.15846975251338</v>
      </c>
      <c r="U224" s="59">
        <v>15.261581849092824</v>
      </c>
      <c r="V224" s="78">
        <v>812.14420459681355</v>
      </c>
      <c r="X224" s="134">
        <f t="shared" si="24"/>
        <v>1520236.6405198164</v>
      </c>
      <c r="Y224" s="134">
        <f t="shared" si="25"/>
        <v>1523514.028700843</v>
      </c>
      <c r="Z224" s="134">
        <f t="shared" si="26"/>
        <v>1525346.0407046857</v>
      </c>
      <c r="AB224" s="127">
        <f t="shared" si="27"/>
        <v>0</v>
      </c>
      <c r="AC224" s="127">
        <f t="shared" si="28"/>
        <v>0</v>
      </c>
      <c r="AD224" s="127">
        <f t="shared" si="29"/>
        <v>1</v>
      </c>
    </row>
    <row r="225" spans="1:30" x14ac:dyDescent="0.25">
      <c r="A225">
        <v>220</v>
      </c>
      <c r="C225" s="11">
        <v>6.4412951469421387E-3</v>
      </c>
      <c r="D225" s="11">
        <v>7.2042196989059448E-3</v>
      </c>
      <c r="E225" s="11">
        <v>0.22220957690130885</v>
      </c>
      <c r="F225" s="11">
        <v>0.35883653458059345</v>
      </c>
      <c r="G225" s="11">
        <v>1.2226760387420654E-2</v>
      </c>
      <c r="H225" s="40">
        <v>3.5904246793430628E-4</v>
      </c>
      <c r="I225" s="40">
        <v>1.4893790945722878</v>
      </c>
      <c r="J225" s="59">
        <v>0</v>
      </c>
      <c r="K225" s="59">
        <v>6852.1453067660332</v>
      </c>
      <c r="L225" s="59">
        <v>0</v>
      </c>
      <c r="M225" s="11">
        <v>0.85644951462745667</v>
      </c>
      <c r="N225" s="11">
        <v>0.81581568717956543</v>
      </c>
      <c r="O225" s="11">
        <v>0.30409306287765503</v>
      </c>
      <c r="Q225" s="59">
        <v>14.999491227483608</v>
      </c>
      <c r="R225" s="78">
        <v>510.76498176396615</v>
      </c>
      <c r="S225" s="78">
        <v>15.023513334290886</v>
      </c>
      <c r="T225" s="78">
        <v>605.28648505221906</v>
      </c>
      <c r="U225" s="59">
        <v>15.019237706013785</v>
      </c>
      <c r="V225" s="78">
        <v>830.35143182461832</v>
      </c>
      <c r="X225" s="134">
        <f t="shared" si="24"/>
        <v>1499438.3577665968</v>
      </c>
      <c r="Y225" s="134">
        <f t="shared" si="25"/>
        <v>1501746.0469440364</v>
      </c>
      <c r="Z225" s="134">
        <f t="shared" si="26"/>
        <v>1501093.4191695538</v>
      </c>
      <c r="AB225" s="127">
        <f t="shared" si="27"/>
        <v>0</v>
      </c>
      <c r="AC225" s="127">
        <f t="shared" si="28"/>
        <v>1</v>
      </c>
      <c r="AD225" s="127">
        <f t="shared" si="29"/>
        <v>0</v>
      </c>
    </row>
    <row r="226" spans="1:30" x14ac:dyDescent="0.25">
      <c r="A226">
        <v>221</v>
      </c>
      <c r="C226" s="11">
        <v>4.4222354888916016E-2</v>
      </c>
      <c r="D226" s="11">
        <v>2.8974235057830811E-2</v>
      </c>
      <c r="E226" s="11">
        <v>0.21730644302043464</v>
      </c>
      <c r="F226" s="11">
        <v>0.16315761231585629</v>
      </c>
      <c r="G226" s="11">
        <v>3.7872999906539917E-2</v>
      </c>
      <c r="H226" s="40">
        <v>4.5847603213050787E-4</v>
      </c>
      <c r="I226" s="40">
        <v>1.4201980425625575</v>
      </c>
      <c r="J226" s="59">
        <v>0</v>
      </c>
      <c r="K226" s="59">
        <v>5857.4555441737175</v>
      </c>
      <c r="L226" s="59">
        <v>0</v>
      </c>
      <c r="M226" s="11">
        <v>0.88901680707931519</v>
      </c>
      <c r="N226" s="11">
        <v>0.76552295684814453</v>
      </c>
      <c r="O226" s="11">
        <v>0.36065292358398438</v>
      </c>
      <c r="Q226" s="59">
        <v>14.947216135368942</v>
      </c>
      <c r="R226" s="78">
        <v>509.28359235406475</v>
      </c>
      <c r="S226" s="78">
        <v>14.995208629386902</v>
      </c>
      <c r="T226" s="78">
        <v>604.37326024379934</v>
      </c>
      <c r="U226" s="59">
        <v>14.998581097180416</v>
      </c>
      <c r="V226" s="78">
        <v>807.06760877673241</v>
      </c>
      <c r="X226" s="134">
        <f t="shared" si="24"/>
        <v>1494212.32994454</v>
      </c>
      <c r="Y226" s="134">
        <f t="shared" si="25"/>
        <v>1498916.4896784464</v>
      </c>
      <c r="Z226" s="134">
        <f t="shared" si="26"/>
        <v>1499051.042109265</v>
      </c>
      <c r="AB226" s="127">
        <f t="shared" si="27"/>
        <v>0</v>
      </c>
      <c r="AC226" s="127">
        <f t="shared" si="28"/>
        <v>0</v>
      </c>
      <c r="AD226" s="127">
        <f t="shared" si="29"/>
        <v>1</v>
      </c>
    </row>
    <row r="227" spans="1:30" x14ac:dyDescent="0.25">
      <c r="A227">
        <v>222</v>
      </c>
      <c r="C227" s="11">
        <v>4.19769287109375E-2</v>
      </c>
      <c r="D227" s="11">
        <v>4.2120516300201416E-3</v>
      </c>
      <c r="E227" s="11">
        <v>0.17280986678687973</v>
      </c>
      <c r="F227" s="11">
        <v>0.25889110089340878</v>
      </c>
      <c r="G227" s="11">
        <v>4.7179996967315674E-2</v>
      </c>
      <c r="H227" s="40">
        <v>4.7115580466480057E-4</v>
      </c>
      <c r="I227" s="40">
        <v>1.4299693356070664</v>
      </c>
      <c r="J227" s="59">
        <v>0</v>
      </c>
      <c r="K227" s="59">
        <v>2988.2416129112244</v>
      </c>
      <c r="L227" s="59">
        <v>0</v>
      </c>
      <c r="M227" s="11">
        <v>0.82938086986541748</v>
      </c>
      <c r="N227" s="11">
        <v>0.75677090883255005</v>
      </c>
      <c r="O227" s="11">
        <v>0.33030188083648682</v>
      </c>
      <c r="Q227" s="59">
        <v>13.991373871381347</v>
      </c>
      <c r="R227" s="78">
        <v>459.72858982687035</v>
      </c>
      <c r="S227" s="78">
        <v>14.027231656476344</v>
      </c>
      <c r="T227" s="78">
        <v>590.52072424420601</v>
      </c>
      <c r="U227" s="59">
        <v>14.02344289365133</v>
      </c>
      <c r="V227" s="78">
        <v>805.23392316944989</v>
      </c>
      <c r="X227" s="134">
        <f t="shared" si="24"/>
        <v>1398677.6585483078</v>
      </c>
      <c r="Y227" s="134">
        <f t="shared" si="25"/>
        <v>1402132.6449233901</v>
      </c>
      <c r="Z227" s="134">
        <f t="shared" si="26"/>
        <v>1401539.0554419635</v>
      </c>
      <c r="AB227" s="127">
        <f t="shared" si="27"/>
        <v>0</v>
      </c>
      <c r="AC227" s="127">
        <f t="shared" si="28"/>
        <v>1</v>
      </c>
      <c r="AD227" s="127">
        <f t="shared" si="29"/>
        <v>0</v>
      </c>
    </row>
    <row r="228" spans="1:30" x14ac:dyDescent="0.25">
      <c r="A228">
        <v>223</v>
      </c>
      <c r="C228" s="11">
        <v>1.1507600545883179E-2</v>
      </c>
      <c r="D228" s="11">
        <v>5.8721303939819336E-3</v>
      </c>
      <c r="E228" s="11">
        <v>0.3354641122717143</v>
      </c>
      <c r="F228" s="11">
        <v>0.13823331438841843</v>
      </c>
      <c r="G228" s="11">
        <v>3.6506533622741699E-2</v>
      </c>
      <c r="H228" s="40">
        <v>4.346242764087115E-4</v>
      </c>
      <c r="I228" s="40">
        <v>1.4627558327133567</v>
      </c>
      <c r="J228" s="59">
        <v>0</v>
      </c>
      <c r="K228" s="59">
        <v>6356.7818142473698</v>
      </c>
      <c r="L228" s="59">
        <v>0</v>
      </c>
      <c r="M228" s="11">
        <v>0.85528632998466492</v>
      </c>
      <c r="N228" s="11">
        <v>0.69285547733306885</v>
      </c>
      <c r="O228" s="11">
        <v>0.31459110975265503</v>
      </c>
      <c r="Q228" s="59">
        <v>14.860293186950848</v>
      </c>
      <c r="R228" s="78">
        <v>532.5818505010933</v>
      </c>
      <c r="S228" s="78">
        <v>14.908649622708987</v>
      </c>
      <c r="T228" s="78">
        <v>626.04536682666924</v>
      </c>
      <c r="U228" s="59">
        <v>14.923257334555263</v>
      </c>
      <c r="V228" s="78">
        <v>807.45479079026552</v>
      </c>
      <c r="X228" s="134">
        <f t="shared" si="24"/>
        <v>1485496.7368445839</v>
      </c>
      <c r="Y228" s="134">
        <f t="shared" si="25"/>
        <v>1490238.916904072</v>
      </c>
      <c r="Z228" s="134">
        <f t="shared" si="26"/>
        <v>1491518.2786647361</v>
      </c>
      <c r="AB228" s="127">
        <f t="shared" si="27"/>
        <v>0</v>
      </c>
      <c r="AC228" s="127">
        <f t="shared" si="28"/>
        <v>0</v>
      </c>
      <c r="AD228" s="127">
        <f t="shared" si="29"/>
        <v>1</v>
      </c>
    </row>
    <row r="229" spans="1:30" x14ac:dyDescent="0.25">
      <c r="A229">
        <v>224</v>
      </c>
      <c r="C229" s="11">
        <v>4.0307343006134033E-2</v>
      </c>
      <c r="D229" s="11">
        <v>1.9434690475463867E-3</v>
      </c>
      <c r="E229" s="11">
        <v>0.12023215064710395</v>
      </c>
      <c r="F229" s="11">
        <v>0.14968898953026352</v>
      </c>
      <c r="G229" s="11">
        <v>1.359248161315918E-2</v>
      </c>
      <c r="H229" s="40">
        <v>5.3002172524149944E-4</v>
      </c>
      <c r="I229" s="40">
        <v>1.4566857864284577</v>
      </c>
      <c r="J229" s="59">
        <v>0</v>
      </c>
      <c r="K229" s="59">
        <v>6377.5386661291122</v>
      </c>
      <c r="L229" s="59">
        <v>0</v>
      </c>
      <c r="M229" s="11">
        <v>0.88885629177093506</v>
      </c>
      <c r="N229" s="11">
        <v>0.75748181343078613</v>
      </c>
      <c r="O229" s="11">
        <v>0.27509820461273193</v>
      </c>
      <c r="Q229" s="59">
        <v>14.994755714473667</v>
      </c>
      <c r="R229" s="78">
        <v>535.22460851874257</v>
      </c>
      <c r="S229" s="78">
        <v>15.058595183476267</v>
      </c>
      <c r="T229" s="78">
        <v>596.31092465224106</v>
      </c>
      <c r="U229" s="59">
        <v>15.056411603665158</v>
      </c>
      <c r="V229" s="78">
        <v>809.53805078978144</v>
      </c>
      <c r="X229" s="134">
        <f t="shared" si="24"/>
        <v>1498940.3468388482</v>
      </c>
      <c r="Y229" s="134">
        <f t="shared" si="25"/>
        <v>1505263.2074229745</v>
      </c>
      <c r="Z229" s="134">
        <f t="shared" si="26"/>
        <v>1504831.622315726</v>
      </c>
      <c r="AB229" s="127">
        <f t="shared" si="27"/>
        <v>0</v>
      </c>
      <c r="AC229" s="127">
        <f t="shared" si="28"/>
        <v>1</v>
      </c>
      <c r="AD229" s="127">
        <f t="shared" si="29"/>
        <v>0</v>
      </c>
    </row>
    <row r="230" spans="1:30" x14ac:dyDescent="0.25">
      <c r="A230">
        <v>225</v>
      </c>
      <c r="C230" s="11">
        <v>1.607067883014679E-2</v>
      </c>
      <c r="D230" s="11">
        <v>5.2936315536499023E-2</v>
      </c>
      <c r="E230" s="11">
        <v>0.11087313092764171</v>
      </c>
      <c r="F230" s="11">
        <v>0.20963457266859942</v>
      </c>
      <c r="G230" s="11">
        <v>6.2658786773681641E-2</v>
      </c>
      <c r="H230" s="40">
        <v>4.1539458369705421E-4</v>
      </c>
      <c r="I230" s="40">
        <v>1.5037783820637223</v>
      </c>
      <c r="J230" s="59">
        <v>0</v>
      </c>
      <c r="K230" s="59">
        <v>5121.2357357144356</v>
      </c>
      <c r="L230" s="59">
        <v>0</v>
      </c>
      <c r="M230" s="11">
        <v>0.82100224494934082</v>
      </c>
      <c r="N230" s="11">
        <v>0.79184114933013916</v>
      </c>
      <c r="O230" s="11">
        <v>0.26826572418212891</v>
      </c>
      <c r="Q230" s="59">
        <v>14.210190253499563</v>
      </c>
      <c r="R230" s="78">
        <v>527.05905353336709</v>
      </c>
      <c r="S230" s="78">
        <v>14.262150509256642</v>
      </c>
      <c r="T230" s="78">
        <v>594.0089810497841</v>
      </c>
      <c r="U230" s="59">
        <v>14.256271819063945</v>
      </c>
      <c r="V230" s="78">
        <v>816.32377656070059</v>
      </c>
      <c r="X230" s="134">
        <f t="shared" si="24"/>
        <v>1420491.9662964228</v>
      </c>
      <c r="Y230" s="134">
        <f t="shared" si="25"/>
        <v>1425621.0419446144</v>
      </c>
      <c r="Z230" s="134">
        <f t="shared" si="26"/>
        <v>1424810.8581298341</v>
      </c>
      <c r="AB230" s="127">
        <f t="shared" si="27"/>
        <v>0</v>
      </c>
      <c r="AC230" s="127">
        <f t="shared" si="28"/>
        <v>1</v>
      </c>
      <c r="AD230" s="127">
        <f t="shared" si="29"/>
        <v>0</v>
      </c>
    </row>
    <row r="231" spans="1:30" x14ac:dyDescent="0.25">
      <c r="A231">
        <v>226</v>
      </c>
      <c r="C231" s="11">
        <v>2.2559434175491333E-2</v>
      </c>
      <c r="D231" s="11">
        <v>3.2201707363128662E-2</v>
      </c>
      <c r="E231" s="11">
        <v>0.18034265284118553</v>
      </c>
      <c r="F231" s="11">
        <v>0.18077508389146887</v>
      </c>
      <c r="G231" s="11">
        <v>2.8298139572143555E-2</v>
      </c>
      <c r="H231" s="40">
        <v>6.5049368361494171E-4</v>
      </c>
      <c r="I231" s="40">
        <v>1.3856944255936952</v>
      </c>
      <c r="J231" s="59">
        <v>0</v>
      </c>
      <c r="K231" s="59">
        <v>4140.0128975510597</v>
      </c>
      <c r="L231" s="59">
        <v>0</v>
      </c>
      <c r="M231" s="11">
        <v>0.79493880271911621</v>
      </c>
      <c r="N231" s="11">
        <v>0.75873905420303345</v>
      </c>
      <c r="O231" s="11">
        <v>0.30935907363891602</v>
      </c>
      <c r="Q231" s="59">
        <v>13.678176045989817</v>
      </c>
      <c r="R231" s="78">
        <v>495.0508281244206</v>
      </c>
      <c r="S231" s="78">
        <v>13.716136029114514</v>
      </c>
      <c r="T231" s="78">
        <v>597.53489768370184</v>
      </c>
      <c r="U231" s="59">
        <v>13.716115595555992</v>
      </c>
      <c r="V231" s="78">
        <v>806.57917413019675</v>
      </c>
      <c r="X231" s="134">
        <f t="shared" si="24"/>
        <v>1367322.5537708574</v>
      </c>
      <c r="Y231" s="134">
        <f t="shared" si="25"/>
        <v>1371016.0680137677</v>
      </c>
      <c r="Z231" s="134">
        <f t="shared" si="26"/>
        <v>1370804.980381469</v>
      </c>
      <c r="AB231" s="127">
        <f t="shared" si="27"/>
        <v>0</v>
      </c>
      <c r="AC231" s="127">
        <f t="shared" si="28"/>
        <v>1</v>
      </c>
      <c r="AD231" s="127">
        <f t="shared" si="29"/>
        <v>0</v>
      </c>
    </row>
    <row r="232" spans="1:30" x14ac:dyDescent="0.25">
      <c r="A232">
        <v>227</v>
      </c>
      <c r="C232" s="11">
        <v>1.3926774263381958E-2</v>
      </c>
      <c r="D232" s="11">
        <v>9.761422872543335E-3</v>
      </c>
      <c r="E232" s="11">
        <v>0.18948100859563727</v>
      </c>
      <c r="F232" s="11">
        <v>0.22171631866173094</v>
      </c>
      <c r="G232" s="11">
        <v>2.5822937488555908E-2</v>
      </c>
      <c r="H232" s="40">
        <v>4.8395194097233162E-4</v>
      </c>
      <c r="I232" s="40">
        <v>1.4669705910264721</v>
      </c>
      <c r="J232" s="59">
        <v>0</v>
      </c>
      <c r="K232" s="59">
        <v>5535.5159565806389</v>
      </c>
      <c r="L232" s="59">
        <v>0</v>
      </c>
      <c r="M232" s="11">
        <v>0.84035903215408325</v>
      </c>
      <c r="N232" s="11">
        <v>0.80881857872009277</v>
      </c>
      <c r="O232" s="11">
        <v>0.26066708564758301</v>
      </c>
      <c r="Q232" s="59">
        <v>14.597019336885177</v>
      </c>
      <c r="R232" s="78">
        <v>521.58941682368072</v>
      </c>
      <c r="S232" s="78">
        <v>14.629283650644291</v>
      </c>
      <c r="T232" s="78">
        <v>603.58013926945637</v>
      </c>
      <c r="U232" s="59">
        <v>14.627974723368055</v>
      </c>
      <c r="V232" s="78">
        <v>816.74271796798632</v>
      </c>
      <c r="X232" s="134">
        <f t="shared" si="24"/>
        <v>1459180.3442716941</v>
      </c>
      <c r="Y232" s="134">
        <f t="shared" si="25"/>
        <v>1462324.7849251598</v>
      </c>
      <c r="Z232" s="134">
        <f t="shared" si="26"/>
        <v>1461980.7296188374</v>
      </c>
      <c r="AB232" s="127">
        <f t="shared" si="27"/>
        <v>0</v>
      </c>
      <c r="AC232" s="127">
        <f t="shared" si="28"/>
        <v>1</v>
      </c>
      <c r="AD232" s="127">
        <f t="shared" si="29"/>
        <v>0</v>
      </c>
    </row>
    <row r="233" spans="1:30" x14ac:dyDescent="0.25">
      <c r="A233">
        <v>228</v>
      </c>
      <c r="C233" s="11">
        <v>5.3367912769317627E-3</v>
      </c>
      <c r="D233" s="11">
        <v>2.1443396806716919E-2</v>
      </c>
      <c r="E233" s="11">
        <v>0.38342970793269016</v>
      </c>
      <c r="F233" s="11">
        <v>0.12026891421968661</v>
      </c>
      <c r="G233" s="11">
        <v>5.9820592403411865E-2</v>
      </c>
      <c r="H233" s="40">
        <v>3.4246979791430177E-4</v>
      </c>
      <c r="I233" s="40">
        <v>1.4947763868871686</v>
      </c>
      <c r="J233" s="59">
        <v>0</v>
      </c>
      <c r="K233" s="59">
        <v>6517.7632495760918</v>
      </c>
      <c r="L233" s="59">
        <v>0</v>
      </c>
      <c r="M233" s="11">
        <v>0.90155029296875</v>
      </c>
      <c r="N233" s="11">
        <v>0.69748067855834961</v>
      </c>
      <c r="O233" s="11">
        <v>0.3350907564163208</v>
      </c>
      <c r="Q233" s="59">
        <v>15.757288715610953</v>
      </c>
      <c r="R233" s="78">
        <v>532.06414182961316</v>
      </c>
      <c r="S233" s="78">
        <v>15.807702072392232</v>
      </c>
      <c r="T233" s="78">
        <v>632.44532010001558</v>
      </c>
      <c r="U233" s="59">
        <v>15.82955942627879</v>
      </c>
      <c r="V233" s="78">
        <v>804.83280283757449</v>
      </c>
      <c r="X233" s="134">
        <f t="shared" si="24"/>
        <v>1575196.8074192659</v>
      </c>
      <c r="Y233" s="134">
        <f t="shared" si="25"/>
        <v>1580137.7619191231</v>
      </c>
      <c r="Z233" s="134">
        <f t="shared" si="26"/>
        <v>1582151.1098250414</v>
      </c>
      <c r="AB233" s="127">
        <f t="shared" si="27"/>
        <v>0</v>
      </c>
      <c r="AC233" s="127">
        <f t="shared" si="28"/>
        <v>0</v>
      </c>
      <c r="AD233" s="127">
        <f t="shared" si="29"/>
        <v>1</v>
      </c>
    </row>
    <row r="234" spans="1:30" x14ac:dyDescent="0.25">
      <c r="A234">
        <v>229</v>
      </c>
      <c r="C234" s="11">
        <v>2.3507162928581238E-2</v>
      </c>
      <c r="D234" s="11">
        <v>2.0104378461837769E-2</v>
      </c>
      <c r="E234" s="11">
        <v>0.21004919363868116</v>
      </c>
      <c r="F234" s="11">
        <v>0.45958813839585627</v>
      </c>
      <c r="G234" s="11">
        <v>7.2447896003723145E-2</v>
      </c>
      <c r="H234" s="40">
        <v>3.3578080948335956E-4</v>
      </c>
      <c r="I234" s="40">
        <v>1.5534920106040511</v>
      </c>
      <c r="J234" s="59">
        <v>0</v>
      </c>
      <c r="K234" s="59">
        <v>4046.5081110596657</v>
      </c>
      <c r="L234" s="59">
        <v>0</v>
      </c>
      <c r="M234" s="11">
        <v>0.84432744979858398</v>
      </c>
      <c r="N234" s="11">
        <v>0.76926827430725098</v>
      </c>
      <c r="O234" s="11">
        <v>0.254447340965271</v>
      </c>
      <c r="Q234" s="59">
        <v>14.503103958793313</v>
      </c>
      <c r="R234" s="78">
        <v>497.05939845719871</v>
      </c>
      <c r="S234" s="78">
        <v>14.550399051817442</v>
      </c>
      <c r="T234" s="78">
        <v>600.96548119867668</v>
      </c>
      <c r="U234" s="59">
        <v>14.535276732753283</v>
      </c>
      <c r="V234" s="78">
        <v>835.83865402638367</v>
      </c>
      <c r="X234" s="134">
        <f t="shared" si="24"/>
        <v>1449813.3364808741</v>
      </c>
      <c r="Y234" s="134">
        <f t="shared" si="25"/>
        <v>1454438.9397005455</v>
      </c>
      <c r="Z234" s="134">
        <f t="shared" si="26"/>
        <v>1452691.8346213019</v>
      </c>
      <c r="AB234" s="127">
        <f t="shared" si="27"/>
        <v>0</v>
      </c>
      <c r="AC234" s="127">
        <f t="shared" si="28"/>
        <v>1</v>
      </c>
      <c r="AD234" s="127">
        <f t="shared" si="29"/>
        <v>0</v>
      </c>
    </row>
    <row r="235" spans="1:30" x14ac:dyDescent="0.25">
      <c r="A235">
        <v>230</v>
      </c>
      <c r="C235" s="11">
        <v>3.527224063873291E-2</v>
      </c>
      <c r="D235" s="11">
        <v>1.0944992303848267E-2</v>
      </c>
      <c r="E235" s="11">
        <v>0.14306003471162304</v>
      </c>
      <c r="F235" s="11">
        <v>0.15208855953869821</v>
      </c>
      <c r="G235" s="11">
        <v>3.651079535484314E-2</v>
      </c>
      <c r="H235" s="40">
        <v>3.5960299588685382E-4</v>
      </c>
      <c r="I235" s="40">
        <v>1.4730064949919244</v>
      </c>
      <c r="J235" s="59">
        <v>0</v>
      </c>
      <c r="K235" s="59">
        <v>5238.3588626980782</v>
      </c>
      <c r="L235" s="59">
        <v>0</v>
      </c>
      <c r="M235" s="11">
        <v>0.80423140525817871</v>
      </c>
      <c r="N235" s="11">
        <v>0.78445279598236084</v>
      </c>
      <c r="O235" s="11">
        <v>0.28041714429855347</v>
      </c>
      <c r="Q235" s="59">
        <v>13.677904725622872</v>
      </c>
      <c r="R235" s="78">
        <v>489.156257572887</v>
      </c>
      <c r="S235" s="78">
        <v>13.700665975764831</v>
      </c>
      <c r="T235" s="78">
        <v>592.79382740928486</v>
      </c>
      <c r="U235" s="59">
        <v>13.700422177263526</v>
      </c>
      <c r="V235" s="78">
        <v>802.66230685124685</v>
      </c>
      <c r="X235" s="134">
        <f t="shared" si="24"/>
        <v>1367301.3163047144</v>
      </c>
      <c r="Y235" s="134">
        <f t="shared" si="25"/>
        <v>1369473.8037490738</v>
      </c>
      <c r="Z235" s="134">
        <f t="shared" si="26"/>
        <v>1369239.5554195014</v>
      </c>
      <c r="AB235" s="127">
        <f t="shared" si="27"/>
        <v>0</v>
      </c>
      <c r="AC235" s="127">
        <f t="shared" si="28"/>
        <v>1</v>
      </c>
      <c r="AD235" s="127">
        <f t="shared" si="29"/>
        <v>0</v>
      </c>
    </row>
    <row r="236" spans="1:30" x14ac:dyDescent="0.25">
      <c r="A236">
        <v>231</v>
      </c>
      <c r="C236" s="11">
        <v>2.5482088327407837E-2</v>
      </c>
      <c r="D236" s="11">
        <v>2.1229386329650879E-2</v>
      </c>
      <c r="E236" s="11">
        <v>0.37987915739807898</v>
      </c>
      <c r="F236" s="11">
        <v>0.13401543575837513</v>
      </c>
      <c r="G236" s="11">
        <v>2.0437479019165039E-2</v>
      </c>
      <c r="H236" s="40">
        <v>4.3806566322126525E-4</v>
      </c>
      <c r="I236" s="40">
        <v>1.4388531469501433</v>
      </c>
      <c r="J236" s="59">
        <v>0</v>
      </c>
      <c r="K236" s="59">
        <v>3792.8484380245209</v>
      </c>
      <c r="L236" s="59">
        <v>0</v>
      </c>
      <c r="M236" s="11">
        <v>0.89665460586547852</v>
      </c>
      <c r="N236" s="11">
        <v>0.69918513298034668</v>
      </c>
      <c r="O236" s="11">
        <v>0.3112926185131073</v>
      </c>
      <c r="Q236" s="59">
        <v>15.353394454611255</v>
      </c>
      <c r="R236" s="78">
        <v>463.9055322622682</v>
      </c>
      <c r="S236" s="78">
        <v>15.403352964511575</v>
      </c>
      <c r="T236" s="78">
        <v>605.83558766791919</v>
      </c>
      <c r="U236" s="59">
        <v>15.423486291675321</v>
      </c>
      <c r="V236" s="78">
        <v>797.50686262615454</v>
      </c>
      <c r="X236" s="134">
        <f t="shared" si="24"/>
        <v>1534875.5399288633</v>
      </c>
      <c r="Y236" s="134">
        <f t="shared" si="25"/>
        <v>1539729.4608634894</v>
      </c>
      <c r="Z236" s="134">
        <f t="shared" si="26"/>
        <v>1541551.1223049059</v>
      </c>
      <c r="AB236" s="127">
        <f t="shared" si="27"/>
        <v>0</v>
      </c>
      <c r="AC236" s="127">
        <f t="shared" si="28"/>
        <v>0</v>
      </c>
      <c r="AD236" s="127">
        <f t="shared" si="29"/>
        <v>1</v>
      </c>
    </row>
    <row r="237" spans="1:30" x14ac:dyDescent="0.25">
      <c r="A237">
        <v>232</v>
      </c>
      <c r="C237" s="11">
        <v>1.2454703450202942E-2</v>
      </c>
      <c r="D237" s="11">
        <v>1.2189507484436035E-2</v>
      </c>
      <c r="E237" s="11">
        <v>0.22888972952998643</v>
      </c>
      <c r="F237" s="11">
        <v>0.13396778420662084</v>
      </c>
      <c r="G237" s="11">
        <v>6.9482326507568359E-3</v>
      </c>
      <c r="H237" s="40">
        <v>4.5246017329664354E-4</v>
      </c>
      <c r="I237" s="40">
        <v>1.493515545765324</v>
      </c>
      <c r="J237" s="59">
        <v>0</v>
      </c>
      <c r="K237" s="59">
        <v>5296.5455688536167</v>
      </c>
      <c r="L237" s="59">
        <v>0</v>
      </c>
      <c r="M237" s="11">
        <v>0.83842712640762329</v>
      </c>
      <c r="N237" s="11">
        <v>0.66737127304077148</v>
      </c>
      <c r="O237" s="11">
        <v>0.3484492301940918</v>
      </c>
      <c r="Q237" s="59">
        <v>14.543225510577175</v>
      </c>
      <c r="R237" s="78">
        <v>504.05969822680328</v>
      </c>
      <c r="S237" s="78">
        <v>14.60607155034668</v>
      </c>
      <c r="T237" s="78">
        <v>604.61320684642942</v>
      </c>
      <c r="U237" s="59">
        <v>14.613967868567149</v>
      </c>
      <c r="V237" s="78">
        <v>803.02216576227534</v>
      </c>
      <c r="X237" s="134">
        <f t="shared" si="24"/>
        <v>1453818.4913594907</v>
      </c>
      <c r="Y237" s="134">
        <f t="shared" si="25"/>
        <v>1460002.5418278216</v>
      </c>
      <c r="Z237" s="134">
        <f t="shared" si="26"/>
        <v>1460593.7646909526</v>
      </c>
      <c r="AB237" s="127">
        <f t="shared" si="27"/>
        <v>0</v>
      </c>
      <c r="AC237" s="127">
        <f t="shared" si="28"/>
        <v>0</v>
      </c>
      <c r="AD237" s="127">
        <f t="shared" si="29"/>
        <v>1</v>
      </c>
    </row>
    <row r="238" spans="1:30" x14ac:dyDescent="0.25">
      <c r="A238">
        <v>233</v>
      </c>
      <c r="C238" s="11">
        <v>2.4836272001266479E-2</v>
      </c>
      <c r="D238" s="11">
        <v>1.8521159887313843E-2</v>
      </c>
      <c r="E238" s="11">
        <v>0.22551324485534635</v>
      </c>
      <c r="F238" s="11">
        <v>0.36177531142637304</v>
      </c>
      <c r="G238" s="11">
        <v>3.9634436368942261E-2</v>
      </c>
      <c r="H238" s="40">
        <v>3.7160248512725294E-4</v>
      </c>
      <c r="I238" s="40">
        <v>1.4102033476189166</v>
      </c>
      <c r="J238" s="59">
        <v>0</v>
      </c>
      <c r="K238" s="59">
        <v>4833.0239951610565</v>
      </c>
      <c r="L238" s="59">
        <v>0</v>
      </c>
      <c r="M238" s="11">
        <v>0.88309413194656372</v>
      </c>
      <c r="N238" s="11">
        <v>0.78369563817977905</v>
      </c>
      <c r="O238" s="11">
        <v>0.32036137580871582</v>
      </c>
      <c r="Q238" s="59">
        <v>15.167727689556415</v>
      </c>
      <c r="R238" s="78">
        <v>471.5698750293937</v>
      </c>
      <c r="S238" s="78">
        <v>15.20127576891683</v>
      </c>
      <c r="T238" s="78">
        <v>596.66649875153155</v>
      </c>
      <c r="U238" s="59">
        <v>15.195317096736222</v>
      </c>
      <c r="V238" s="78">
        <v>816.29181554380853</v>
      </c>
      <c r="X238" s="134">
        <f t="shared" si="24"/>
        <v>1516301.199080612</v>
      </c>
      <c r="Y238" s="134">
        <f t="shared" si="25"/>
        <v>1519530.9103929314</v>
      </c>
      <c r="Z238" s="134">
        <f t="shared" si="26"/>
        <v>1518715.4178580784</v>
      </c>
      <c r="AB238" s="127">
        <f t="shared" si="27"/>
        <v>0</v>
      </c>
      <c r="AC238" s="127">
        <f t="shared" si="28"/>
        <v>1</v>
      </c>
      <c r="AD238" s="127">
        <f t="shared" si="29"/>
        <v>0</v>
      </c>
    </row>
    <row r="239" spans="1:30" x14ac:dyDescent="0.25">
      <c r="A239">
        <v>234</v>
      </c>
      <c r="C239" s="11">
        <v>1.4053225517272949E-2</v>
      </c>
      <c r="D239" s="11">
        <v>7.5773149728775024E-3</v>
      </c>
      <c r="E239" s="11">
        <v>0.47537694688036092</v>
      </c>
      <c r="F239" s="11">
        <v>0.17770229815867342</v>
      </c>
      <c r="G239" s="11">
        <v>8.3022117614746094E-2</v>
      </c>
      <c r="H239" s="40">
        <v>5.3477344822038019E-4</v>
      </c>
      <c r="I239" s="40">
        <v>1.3709815880814293</v>
      </c>
      <c r="J239" s="59">
        <v>0</v>
      </c>
      <c r="K239" s="59">
        <v>5468.9357057213783</v>
      </c>
      <c r="L239" s="59">
        <v>0</v>
      </c>
      <c r="M239" s="11">
        <v>0.84064847230911255</v>
      </c>
      <c r="N239" s="11">
        <v>0.74650114774703979</v>
      </c>
      <c r="O239" s="11">
        <v>0.29394567012786865</v>
      </c>
      <c r="Q239" s="59">
        <v>14.584300156003309</v>
      </c>
      <c r="R239" s="78">
        <v>532.61384586684608</v>
      </c>
      <c r="S239" s="78">
        <v>14.613360271099971</v>
      </c>
      <c r="T239" s="78">
        <v>645.42790118519645</v>
      </c>
      <c r="U239" s="59">
        <v>14.630102195529465</v>
      </c>
      <c r="V239" s="78">
        <v>812.94625653383559</v>
      </c>
      <c r="X239" s="134">
        <f t="shared" si="24"/>
        <v>1457897.401754464</v>
      </c>
      <c r="Y239" s="134">
        <f t="shared" si="25"/>
        <v>1460690.599208812</v>
      </c>
      <c r="Z239" s="134">
        <f t="shared" si="26"/>
        <v>1462197.2732964128</v>
      </c>
      <c r="AB239" s="127">
        <f t="shared" si="27"/>
        <v>0</v>
      </c>
      <c r="AC239" s="127">
        <f t="shared" si="28"/>
        <v>0</v>
      </c>
      <c r="AD239" s="127">
        <f t="shared" si="29"/>
        <v>1</v>
      </c>
    </row>
    <row r="240" spans="1:30" x14ac:dyDescent="0.25">
      <c r="A240">
        <v>235</v>
      </c>
      <c r="C240" s="11">
        <v>1.215660572052002E-2</v>
      </c>
      <c r="D240" s="11">
        <v>1.085171103477478E-2</v>
      </c>
      <c r="E240" s="11">
        <v>0.26228621328812518</v>
      </c>
      <c r="F240" s="11">
        <v>0.45005205633572581</v>
      </c>
      <c r="G240" s="11">
        <v>1.154327392578125E-2</v>
      </c>
      <c r="H240" s="40">
        <v>3.5262789914788722E-4</v>
      </c>
      <c r="I240" s="40">
        <v>1.5481769909522329</v>
      </c>
      <c r="J240" s="59">
        <v>0</v>
      </c>
      <c r="K240" s="59">
        <v>4702.2628132253885</v>
      </c>
      <c r="L240" s="59">
        <v>0</v>
      </c>
      <c r="M240" s="11">
        <v>0.83949112892150879</v>
      </c>
      <c r="N240" s="11">
        <v>0.76446074247360229</v>
      </c>
      <c r="O240" s="11">
        <v>0.31592482328414917</v>
      </c>
      <c r="Q240" s="59">
        <v>14.601354677096399</v>
      </c>
      <c r="R240" s="78">
        <v>486.39532586372906</v>
      </c>
      <c r="S240" s="78">
        <v>14.635662079246059</v>
      </c>
      <c r="T240" s="78">
        <v>603.59801510701072</v>
      </c>
      <c r="U240" s="59">
        <v>14.626815445156616</v>
      </c>
      <c r="V240" s="78">
        <v>830.04664316100718</v>
      </c>
      <c r="X240" s="134">
        <f t="shared" si="24"/>
        <v>1459649.0723837761</v>
      </c>
      <c r="Y240" s="134">
        <f t="shared" si="25"/>
        <v>1462962.6099094988</v>
      </c>
      <c r="Z240" s="134">
        <f t="shared" si="26"/>
        <v>1461851.4978725007</v>
      </c>
      <c r="AB240" s="127">
        <f t="shared" si="27"/>
        <v>0</v>
      </c>
      <c r="AC240" s="127">
        <f t="shared" si="28"/>
        <v>1</v>
      </c>
      <c r="AD240" s="127">
        <f t="shared" si="29"/>
        <v>0</v>
      </c>
    </row>
    <row r="241" spans="1:30" x14ac:dyDescent="0.25">
      <c r="A241">
        <v>236</v>
      </c>
      <c r="C241" s="11">
        <v>1.249992847442627E-2</v>
      </c>
      <c r="D241" s="11">
        <v>2.4488762021064758E-2</v>
      </c>
      <c r="E241" s="11">
        <v>0.2607077231372279</v>
      </c>
      <c r="F241" s="11">
        <v>0.15610040586013882</v>
      </c>
      <c r="G241" s="11">
        <v>7.8748583793640137E-2</v>
      </c>
      <c r="H241" s="40">
        <v>4.246201429394493E-4</v>
      </c>
      <c r="I241" s="40">
        <v>1.5168236714447709</v>
      </c>
      <c r="J241" s="59">
        <v>0</v>
      </c>
      <c r="K241" s="59">
        <v>4936.9246698915958</v>
      </c>
      <c r="L241" s="59">
        <v>0</v>
      </c>
      <c r="M241" s="11">
        <v>0.78227901458740234</v>
      </c>
      <c r="N241" s="11">
        <v>0.76909923553466797</v>
      </c>
      <c r="O241" s="11">
        <v>0.31039053201675415</v>
      </c>
      <c r="Q241" s="59">
        <v>13.601144630199551</v>
      </c>
      <c r="R241" s="78">
        <v>541.51179229442198</v>
      </c>
      <c r="S241" s="78">
        <v>13.633440391258389</v>
      </c>
      <c r="T241" s="78">
        <v>618.04197359263856</v>
      </c>
      <c r="U241" s="59">
        <v>13.638109605314224</v>
      </c>
      <c r="V241" s="78">
        <v>811.42697470541668</v>
      </c>
      <c r="X241" s="134">
        <f t="shared" si="24"/>
        <v>1359572.9512276608</v>
      </c>
      <c r="Y241" s="134">
        <f t="shared" si="25"/>
        <v>1362725.9971522463</v>
      </c>
      <c r="Z241" s="134">
        <f t="shared" si="26"/>
        <v>1362999.533556717</v>
      </c>
      <c r="AB241" s="127">
        <f t="shared" si="27"/>
        <v>0</v>
      </c>
      <c r="AC241" s="127">
        <f t="shared" si="28"/>
        <v>0</v>
      </c>
      <c r="AD241" s="127">
        <f t="shared" si="29"/>
        <v>1</v>
      </c>
    </row>
    <row r="242" spans="1:30" x14ac:dyDescent="0.25">
      <c r="A242">
        <v>237</v>
      </c>
      <c r="C242" s="11">
        <v>1.1878654360771179E-2</v>
      </c>
      <c r="D242" s="11">
        <v>1.0660439729690552E-2</v>
      </c>
      <c r="E242" s="11">
        <v>0.38940988578789715</v>
      </c>
      <c r="F242" s="11">
        <v>0.12472244941685898</v>
      </c>
      <c r="G242" s="11">
        <v>3.081473708152771E-2</v>
      </c>
      <c r="H242" s="40">
        <v>2.8293754666539842E-4</v>
      </c>
      <c r="I242" s="40">
        <v>1.51714069199319</v>
      </c>
      <c r="J242" s="59">
        <v>0</v>
      </c>
      <c r="K242" s="59">
        <v>6957.9435512423515</v>
      </c>
      <c r="L242" s="59">
        <v>0</v>
      </c>
      <c r="M242" s="11">
        <v>0.77516937255859375</v>
      </c>
      <c r="N242" s="11">
        <v>0.75448638200759888</v>
      </c>
      <c r="O242" s="11">
        <v>0.30344140529632568</v>
      </c>
      <c r="Q242" s="59">
        <v>13.507294509561122</v>
      </c>
      <c r="R242" s="78">
        <v>506.65650259933153</v>
      </c>
      <c r="S242" s="78">
        <v>13.520829872315206</v>
      </c>
      <c r="T242" s="78">
        <v>623.25207228220211</v>
      </c>
      <c r="U242" s="59">
        <v>13.526790431701125</v>
      </c>
      <c r="V242" s="78">
        <v>802.22704660508566</v>
      </c>
      <c r="X242" s="134">
        <f t="shared" si="24"/>
        <v>1350222.7944535129</v>
      </c>
      <c r="Y242" s="134">
        <f t="shared" si="25"/>
        <v>1351459.7351592383</v>
      </c>
      <c r="Z242" s="134">
        <f t="shared" si="26"/>
        <v>1351876.8161235072</v>
      </c>
      <c r="AB242" s="127">
        <f t="shared" si="27"/>
        <v>0</v>
      </c>
      <c r="AC242" s="127">
        <f t="shared" si="28"/>
        <v>0</v>
      </c>
      <c r="AD242" s="127">
        <f t="shared" si="29"/>
        <v>1</v>
      </c>
    </row>
    <row r="243" spans="1:30" x14ac:dyDescent="0.25">
      <c r="A243">
        <v>238</v>
      </c>
      <c r="C243" s="11">
        <v>9.1538727283477783E-3</v>
      </c>
      <c r="D243" s="11">
        <v>3.5890161991119385E-2</v>
      </c>
      <c r="E243" s="11">
        <v>0.25252429385018266</v>
      </c>
      <c r="F243" s="11">
        <v>0.17130713102283099</v>
      </c>
      <c r="G243" s="11">
        <v>6.5163612365722656E-2</v>
      </c>
      <c r="H243" s="40">
        <v>4.5710165340254167E-4</v>
      </c>
      <c r="I243" s="40">
        <v>1.5067729251942581</v>
      </c>
      <c r="J243" s="59">
        <v>0</v>
      </c>
      <c r="K243" s="59">
        <v>5121.5733401477337</v>
      </c>
      <c r="L243" s="59">
        <v>0</v>
      </c>
      <c r="M243" s="11">
        <v>0.8718065619468689</v>
      </c>
      <c r="N243" s="11">
        <v>0.71475422382354736</v>
      </c>
      <c r="O243" s="11">
        <v>0.22556114196777344</v>
      </c>
      <c r="Q243" s="59">
        <v>15.150660593629908</v>
      </c>
      <c r="R243" s="78">
        <v>545.04831093221287</v>
      </c>
      <c r="S243" s="78">
        <v>15.230575782435224</v>
      </c>
      <c r="T243" s="78">
        <v>617.75901790952344</v>
      </c>
      <c r="U243" s="59">
        <v>15.239441215894182</v>
      </c>
      <c r="V243" s="78">
        <v>814.33944915988491</v>
      </c>
      <c r="X243" s="134">
        <f t="shared" si="24"/>
        <v>1514521.0110520585</v>
      </c>
      <c r="Y243" s="134">
        <f t="shared" si="25"/>
        <v>1522439.819225613</v>
      </c>
      <c r="Z243" s="134">
        <f t="shared" si="26"/>
        <v>1523129.7821402585</v>
      </c>
      <c r="AB243" s="127">
        <f t="shared" si="27"/>
        <v>0</v>
      </c>
      <c r="AC243" s="127">
        <f t="shared" si="28"/>
        <v>0</v>
      </c>
      <c r="AD243" s="127">
        <f t="shared" si="29"/>
        <v>1</v>
      </c>
    </row>
    <row r="244" spans="1:30" x14ac:dyDescent="0.25">
      <c r="A244">
        <v>239</v>
      </c>
      <c r="C244" s="11">
        <v>1.5446007251739502E-2</v>
      </c>
      <c r="D244" s="11">
        <v>6.3940048217773438E-2</v>
      </c>
      <c r="E244" s="11">
        <v>0.25181478012940739</v>
      </c>
      <c r="F244" s="11">
        <v>0.29643927192970659</v>
      </c>
      <c r="G244" s="11">
        <v>2.5910139083862305E-2</v>
      </c>
      <c r="H244" s="40">
        <v>4.3791405724408867E-4</v>
      </c>
      <c r="I244" s="40">
        <v>1.4459186398095942</v>
      </c>
      <c r="J244" s="59">
        <v>0</v>
      </c>
      <c r="K244" s="59">
        <v>5405.4008796811104</v>
      </c>
      <c r="L244" s="59">
        <v>0</v>
      </c>
      <c r="M244" s="11">
        <v>0.79595446586608887</v>
      </c>
      <c r="N244" s="11">
        <v>0.70607531070709229</v>
      </c>
      <c r="O244" s="11">
        <v>0.27447003126144409</v>
      </c>
      <c r="Q244" s="59">
        <v>13.780460806420432</v>
      </c>
      <c r="R244" s="78">
        <v>499.15831948965439</v>
      </c>
      <c r="S244" s="78">
        <v>13.826454418129105</v>
      </c>
      <c r="T244" s="78">
        <v>605.82445144788619</v>
      </c>
      <c r="U244" s="59">
        <v>13.823673039477923</v>
      </c>
      <c r="V244" s="78">
        <v>819.55362685515786</v>
      </c>
      <c r="X244" s="134">
        <f t="shared" si="24"/>
        <v>1377546.9223225536</v>
      </c>
      <c r="Y244" s="134">
        <f t="shared" si="25"/>
        <v>1382039.6173614624</v>
      </c>
      <c r="Z244" s="134">
        <f t="shared" si="26"/>
        <v>1381547.750320937</v>
      </c>
      <c r="AB244" s="127">
        <f t="shared" si="27"/>
        <v>0</v>
      </c>
      <c r="AC244" s="127">
        <f t="shared" si="28"/>
        <v>1</v>
      </c>
      <c r="AD244" s="127">
        <f t="shared" si="29"/>
        <v>0</v>
      </c>
    </row>
    <row r="245" spans="1:30" x14ac:dyDescent="0.25">
      <c r="A245">
        <v>240</v>
      </c>
      <c r="C245" s="11">
        <v>4.490286111831665E-3</v>
      </c>
      <c r="D245" s="11">
        <v>3.912806510925293E-2</v>
      </c>
      <c r="E245" s="11">
        <v>0.11175539351283853</v>
      </c>
      <c r="F245" s="11">
        <v>0.21349641746224585</v>
      </c>
      <c r="G245" s="11">
        <v>2.2897183895111084E-2</v>
      </c>
      <c r="H245" s="40">
        <v>4.5610392929447727E-4</v>
      </c>
      <c r="I245" s="40">
        <v>1.4033443240068628</v>
      </c>
      <c r="J245" s="59">
        <v>0</v>
      </c>
      <c r="K245" s="59">
        <v>4230.6841351091862</v>
      </c>
      <c r="L245" s="59">
        <v>0</v>
      </c>
      <c r="M245" s="11">
        <v>0.79727673530578613</v>
      </c>
      <c r="N245" s="11">
        <v>0.75737404823303223</v>
      </c>
      <c r="O245" s="11">
        <v>0.31510269641876221</v>
      </c>
      <c r="Q245" s="59">
        <v>13.982523570999614</v>
      </c>
      <c r="R245" s="78">
        <v>469.66242387532174</v>
      </c>
      <c r="S245" s="78">
        <v>14.015321358840263</v>
      </c>
      <c r="T245" s="78">
        <v>587.57327419707349</v>
      </c>
      <c r="U245" s="59">
        <v>14.011510239145236</v>
      </c>
      <c r="V245" s="78">
        <v>804.35228018597729</v>
      </c>
      <c r="X245" s="134">
        <f t="shared" si="24"/>
        <v>1397782.6946760861</v>
      </c>
      <c r="Y245" s="134">
        <f t="shared" si="25"/>
        <v>1400944.5626098292</v>
      </c>
      <c r="Z245" s="134">
        <f t="shared" si="26"/>
        <v>1400346.6716343376</v>
      </c>
      <c r="AB245" s="127">
        <f t="shared" si="27"/>
        <v>0</v>
      </c>
      <c r="AC245" s="127">
        <f t="shared" si="28"/>
        <v>1</v>
      </c>
      <c r="AD245" s="127">
        <f t="shared" si="29"/>
        <v>0</v>
      </c>
    </row>
    <row r="246" spans="1:30" x14ac:dyDescent="0.25">
      <c r="A246">
        <v>241</v>
      </c>
      <c r="C246" s="11">
        <v>3.7506818771362305E-3</v>
      </c>
      <c r="D246" s="11">
        <v>2.5213092565536499E-2</v>
      </c>
      <c r="E246" s="11">
        <v>0.18610092923425284</v>
      </c>
      <c r="F246" s="11">
        <v>0.4288738528610615</v>
      </c>
      <c r="G246" s="11">
        <v>2.830854058265686E-2</v>
      </c>
      <c r="H246" s="40">
        <v>2.5080554453973426E-4</v>
      </c>
      <c r="I246" s="40">
        <v>1.5631744173468651</v>
      </c>
      <c r="J246" s="59">
        <v>0</v>
      </c>
      <c r="K246" s="59">
        <v>6978.7213578820229</v>
      </c>
      <c r="L246" s="59">
        <v>0</v>
      </c>
      <c r="M246" s="11">
        <v>0.82804936170578003</v>
      </c>
      <c r="N246" s="11">
        <v>0.74381422996520996</v>
      </c>
      <c r="O246" s="11">
        <v>0.28967046737670898</v>
      </c>
      <c r="Q246" s="59">
        <v>14.528390576663416</v>
      </c>
      <c r="R246" s="78">
        <v>507.71259977887019</v>
      </c>
      <c r="S246" s="78">
        <v>14.563326169752527</v>
      </c>
      <c r="T246" s="78">
        <v>600.42002215514844</v>
      </c>
      <c r="U246" s="59">
        <v>14.552800835182758</v>
      </c>
      <c r="V246" s="78">
        <v>837.18414128657571</v>
      </c>
      <c r="X246" s="134">
        <f t="shared" si="24"/>
        <v>1452331.3450665628</v>
      </c>
      <c r="Y246" s="134">
        <f t="shared" si="25"/>
        <v>1455732.1969530976</v>
      </c>
      <c r="Z246" s="134">
        <f t="shared" si="26"/>
        <v>1454442.8993769891</v>
      </c>
      <c r="AB246" s="127">
        <f t="shared" si="27"/>
        <v>0</v>
      </c>
      <c r="AC246" s="127">
        <f t="shared" si="28"/>
        <v>1</v>
      </c>
      <c r="AD246" s="127">
        <f t="shared" si="29"/>
        <v>0</v>
      </c>
    </row>
    <row r="247" spans="1:30" x14ac:dyDescent="0.25">
      <c r="A247">
        <v>242</v>
      </c>
      <c r="C247" s="11">
        <v>8.7058842182159424E-3</v>
      </c>
      <c r="D247" s="11">
        <v>3.0207633972167969E-2</v>
      </c>
      <c r="E247" s="11">
        <v>0.2263836517523331</v>
      </c>
      <c r="F247" s="11">
        <v>0.11463247373678079</v>
      </c>
      <c r="G247" s="11">
        <v>2.8591692447662354E-2</v>
      </c>
      <c r="H247" s="40">
        <v>4.8050528070301909E-4</v>
      </c>
      <c r="I247" s="40">
        <v>1.52819515339699</v>
      </c>
      <c r="J247" s="59">
        <v>0</v>
      </c>
      <c r="K247" s="59">
        <v>6624.818779528141</v>
      </c>
      <c r="L247" s="59">
        <v>0</v>
      </c>
      <c r="M247" s="11">
        <v>0.87111818790435791</v>
      </c>
      <c r="N247" s="11">
        <v>0.7347685694694519</v>
      </c>
      <c r="O247" s="11">
        <v>0.2984279990196228</v>
      </c>
      <c r="Q247" s="59">
        <v>15.155611385095801</v>
      </c>
      <c r="R247" s="78">
        <v>577.80211559960185</v>
      </c>
      <c r="S247" s="78">
        <v>15.23053937474606</v>
      </c>
      <c r="T247" s="78">
        <v>621.42450894862156</v>
      </c>
      <c r="U247" s="59">
        <v>15.241641932500981</v>
      </c>
      <c r="V247" s="78">
        <v>809.54308924876966</v>
      </c>
      <c r="X247" s="134">
        <f t="shared" si="24"/>
        <v>1514983.3363939805</v>
      </c>
      <c r="Y247" s="134">
        <f t="shared" si="25"/>
        <v>1522432.5129656575</v>
      </c>
      <c r="Z247" s="134">
        <f t="shared" si="26"/>
        <v>1523354.6501608493</v>
      </c>
      <c r="AB247" s="127">
        <f t="shared" si="27"/>
        <v>0</v>
      </c>
      <c r="AC247" s="127">
        <f t="shared" si="28"/>
        <v>0</v>
      </c>
      <c r="AD247" s="127">
        <f t="shared" si="29"/>
        <v>1</v>
      </c>
    </row>
    <row r="248" spans="1:30" x14ac:dyDescent="0.25">
      <c r="A248">
        <v>243</v>
      </c>
      <c r="C248" s="11">
        <v>1.8738538026809692E-2</v>
      </c>
      <c r="D248" s="11">
        <v>3.0198603868484497E-2</v>
      </c>
      <c r="E248" s="11">
        <v>0.13605842119756609</v>
      </c>
      <c r="F248" s="11">
        <v>9.9134709313049227E-2</v>
      </c>
      <c r="G248" s="11">
        <v>9.4053268432617188E-2</v>
      </c>
      <c r="H248" s="40">
        <v>4.0711895345980811E-4</v>
      </c>
      <c r="I248" s="40">
        <v>1.6433436429628498</v>
      </c>
      <c r="J248" s="59">
        <v>0</v>
      </c>
      <c r="K248" s="59">
        <v>6603.3843904733658</v>
      </c>
      <c r="L248" s="59">
        <v>0</v>
      </c>
      <c r="M248" s="11">
        <v>0.78639435768127441</v>
      </c>
      <c r="N248" s="11">
        <v>0.67031288146972656</v>
      </c>
      <c r="O248" s="11">
        <v>0.29494071006774902</v>
      </c>
      <c r="Q248" s="59">
        <v>13.517286560937496</v>
      </c>
      <c r="R248" s="78">
        <v>678.12813002678774</v>
      </c>
      <c r="S248" s="78">
        <v>13.61439317011639</v>
      </c>
      <c r="T248" s="78">
        <v>618.67792216094404</v>
      </c>
      <c r="U248" s="59">
        <v>13.618680651050971</v>
      </c>
      <c r="V248" s="78">
        <v>816.94270515224605</v>
      </c>
      <c r="X248" s="134">
        <f t="shared" si="24"/>
        <v>1351050.5279637228</v>
      </c>
      <c r="Y248" s="134">
        <f t="shared" si="25"/>
        <v>1360820.6390894782</v>
      </c>
      <c r="Z248" s="134">
        <f t="shared" si="26"/>
        <v>1361051.1223999448</v>
      </c>
      <c r="AB248" s="127">
        <f t="shared" si="27"/>
        <v>0</v>
      </c>
      <c r="AC248" s="127">
        <f t="shared" si="28"/>
        <v>0</v>
      </c>
      <c r="AD248" s="127">
        <f t="shared" si="29"/>
        <v>1</v>
      </c>
    </row>
    <row r="249" spans="1:30" x14ac:dyDescent="0.25">
      <c r="A249">
        <v>244</v>
      </c>
      <c r="C249" s="11">
        <v>3.1897544860839844E-2</v>
      </c>
      <c r="D249" s="11">
        <v>9.22413170337677E-3</v>
      </c>
      <c r="E249" s="11">
        <v>0.23559684849634935</v>
      </c>
      <c r="F249" s="11">
        <v>0.22940863568182471</v>
      </c>
      <c r="G249" s="11">
        <v>4.2715311050415039E-2</v>
      </c>
      <c r="H249" s="40">
        <v>3.6775116616835179E-4</v>
      </c>
      <c r="I249" s="40">
        <v>1.4002951557930563</v>
      </c>
      <c r="J249" s="59">
        <v>0</v>
      </c>
      <c r="K249" s="59">
        <v>7128.491997718811</v>
      </c>
      <c r="L249" s="59">
        <v>0</v>
      </c>
      <c r="M249" s="11">
        <v>0.82892978191375732</v>
      </c>
      <c r="N249" s="11">
        <v>0.73527038097381592</v>
      </c>
      <c r="O249" s="11">
        <v>0.29028418660163879</v>
      </c>
      <c r="Q249" s="59">
        <v>14.137123973799266</v>
      </c>
      <c r="R249" s="78">
        <v>505.2751961924078</v>
      </c>
      <c r="S249" s="78">
        <v>14.165846114878667</v>
      </c>
      <c r="T249" s="78">
        <v>605.46048802862231</v>
      </c>
      <c r="U249" s="59">
        <v>14.166081210072855</v>
      </c>
      <c r="V249" s="78">
        <v>813.76741716371055</v>
      </c>
      <c r="X249" s="134">
        <f t="shared" si="24"/>
        <v>1413207.1221837343</v>
      </c>
      <c r="Y249" s="134">
        <f t="shared" si="25"/>
        <v>1415979.150999838</v>
      </c>
      <c r="Z249" s="134">
        <f t="shared" si="26"/>
        <v>1415794.3535901217</v>
      </c>
      <c r="AB249" s="127">
        <f t="shared" si="27"/>
        <v>0</v>
      </c>
      <c r="AC249" s="127">
        <f t="shared" si="28"/>
        <v>1</v>
      </c>
      <c r="AD249" s="127">
        <f t="shared" si="29"/>
        <v>0</v>
      </c>
    </row>
    <row r="250" spans="1:30" x14ac:dyDescent="0.25">
      <c r="A250">
        <v>245</v>
      </c>
      <c r="C250" s="11">
        <v>9.7481310367584229E-3</v>
      </c>
      <c r="D250" s="11">
        <v>2.4157941341400146E-2</v>
      </c>
      <c r="E250" s="11">
        <v>0.21345282221488157</v>
      </c>
      <c r="F250" s="11">
        <v>0.20265722876674472</v>
      </c>
      <c r="G250" s="11">
        <v>4.185447096824646E-2</v>
      </c>
      <c r="H250" s="40">
        <v>5.3917554894282894E-4</v>
      </c>
      <c r="I250" s="40">
        <v>1.4704072501033298</v>
      </c>
      <c r="J250" s="59">
        <v>0</v>
      </c>
      <c r="K250" s="59">
        <v>5094.3810492753983</v>
      </c>
      <c r="L250" s="59">
        <v>0</v>
      </c>
      <c r="M250" s="11">
        <v>0.82515108585357666</v>
      </c>
      <c r="N250" s="11">
        <v>0.79558837413787842</v>
      </c>
      <c r="O250" s="11">
        <v>0.32172173261642456</v>
      </c>
      <c r="Q250" s="59">
        <v>14.383733717527896</v>
      </c>
      <c r="R250" s="78">
        <v>537.67238751226171</v>
      </c>
      <c r="S250" s="78">
        <v>14.422284050373554</v>
      </c>
      <c r="T250" s="78">
        <v>610.21890088048804</v>
      </c>
      <c r="U250" s="59">
        <v>14.422824978035774</v>
      </c>
      <c r="V250" s="78">
        <v>817.64728410671171</v>
      </c>
      <c r="X250" s="134">
        <f t="shared" si="24"/>
        <v>1437835.6993652775</v>
      </c>
      <c r="Y250" s="134">
        <f t="shared" si="25"/>
        <v>1441618.1861364748</v>
      </c>
      <c r="Z250" s="134">
        <f t="shared" si="26"/>
        <v>1441464.8505194706</v>
      </c>
      <c r="AB250" s="127">
        <f t="shared" si="27"/>
        <v>0</v>
      </c>
      <c r="AC250" s="127">
        <f t="shared" si="28"/>
        <v>1</v>
      </c>
      <c r="AD250" s="127">
        <f t="shared" si="29"/>
        <v>0</v>
      </c>
    </row>
    <row r="251" spans="1:30" x14ac:dyDescent="0.25">
      <c r="A251">
        <v>246</v>
      </c>
      <c r="C251" s="11">
        <v>1.7104864120483398E-2</v>
      </c>
      <c r="D251" s="11">
        <v>6.5409243106842041E-3</v>
      </c>
      <c r="E251" s="11">
        <v>0.23521001346981776</v>
      </c>
      <c r="F251" s="11">
        <v>0.18798349429085384</v>
      </c>
      <c r="G251" s="11">
        <v>4.2646676301956177E-2</v>
      </c>
      <c r="H251" s="40">
        <v>6.1819485314743862E-4</v>
      </c>
      <c r="I251" s="40">
        <v>1.5147851621325437</v>
      </c>
      <c r="J251" s="59">
        <v>0</v>
      </c>
      <c r="K251" s="59">
        <v>3647.1034400165081</v>
      </c>
      <c r="L251" s="59">
        <v>0</v>
      </c>
      <c r="M251" s="11">
        <v>0.81841665506362915</v>
      </c>
      <c r="N251" s="11">
        <v>0.74008333683013916</v>
      </c>
      <c r="O251" s="11">
        <v>0.27444994449615479</v>
      </c>
      <c r="Q251" s="59">
        <v>14.127993535489434</v>
      </c>
      <c r="R251" s="78">
        <v>527.5245663243652</v>
      </c>
      <c r="S251" s="78">
        <v>14.189331408168158</v>
      </c>
      <c r="T251" s="78">
        <v>611.13965639718924</v>
      </c>
      <c r="U251" s="59">
        <v>14.193232431328427</v>
      </c>
      <c r="V251" s="78">
        <v>813.72355482533328</v>
      </c>
      <c r="X251" s="134">
        <f t="shared" si="24"/>
        <v>1412271.8289826191</v>
      </c>
      <c r="Y251" s="134">
        <f t="shared" si="25"/>
        <v>1418322.0011604186</v>
      </c>
      <c r="Z251" s="134">
        <f t="shared" si="26"/>
        <v>1418509.5195780173</v>
      </c>
      <c r="AB251" s="127">
        <f t="shared" si="27"/>
        <v>0</v>
      </c>
      <c r="AC251" s="127">
        <f t="shared" si="28"/>
        <v>0</v>
      </c>
      <c r="AD251" s="127">
        <f t="shared" si="29"/>
        <v>1</v>
      </c>
    </row>
    <row r="252" spans="1:30" x14ac:dyDescent="0.25">
      <c r="A252">
        <v>247</v>
      </c>
      <c r="C252" s="11">
        <v>2.1801799535751343E-2</v>
      </c>
      <c r="D252" s="11">
        <v>9.1005563735961914E-3</v>
      </c>
      <c r="E252" s="11">
        <v>0.28713028471961699</v>
      </c>
      <c r="F252" s="11">
        <v>0.37909051812018563</v>
      </c>
      <c r="G252" s="11">
        <v>3.3930271863937378E-2</v>
      </c>
      <c r="H252" s="40">
        <v>7.277864729028471E-4</v>
      </c>
      <c r="I252" s="40">
        <v>1.3594374193619621</v>
      </c>
      <c r="J252" s="59">
        <v>0</v>
      </c>
      <c r="K252" s="59">
        <v>4962.8340639173985</v>
      </c>
      <c r="L252" s="59">
        <v>0</v>
      </c>
      <c r="M252" s="11">
        <v>0.81852173805236816</v>
      </c>
      <c r="N252" s="11">
        <v>0.69271993637084961</v>
      </c>
      <c r="O252" s="11">
        <v>0.26242327690124512</v>
      </c>
      <c r="Q252" s="59">
        <v>14.066034934106785</v>
      </c>
      <c r="R252" s="78">
        <v>524.11247368654847</v>
      </c>
      <c r="S252" s="78">
        <v>14.120386033505232</v>
      </c>
      <c r="T252" s="78">
        <v>616.92032003597365</v>
      </c>
      <c r="U252" s="59">
        <v>14.113269441070781</v>
      </c>
      <c r="V252" s="78">
        <v>837.9685011390568</v>
      </c>
      <c r="X252" s="134">
        <f t="shared" si="24"/>
        <v>1406079.3809369921</v>
      </c>
      <c r="Y252" s="134">
        <f t="shared" si="25"/>
        <v>1411421.6830304873</v>
      </c>
      <c r="Z252" s="134">
        <f t="shared" si="26"/>
        <v>1410488.975605939</v>
      </c>
      <c r="AB252" s="127">
        <f t="shared" si="27"/>
        <v>0</v>
      </c>
      <c r="AC252" s="127">
        <f t="shared" si="28"/>
        <v>1</v>
      </c>
      <c r="AD252" s="127">
        <f t="shared" si="29"/>
        <v>0</v>
      </c>
    </row>
    <row r="253" spans="1:30" x14ac:dyDescent="0.25">
      <c r="A253">
        <v>248</v>
      </c>
      <c r="C253" s="11">
        <v>2.7793347835540771E-2</v>
      </c>
      <c r="D253" s="11">
        <v>1.6791850328445435E-2</v>
      </c>
      <c r="E253" s="11">
        <v>0.33263014901569948</v>
      </c>
      <c r="F253" s="11">
        <v>0.21364237558773475</v>
      </c>
      <c r="G253" s="11">
        <v>5.7880818843841553E-2</v>
      </c>
      <c r="H253" s="40">
        <v>3.2777091060285073E-4</v>
      </c>
      <c r="I253" s="40">
        <v>1.5265318059585113</v>
      </c>
      <c r="J253" s="59">
        <v>0</v>
      </c>
      <c r="K253" s="59">
        <v>7530.7022780179977</v>
      </c>
      <c r="L253" s="59">
        <v>0</v>
      </c>
      <c r="M253" s="11">
        <v>0.8247368335723877</v>
      </c>
      <c r="N253" s="11">
        <v>0.75462824106216431</v>
      </c>
      <c r="O253" s="11">
        <v>0.29408389329910278</v>
      </c>
      <c r="Q253" s="59">
        <v>14.116050235327833</v>
      </c>
      <c r="R253" s="78">
        <v>556.47413449288615</v>
      </c>
      <c r="S253" s="78">
        <v>14.147116857456224</v>
      </c>
      <c r="T253" s="78">
        <v>633.64478315374652</v>
      </c>
      <c r="U253" s="59">
        <v>14.15274386134698</v>
      </c>
      <c r="V253" s="78">
        <v>823.16704779245015</v>
      </c>
      <c r="X253" s="134">
        <f t="shared" si="24"/>
        <v>1411048.5493982905</v>
      </c>
      <c r="Y253" s="134">
        <f t="shared" si="25"/>
        <v>1414078.0409624688</v>
      </c>
      <c r="Z253" s="134">
        <f t="shared" si="26"/>
        <v>1414451.2190869057</v>
      </c>
      <c r="AB253" s="127">
        <f t="shared" si="27"/>
        <v>0</v>
      </c>
      <c r="AC253" s="127">
        <f t="shared" si="28"/>
        <v>0</v>
      </c>
      <c r="AD253" s="127">
        <f t="shared" si="29"/>
        <v>1</v>
      </c>
    </row>
    <row r="254" spans="1:30" x14ac:dyDescent="0.25">
      <c r="A254">
        <v>249</v>
      </c>
      <c r="C254" s="11">
        <v>6.1096251010894775E-3</v>
      </c>
      <c r="D254" s="11">
        <v>3.9653658866882324E-2</v>
      </c>
      <c r="E254" s="11">
        <v>0.17676195425675018</v>
      </c>
      <c r="F254" s="11">
        <v>0.17883188286812185</v>
      </c>
      <c r="G254" s="11">
        <v>2.3329704999923706E-2</v>
      </c>
      <c r="H254" s="40">
        <v>7.3669392392180675E-4</v>
      </c>
      <c r="I254" s="40">
        <v>1.3222460155443749</v>
      </c>
      <c r="J254" s="59">
        <v>0</v>
      </c>
      <c r="K254" s="59">
        <v>3904.7165773808956</v>
      </c>
      <c r="L254" s="59">
        <v>0</v>
      </c>
      <c r="M254" s="11">
        <v>0.87030720710754395</v>
      </c>
      <c r="N254" s="11">
        <v>0.77460110187530518</v>
      </c>
      <c r="O254" s="11">
        <v>0.30052423477172852</v>
      </c>
      <c r="Q254" s="59">
        <v>15.209196406159471</v>
      </c>
      <c r="R254" s="78">
        <v>482.63093338688708</v>
      </c>
      <c r="S254" s="78">
        <v>15.266291734708368</v>
      </c>
      <c r="T254" s="78">
        <v>594.91185865602711</v>
      </c>
      <c r="U254" s="59">
        <v>15.266145621998458</v>
      </c>
      <c r="V254" s="78">
        <v>804.0975580074346</v>
      </c>
      <c r="X254" s="134">
        <f t="shared" si="24"/>
        <v>1520437.0096825601</v>
      </c>
      <c r="Y254" s="134">
        <f t="shared" si="25"/>
        <v>1526034.2616121809</v>
      </c>
      <c r="Z254" s="134">
        <f t="shared" si="26"/>
        <v>1525810.4646418383</v>
      </c>
      <c r="AB254" s="127">
        <f t="shared" si="27"/>
        <v>0</v>
      </c>
      <c r="AC254" s="127">
        <f t="shared" si="28"/>
        <v>1</v>
      </c>
      <c r="AD254" s="127">
        <f t="shared" si="29"/>
        <v>0</v>
      </c>
    </row>
    <row r="255" spans="1:30" x14ac:dyDescent="0.25">
      <c r="A255">
        <v>250</v>
      </c>
      <c r="C255" s="11">
        <v>3.4036934375762939E-2</v>
      </c>
      <c r="D255" s="11">
        <v>7.0559829473495483E-3</v>
      </c>
      <c r="E255" s="11">
        <v>0.21526428145504864</v>
      </c>
      <c r="F255" s="11">
        <v>0.28403104164860826</v>
      </c>
      <c r="G255" s="11">
        <v>4.9493134021759033E-2</v>
      </c>
      <c r="H255" s="40">
        <v>6.1105961387813187E-4</v>
      </c>
      <c r="I255" s="40">
        <v>1.4667853476375075</v>
      </c>
      <c r="J255" s="59">
        <v>0</v>
      </c>
      <c r="K255" s="59">
        <v>4043.6466224491596</v>
      </c>
      <c r="L255" s="59">
        <v>0</v>
      </c>
      <c r="M255" s="11">
        <v>0.81989014148712158</v>
      </c>
      <c r="N255" s="11">
        <v>0.76358824968338013</v>
      </c>
      <c r="O255" s="11">
        <v>0.32885575294494629</v>
      </c>
      <c r="Q255" s="59">
        <v>13.931691339279931</v>
      </c>
      <c r="R255" s="78">
        <v>523.83684547931693</v>
      </c>
      <c r="S255" s="78">
        <v>13.976570156272407</v>
      </c>
      <c r="T255" s="78">
        <v>607.50568623323261</v>
      </c>
      <c r="U255" s="59">
        <v>13.972550549447854</v>
      </c>
      <c r="V255" s="78">
        <v>825.54647236987387</v>
      </c>
      <c r="X255" s="134">
        <f t="shared" si="24"/>
        <v>1392645.2970825138</v>
      </c>
      <c r="Y255" s="134">
        <f t="shared" si="25"/>
        <v>1397049.5099410075</v>
      </c>
      <c r="Z255" s="134">
        <f t="shared" si="26"/>
        <v>1396429.5084724156</v>
      </c>
      <c r="AB255" s="127">
        <f t="shared" si="27"/>
        <v>0</v>
      </c>
      <c r="AC255" s="127">
        <f t="shared" si="28"/>
        <v>1</v>
      </c>
      <c r="AD255" s="127">
        <f t="shared" si="29"/>
        <v>0</v>
      </c>
    </row>
    <row r="256" spans="1:30" x14ac:dyDescent="0.25">
      <c r="A256">
        <v>251</v>
      </c>
      <c r="C256" s="11">
        <v>1.6830459237098694E-2</v>
      </c>
      <c r="D256" s="11">
        <v>4.9001932144165039E-2</v>
      </c>
      <c r="E256" s="11">
        <v>0.19788693369998159</v>
      </c>
      <c r="F256" s="11">
        <v>0.2865469181725151</v>
      </c>
      <c r="G256" s="11">
        <v>6.2872529029846191E-2</v>
      </c>
      <c r="H256" s="40">
        <v>5.2991893985145381E-4</v>
      </c>
      <c r="I256" s="40">
        <v>1.467052814618272</v>
      </c>
      <c r="J256" s="59">
        <v>0</v>
      </c>
      <c r="K256" s="59">
        <v>6337.8224149346352</v>
      </c>
      <c r="L256" s="59">
        <v>0</v>
      </c>
      <c r="M256" s="11">
        <v>0.92307853698730469</v>
      </c>
      <c r="N256" s="11">
        <v>0.75581902265548706</v>
      </c>
      <c r="O256" s="11">
        <v>0.33233642578125</v>
      </c>
      <c r="Q256" s="59">
        <v>15.914832691874013</v>
      </c>
      <c r="R256" s="78">
        <v>582.56625814123811</v>
      </c>
      <c r="S256" s="78">
        <v>16.007110486179588</v>
      </c>
      <c r="T256" s="78">
        <v>616.96917386498194</v>
      </c>
      <c r="U256" s="59">
        <v>15.996728156760383</v>
      </c>
      <c r="V256" s="78">
        <v>842.8743681759538</v>
      </c>
      <c r="X256" s="134">
        <f t="shared" si="24"/>
        <v>1590900.70292926</v>
      </c>
      <c r="Y256" s="134">
        <f t="shared" si="25"/>
        <v>1600094.0794440939</v>
      </c>
      <c r="Z256" s="134">
        <f t="shared" si="26"/>
        <v>1598829.9413078625</v>
      </c>
      <c r="AB256" s="127">
        <f t="shared" si="27"/>
        <v>0</v>
      </c>
      <c r="AC256" s="127">
        <f t="shared" si="28"/>
        <v>1</v>
      </c>
      <c r="AD256" s="127">
        <f t="shared" si="29"/>
        <v>0</v>
      </c>
    </row>
    <row r="257" spans="1:30" x14ac:dyDescent="0.25">
      <c r="A257">
        <v>252</v>
      </c>
      <c r="C257" s="11">
        <v>1.4564737677574158E-2</v>
      </c>
      <c r="D257" s="11">
        <v>2.0299941301345825E-2</v>
      </c>
      <c r="E257" s="11">
        <v>0.47558489858550829</v>
      </c>
      <c r="F257" s="11">
        <v>0.18576370757547267</v>
      </c>
      <c r="G257" s="11">
        <v>7.0041775703430176E-2</v>
      </c>
      <c r="H257" s="40">
        <v>3.4463885698139213E-4</v>
      </c>
      <c r="I257" s="40">
        <v>1.4898435543592787</v>
      </c>
      <c r="J257" s="59">
        <v>0</v>
      </c>
      <c r="K257" s="59">
        <v>7193.6100721359253</v>
      </c>
      <c r="L257" s="59">
        <v>0</v>
      </c>
      <c r="M257" s="11">
        <v>0.90215229988098145</v>
      </c>
      <c r="N257" s="11">
        <v>0.76445996761322021</v>
      </c>
      <c r="O257" s="11">
        <v>0.30988502502441406</v>
      </c>
      <c r="Q257" s="59">
        <v>15.636263650685944</v>
      </c>
      <c r="R257" s="78">
        <v>550.52719705506945</v>
      </c>
      <c r="S257" s="78">
        <v>15.671037290915955</v>
      </c>
      <c r="T257" s="78">
        <v>654.03673960747642</v>
      </c>
      <c r="U257" s="59">
        <v>15.69053799438821</v>
      </c>
      <c r="V257" s="78">
        <v>817.43929776868595</v>
      </c>
      <c r="X257" s="134">
        <f t="shared" si="24"/>
        <v>1563075.8378715394</v>
      </c>
      <c r="Y257" s="134">
        <f t="shared" si="25"/>
        <v>1566449.6923519878</v>
      </c>
      <c r="Z257" s="134">
        <f t="shared" si="26"/>
        <v>1568236.3601410522</v>
      </c>
      <c r="AB257" s="127">
        <f t="shared" si="27"/>
        <v>0</v>
      </c>
      <c r="AC257" s="127">
        <f t="shared" si="28"/>
        <v>0</v>
      </c>
      <c r="AD257" s="127">
        <f t="shared" si="29"/>
        <v>1</v>
      </c>
    </row>
    <row r="258" spans="1:30" x14ac:dyDescent="0.25">
      <c r="A258">
        <v>253</v>
      </c>
      <c r="C258" s="11">
        <v>3.1569421291351318E-2</v>
      </c>
      <c r="D258" s="11">
        <v>2.368462085723877E-2</v>
      </c>
      <c r="E258" s="11">
        <v>0.51388520013269479</v>
      </c>
      <c r="F258" s="11">
        <v>0.44850364639010132</v>
      </c>
      <c r="G258" s="11">
        <v>4.013398289680481E-2</v>
      </c>
      <c r="H258" s="40">
        <v>2.895682529254824E-4</v>
      </c>
      <c r="I258" s="40">
        <v>1.4873261188666658</v>
      </c>
      <c r="J258" s="59">
        <v>0</v>
      </c>
      <c r="K258" s="59">
        <v>4892.8777687251568</v>
      </c>
      <c r="L258" s="59">
        <v>0</v>
      </c>
      <c r="M258" s="11">
        <v>0.88437533378601074</v>
      </c>
      <c r="N258" s="11">
        <v>0.77662158012390137</v>
      </c>
      <c r="O258" s="11">
        <v>0.29744699597358704</v>
      </c>
      <c r="Q258" s="59">
        <v>15.081935746059521</v>
      </c>
      <c r="R258" s="78">
        <v>470.26104586904523</v>
      </c>
      <c r="S258" s="78">
        <v>15.104191066676885</v>
      </c>
      <c r="T258" s="78">
        <v>618.4375491245338</v>
      </c>
      <c r="U258" s="59">
        <v>15.107209571818583</v>
      </c>
      <c r="V258" s="78">
        <v>822.44923748444796</v>
      </c>
      <c r="X258" s="134">
        <f t="shared" si="24"/>
        <v>1507723.3135600833</v>
      </c>
      <c r="Y258" s="134">
        <f t="shared" si="25"/>
        <v>1509800.6691185639</v>
      </c>
      <c r="Z258" s="134">
        <f t="shared" si="26"/>
        <v>1509898.5079443739</v>
      </c>
      <c r="AB258" s="127">
        <f t="shared" si="27"/>
        <v>0</v>
      </c>
      <c r="AC258" s="127">
        <f t="shared" si="28"/>
        <v>0</v>
      </c>
      <c r="AD258" s="127">
        <f t="shared" si="29"/>
        <v>1</v>
      </c>
    </row>
    <row r="259" spans="1:30" x14ac:dyDescent="0.25">
      <c r="A259">
        <v>254</v>
      </c>
      <c r="C259" s="11">
        <v>2.870708703994751E-3</v>
      </c>
      <c r="D259" s="11">
        <v>2.5477707386016846E-2</v>
      </c>
      <c r="E259" s="11">
        <v>0.18318372691716045</v>
      </c>
      <c r="F259" s="11">
        <v>0.10426881062770883</v>
      </c>
      <c r="G259" s="11">
        <v>2.6899486780166626E-2</v>
      </c>
      <c r="H259" s="40">
        <v>4.9316587005622211E-4</v>
      </c>
      <c r="I259" s="40">
        <v>1.396842939131113</v>
      </c>
      <c r="J259" s="59">
        <v>0</v>
      </c>
      <c r="K259" s="59">
        <v>7995.6557601690292</v>
      </c>
      <c r="L259" s="59">
        <v>0</v>
      </c>
      <c r="M259" s="11">
        <v>0.81673812866210938</v>
      </c>
      <c r="N259" s="11">
        <v>0.77637308835983276</v>
      </c>
      <c r="O259" s="11">
        <v>0.31625974178314209</v>
      </c>
      <c r="Q259" s="59">
        <v>14.347819910002558</v>
      </c>
      <c r="R259" s="78">
        <v>549.637153818809</v>
      </c>
      <c r="S259" s="78">
        <v>14.378163908754972</v>
      </c>
      <c r="T259" s="78">
        <v>607.89316653364483</v>
      </c>
      <c r="U259" s="59">
        <v>14.381147220031995</v>
      </c>
      <c r="V259" s="78">
        <v>804.46743417086441</v>
      </c>
      <c r="X259" s="134">
        <f t="shared" si="24"/>
        <v>1434232.3538464371</v>
      </c>
      <c r="Y259" s="134">
        <f t="shared" si="25"/>
        <v>1437208.4977089635</v>
      </c>
      <c r="Z259" s="134">
        <f t="shared" si="26"/>
        <v>1437310.2545690285</v>
      </c>
      <c r="AB259" s="127">
        <f t="shared" si="27"/>
        <v>0</v>
      </c>
      <c r="AC259" s="127">
        <f t="shared" si="28"/>
        <v>0</v>
      </c>
      <c r="AD259" s="127">
        <f t="shared" si="29"/>
        <v>1</v>
      </c>
    </row>
    <row r="260" spans="1:30" x14ac:dyDescent="0.25">
      <c r="A260">
        <v>255</v>
      </c>
      <c r="C260" s="11">
        <v>4.336237907409668E-3</v>
      </c>
      <c r="D260" s="11">
        <v>3.0297666788101196E-2</v>
      </c>
      <c r="E260" s="11">
        <v>0.12674845545583388</v>
      </c>
      <c r="F260" s="11">
        <v>0.10092107480825618</v>
      </c>
      <c r="G260" s="11">
        <v>3.689517080783844E-2</v>
      </c>
      <c r="H260" s="40">
        <v>6.2725129581760143E-4</v>
      </c>
      <c r="I260" s="40">
        <v>1.3859864322710425</v>
      </c>
      <c r="J260" s="59">
        <v>0</v>
      </c>
      <c r="K260" s="59">
        <v>3307.9413697123528</v>
      </c>
      <c r="L260" s="59">
        <v>0</v>
      </c>
      <c r="M260" s="11">
        <v>0.83875811100006104</v>
      </c>
      <c r="N260" s="11">
        <v>0.74094116687774658</v>
      </c>
      <c r="O260" s="11">
        <v>0.29008615016937256</v>
      </c>
      <c r="Q260" s="59">
        <v>14.68032002607892</v>
      </c>
      <c r="R260" s="78">
        <v>477.19791701196908</v>
      </c>
      <c r="S260" s="78">
        <v>14.74205761036972</v>
      </c>
      <c r="T260" s="78">
        <v>589.72884676075387</v>
      </c>
      <c r="U260" s="59">
        <v>14.743921464331217</v>
      </c>
      <c r="V260" s="78">
        <v>796.54703798334924</v>
      </c>
      <c r="X260" s="134">
        <f t="shared" si="24"/>
        <v>1467554.80469088</v>
      </c>
      <c r="Y260" s="134">
        <f t="shared" si="25"/>
        <v>1473616.0321902114</v>
      </c>
      <c r="Z260" s="134">
        <f t="shared" si="26"/>
        <v>1473595.5993951384</v>
      </c>
      <c r="AB260" s="127">
        <f t="shared" si="27"/>
        <v>0</v>
      </c>
      <c r="AC260" s="127">
        <f t="shared" si="28"/>
        <v>1</v>
      </c>
      <c r="AD260" s="127">
        <f t="shared" si="29"/>
        <v>0</v>
      </c>
    </row>
    <row r="261" spans="1:30" x14ac:dyDescent="0.25">
      <c r="A261">
        <v>256</v>
      </c>
      <c r="C261" s="11">
        <v>2.3856118321418762E-2</v>
      </c>
      <c r="D261" s="11">
        <v>7.9383552074432373E-3</v>
      </c>
      <c r="E261" s="11">
        <v>0.25360749662426946</v>
      </c>
      <c r="F261" s="11">
        <v>0.60600984470306685</v>
      </c>
      <c r="G261" s="11">
        <v>2.9456466436386108E-2</v>
      </c>
      <c r="H261" s="40">
        <v>3.8598226522725991E-4</v>
      </c>
      <c r="I261" s="40">
        <v>1.571579143104447</v>
      </c>
      <c r="J261" s="59">
        <v>0</v>
      </c>
      <c r="K261" s="59">
        <v>4111.0510937869549</v>
      </c>
      <c r="L261" s="59">
        <v>0</v>
      </c>
      <c r="M261" s="11">
        <v>0.86359333992004395</v>
      </c>
      <c r="N261" s="11">
        <v>0.78379297256469727</v>
      </c>
      <c r="O261" s="11">
        <v>0.34684789180755615</v>
      </c>
      <c r="Q261" s="59">
        <v>14.832493487793124</v>
      </c>
      <c r="R261" s="78">
        <v>497.65529321248169</v>
      </c>
      <c r="S261" s="78">
        <v>14.875289458024225</v>
      </c>
      <c r="T261" s="78">
        <v>605.7515099875958</v>
      </c>
      <c r="U261" s="59">
        <v>14.854861359184317</v>
      </c>
      <c r="V261" s="78">
        <v>851.39646357795129</v>
      </c>
      <c r="X261" s="134">
        <f t="shared" si="24"/>
        <v>1482751.6934860998</v>
      </c>
      <c r="Y261" s="134">
        <f t="shared" si="25"/>
        <v>1486923.194292435</v>
      </c>
      <c r="Z261" s="134">
        <f t="shared" si="26"/>
        <v>1484634.7394548538</v>
      </c>
      <c r="AB261" s="127">
        <f t="shared" si="27"/>
        <v>0</v>
      </c>
      <c r="AC261" s="127">
        <f t="shared" si="28"/>
        <v>1</v>
      </c>
      <c r="AD261" s="127">
        <f t="shared" si="29"/>
        <v>0</v>
      </c>
    </row>
    <row r="262" spans="1:30" x14ac:dyDescent="0.25">
      <c r="A262">
        <v>257</v>
      </c>
      <c r="C262" s="11">
        <v>1.3507857918739319E-2</v>
      </c>
      <c r="D262" s="11">
        <v>1.1566787958145142E-2</v>
      </c>
      <c r="E262" s="11">
        <v>0.26654718214848694</v>
      </c>
      <c r="F262" s="11">
        <v>0.19912473819157209</v>
      </c>
      <c r="G262" s="11">
        <v>6.4576923847198486E-2</v>
      </c>
      <c r="H262" s="40">
        <v>4.8036956883287948E-4</v>
      </c>
      <c r="I262" s="40">
        <v>1.4481047415008066</v>
      </c>
      <c r="J262" s="59">
        <v>0</v>
      </c>
      <c r="K262" s="59">
        <v>4049.4906716048717</v>
      </c>
      <c r="L262" s="59">
        <v>0</v>
      </c>
      <c r="M262" s="11">
        <v>0.81319069862365723</v>
      </c>
      <c r="N262" s="11">
        <v>0.78555804491043091</v>
      </c>
      <c r="O262" s="11">
        <v>0.32164883613586426</v>
      </c>
      <c r="Q262" s="59">
        <v>14.130792303005171</v>
      </c>
      <c r="R262" s="78">
        <v>500.43561958581915</v>
      </c>
      <c r="S262" s="78">
        <v>14.159250380574161</v>
      </c>
      <c r="T262" s="78">
        <v>607.75410138905056</v>
      </c>
      <c r="U262" s="59">
        <v>14.161914766975173</v>
      </c>
      <c r="V262" s="78">
        <v>809.5075582462631</v>
      </c>
      <c r="X262" s="134">
        <f t="shared" si="24"/>
        <v>1412578.7946809311</v>
      </c>
      <c r="Y262" s="134">
        <f t="shared" si="25"/>
        <v>1415317.2839560269</v>
      </c>
      <c r="Z262" s="134">
        <f t="shared" si="26"/>
        <v>1415381.969139271</v>
      </c>
      <c r="AB262" s="127">
        <f t="shared" si="27"/>
        <v>0</v>
      </c>
      <c r="AC262" s="127">
        <f t="shared" si="28"/>
        <v>0</v>
      </c>
      <c r="AD262" s="127">
        <f t="shared" si="29"/>
        <v>1</v>
      </c>
    </row>
    <row r="263" spans="1:30" x14ac:dyDescent="0.25">
      <c r="A263">
        <v>258</v>
      </c>
      <c r="C263" s="11">
        <v>1.6733750700950623E-2</v>
      </c>
      <c r="D263" s="11">
        <v>2.3157298564910889E-2</v>
      </c>
      <c r="E263" s="11">
        <v>0.23161988567812844</v>
      </c>
      <c r="F263" s="11">
        <v>0.21302293120340124</v>
      </c>
      <c r="G263" s="11">
        <v>3.4473270177841187E-2</v>
      </c>
      <c r="H263" s="40">
        <v>3.236332953874088E-4</v>
      </c>
      <c r="I263" s="40">
        <v>1.5894758748261246</v>
      </c>
      <c r="J263" s="59">
        <v>0</v>
      </c>
      <c r="K263" s="59">
        <v>6658.8073968887329</v>
      </c>
      <c r="L263" s="59">
        <v>0</v>
      </c>
      <c r="M263" s="11">
        <v>0.85061550140380859</v>
      </c>
      <c r="N263" s="11">
        <v>0.79183864593505859</v>
      </c>
      <c r="O263" s="11">
        <v>0.37193965911865234</v>
      </c>
      <c r="Q263" s="59">
        <v>14.724506111983681</v>
      </c>
      <c r="R263" s="78">
        <v>547.4064823941402</v>
      </c>
      <c r="S263" s="78">
        <v>14.76192483118716</v>
      </c>
      <c r="T263" s="78">
        <v>615.10604176220977</v>
      </c>
      <c r="U263" s="59">
        <v>14.762848429367709</v>
      </c>
      <c r="V263" s="78">
        <v>821.22003885255708</v>
      </c>
      <c r="X263" s="134">
        <f t="shared" si="24"/>
        <v>1471903.2047159739</v>
      </c>
      <c r="Y263" s="134">
        <f t="shared" si="25"/>
        <v>1475577.3770769539</v>
      </c>
      <c r="Z263" s="134">
        <f t="shared" si="26"/>
        <v>1475463.6228979183</v>
      </c>
      <c r="AB263" s="127">
        <f t="shared" si="27"/>
        <v>0</v>
      </c>
      <c r="AC263" s="127">
        <f t="shared" si="28"/>
        <v>1</v>
      </c>
      <c r="AD263" s="127">
        <f t="shared" si="29"/>
        <v>0</v>
      </c>
    </row>
    <row r="264" spans="1:30" x14ac:dyDescent="0.25">
      <c r="A264">
        <v>259</v>
      </c>
      <c r="C264" s="11">
        <v>2.4816662073135376E-2</v>
      </c>
      <c r="D264" s="11">
        <v>8.7648779153823853E-3</v>
      </c>
      <c r="E264" s="11">
        <v>0.17057562162865844</v>
      </c>
      <c r="F264" s="11">
        <v>0.13943547610928245</v>
      </c>
      <c r="G264" s="11">
        <v>5.3904831409454346E-2</v>
      </c>
      <c r="H264" s="40">
        <v>6.1106947238618594E-4</v>
      </c>
      <c r="I264" s="40">
        <v>1.4743398116785964</v>
      </c>
      <c r="J264" s="59">
        <v>0</v>
      </c>
      <c r="K264" s="59">
        <v>4659.6350148320198</v>
      </c>
      <c r="L264" s="59">
        <v>0</v>
      </c>
      <c r="M264" s="11">
        <v>0.86469510197639465</v>
      </c>
      <c r="N264" s="11">
        <v>0.79594302177429199</v>
      </c>
      <c r="O264" s="11">
        <v>0.28350555896759033</v>
      </c>
      <c r="Q264" s="59">
        <v>14.822034886737447</v>
      </c>
      <c r="R264" s="78">
        <v>551.49313142317681</v>
      </c>
      <c r="S264" s="78">
        <v>14.881871908807895</v>
      </c>
      <c r="T264" s="78">
        <v>606.44333625342563</v>
      </c>
      <c r="U264" s="59">
        <v>14.88417971230232</v>
      </c>
      <c r="V264" s="78">
        <v>810.45144198893934</v>
      </c>
      <c r="X264" s="134">
        <f t="shared" si="24"/>
        <v>1481651.9955423216</v>
      </c>
      <c r="Y264" s="134">
        <f t="shared" si="25"/>
        <v>1487580.7475445359</v>
      </c>
      <c r="Z264" s="134">
        <f t="shared" si="26"/>
        <v>1487607.5197882429</v>
      </c>
      <c r="AB264" s="127">
        <f t="shared" si="27"/>
        <v>0</v>
      </c>
      <c r="AC264" s="127">
        <f t="shared" si="28"/>
        <v>0</v>
      </c>
      <c r="AD264" s="127">
        <f t="shared" si="29"/>
        <v>1</v>
      </c>
    </row>
    <row r="265" spans="1:30" x14ac:dyDescent="0.25">
      <c r="A265">
        <v>260</v>
      </c>
      <c r="C265" s="11">
        <v>5.4466724395751953E-2</v>
      </c>
      <c r="D265" s="11">
        <v>2.1977096796035767E-2</v>
      </c>
      <c r="E265" s="11">
        <v>0.1188699954891017</v>
      </c>
      <c r="F265" s="11">
        <v>0.42940254090728369</v>
      </c>
      <c r="G265" s="11">
        <v>2.1937072277069092E-2</v>
      </c>
      <c r="H265" s="40">
        <v>3.9932933671566861E-4</v>
      </c>
      <c r="I265" s="40">
        <v>1.4982053657973895</v>
      </c>
      <c r="J265" s="59">
        <v>0</v>
      </c>
      <c r="K265" s="59">
        <v>7530.897855758667</v>
      </c>
      <c r="L265" s="59">
        <v>0</v>
      </c>
      <c r="M265" s="11">
        <v>0.83857321739196777</v>
      </c>
      <c r="N265" s="11">
        <v>0.75256609916687012</v>
      </c>
      <c r="O265" s="11">
        <v>0.32575887441635132</v>
      </c>
      <c r="Q265" s="59">
        <v>13.954572952847638</v>
      </c>
      <c r="R265" s="78">
        <v>541.21714546387182</v>
      </c>
      <c r="S265" s="78">
        <v>13.999267147698998</v>
      </c>
      <c r="T265" s="78">
        <v>596.79464178643229</v>
      </c>
      <c r="U265" s="59">
        <v>13.983317122625261</v>
      </c>
      <c r="V265" s="78">
        <v>851.90156009371776</v>
      </c>
      <c r="X265" s="134">
        <f t="shared" si="24"/>
        <v>1394916.0781392998</v>
      </c>
      <c r="Y265" s="134">
        <f t="shared" si="25"/>
        <v>1399329.9201281134</v>
      </c>
      <c r="Z265" s="134">
        <f t="shared" si="26"/>
        <v>1397479.8107024324</v>
      </c>
      <c r="AB265" s="127">
        <f t="shared" si="27"/>
        <v>0</v>
      </c>
      <c r="AC265" s="127">
        <f t="shared" si="28"/>
        <v>1</v>
      </c>
      <c r="AD265" s="127">
        <f t="shared" si="29"/>
        <v>0</v>
      </c>
    </row>
    <row r="266" spans="1:30" x14ac:dyDescent="0.25">
      <c r="A266">
        <v>261</v>
      </c>
      <c r="C266" s="11">
        <v>8.046954870223999E-3</v>
      </c>
      <c r="D266" s="11">
        <v>1.9766673445701599E-2</v>
      </c>
      <c r="E266" s="11">
        <v>0.35739664022599299</v>
      </c>
      <c r="F266" s="11">
        <v>0.15632800240886208</v>
      </c>
      <c r="G266" s="11">
        <v>8.1563949584960938E-2</v>
      </c>
      <c r="H266" s="40">
        <v>4.2961556082577953E-4</v>
      </c>
      <c r="I266" s="40">
        <v>1.432608920047888</v>
      </c>
      <c r="J266" s="59">
        <v>0</v>
      </c>
      <c r="K266" s="59">
        <v>4468.1527651846409</v>
      </c>
      <c r="L266" s="59">
        <v>0</v>
      </c>
      <c r="M266" s="11">
        <v>0.82834738492965698</v>
      </c>
      <c r="N266" s="11">
        <v>0.76107746362686157</v>
      </c>
      <c r="O266" s="11">
        <v>0.26640599966049194</v>
      </c>
      <c r="Q266" s="59">
        <v>14.461771280218029</v>
      </c>
      <c r="R266" s="78">
        <v>502.14894305779308</v>
      </c>
      <c r="S266" s="78">
        <v>14.49500627092325</v>
      </c>
      <c r="T266" s="78">
        <v>618.03572138221898</v>
      </c>
      <c r="U266" s="59">
        <v>14.505570284330201</v>
      </c>
      <c r="V266" s="78">
        <v>805.12767180044841</v>
      </c>
      <c r="X266" s="134">
        <f t="shared" si="24"/>
        <v>1445674.9790787452</v>
      </c>
      <c r="Y266" s="134">
        <f t="shared" si="25"/>
        <v>1448882.5913709428</v>
      </c>
      <c r="Z266" s="134">
        <f t="shared" si="26"/>
        <v>1449751.9007612194</v>
      </c>
      <c r="AB266" s="127">
        <f t="shared" si="27"/>
        <v>0</v>
      </c>
      <c r="AC266" s="127">
        <f t="shared" si="28"/>
        <v>0</v>
      </c>
      <c r="AD266" s="127">
        <f t="shared" si="29"/>
        <v>1</v>
      </c>
    </row>
    <row r="267" spans="1:30" x14ac:dyDescent="0.25">
      <c r="A267">
        <v>262</v>
      </c>
      <c r="C267" s="11">
        <v>2.2649466991424561E-3</v>
      </c>
      <c r="D267" s="11">
        <v>2.378004789352417E-2</v>
      </c>
      <c r="E267" s="11">
        <v>0.22077979018873653</v>
      </c>
      <c r="F267" s="11">
        <v>0.201431834821378</v>
      </c>
      <c r="G267" s="11">
        <v>3.9914399385452271E-2</v>
      </c>
      <c r="H267" s="40">
        <v>5.3906449957217726E-4</v>
      </c>
      <c r="I267" s="40">
        <v>1.451315793220469</v>
      </c>
      <c r="J267" s="59">
        <v>0</v>
      </c>
      <c r="K267" s="59">
        <v>5435.5082102119923</v>
      </c>
      <c r="L267" s="59">
        <v>0</v>
      </c>
      <c r="M267" s="11">
        <v>0.8901752233505249</v>
      </c>
      <c r="N267" s="11">
        <v>0.78937864303588867</v>
      </c>
      <c r="O267" s="11">
        <v>0.28336888551712036</v>
      </c>
      <c r="Q267" s="59">
        <v>15.610793766657345</v>
      </c>
      <c r="R267" s="78">
        <v>538.82328350973773</v>
      </c>
      <c r="S267" s="78">
        <v>15.670671700167757</v>
      </c>
      <c r="T267" s="78">
        <v>611.50787147436893</v>
      </c>
      <c r="U267" s="59">
        <v>15.672188338927359</v>
      </c>
      <c r="V267" s="78">
        <v>817.67134169430551</v>
      </c>
      <c r="X267" s="134">
        <f t="shared" si="24"/>
        <v>1560540.5533822246</v>
      </c>
      <c r="Y267" s="134">
        <f t="shared" si="25"/>
        <v>1566455.6621453012</v>
      </c>
      <c r="Z267" s="134">
        <f t="shared" si="26"/>
        <v>1566401.1625510417</v>
      </c>
      <c r="AB267" s="127">
        <f t="shared" si="27"/>
        <v>0</v>
      </c>
      <c r="AC267" s="127">
        <f t="shared" si="28"/>
        <v>1</v>
      </c>
      <c r="AD267" s="127">
        <f t="shared" si="29"/>
        <v>0</v>
      </c>
    </row>
    <row r="268" spans="1:30" x14ac:dyDescent="0.25">
      <c r="A268">
        <v>263</v>
      </c>
      <c r="C268" s="11">
        <v>6.4818859100341797E-3</v>
      </c>
      <c r="D268" s="11">
        <v>2.1512776613235474E-2</v>
      </c>
      <c r="E268" s="11">
        <v>0.45944525175749773</v>
      </c>
      <c r="F268" s="11">
        <v>0.16598681843006935</v>
      </c>
      <c r="G268" s="11">
        <v>1.9754588603973389E-2</v>
      </c>
      <c r="H268" s="40">
        <v>3.6955989727398703E-4</v>
      </c>
      <c r="I268" s="40">
        <v>1.4028087536884268</v>
      </c>
      <c r="J268" s="59">
        <v>0</v>
      </c>
      <c r="K268" s="59">
        <v>3907.9366251826286</v>
      </c>
      <c r="L268" s="59">
        <v>0</v>
      </c>
      <c r="M268" s="11">
        <v>0.85592418909072876</v>
      </c>
      <c r="N268" s="11">
        <v>0.75037497282028198</v>
      </c>
      <c r="O268" s="11">
        <v>0.26150846481323242</v>
      </c>
      <c r="Q268" s="59">
        <v>14.977288153659737</v>
      </c>
      <c r="R268" s="78">
        <v>449.71922389255155</v>
      </c>
      <c r="S268" s="78">
        <v>15.000590301338622</v>
      </c>
      <c r="T268" s="78">
        <v>604.77503136929363</v>
      </c>
      <c r="U268" s="59">
        <v>15.013394809280632</v>
      </c>
      <c r="V268" s="78">
        <v>797.34658917791603</v>
      </c>
      <c r="X268" s="134">
        <f t="shared" si="24"/>
        <v>1497279.0961420811</v>
      </c>
      <c r="Y268" s="134">
        <f t="shared" si="25"/>
        <v>1499454.2551024931</v>
      </c>
      <c r="Z268" s="134">
        <f t="shared" si="26"/>
        <v>1500542.1343388853</v>
      </c>
      <c r="AB268" s="127">
        <f t="shared" si="27"/>
        <v>0</v>
      </c>
      <c r="AC268" s="127">
        <f t="shared" si="28"/>
        <v>0</v>
      </c>
      <c r="AD268" s="127">
        <f t="shared" si="29"/>
        <v>1</v>
      </c>
    </row>
    <row r="269" spans="1:30" x14ac:dyDescent="0.25">
      <c r="A269">
        <v>264</v>
      </c>
      <c r="C269" s="11">
        <v>4.7373771667480469E-2</v>
      </c>
      <c r="D269" s="11">
        <v>9.8162293434143066E-3</v>
      </c>
      <c r="E269" s="11">
        <v>0.16037771904535728</v>
      </c>
      <c r="F269" s="11">
        <v>0.11204665434319397</v>
      </c>
      <c r="G269" s="11">
        <v>7.4107885360717773E-2</v>
      </c>
      <c r="H269" s="40">
        <v>3.7706085295727097E-4</v>
      </c>
      <c r="I269" s="40">
        <v>1.4708876929833772</v>
      </c>
      <c r="J269" s="59">
        <v>0</v>
      </c>
      <c r="K269" s="59">
        <v>6100.896280258894</v>
      </c>
      <c r="L269" s="59">
        <v>0</v>
      </c>
      <c r="M269" s="11">
        <v>0.88775324821472168</v>
      </c>
      <c r="N269" s="11">
        <v>0.70891046524047852</v>
      </c>
      <c r="O269" s="11">
        <v>0.27829393744468689</v>
      </c>
      <c r="Q269" s="59">
        <v>14.863193194523532</v>
      </c>
      <c r="R269" s="78">
        <v>529.71187667473498</v>
      </c>
      <c r="S269" s="78">
        <v>14.925847306232049</v>
      </c>
      <c r="T269" s="78">
        <v>601.05038558958222</v>
      </c>
      <c r="U269" s="59">
        <v>14.929512709858457</v>
      </c>
      <c r="V269" s="78">
        <v>803.41695240785782</v>
      </c>
      <c r="X269" s="134">
        <f t="shared" si="24"/>
        <v>1485789.6075756785</v>
      </c>
      <c r="Y269" s="134">
        <f t="shared" si="25"/>
        <v>1491983.6802376155</v>
      </c>
      <c r="Z269" s="134">
        <f t="shared" si="26"/>
        <v>1492147.8540334378</v>
      </c>
      <c r="AB269" s="127">
        <f t="shared" si="27"/>
        <v>0</v>
      </c>
      <c r="AC269" s="127">
        <f t="shared" si="28"/>
        <v>0</v>
      </c>
      <c r="AD269" s="127">
        <f t="shared" si="29"/>
        <v>1</v>
      </c>
    </row>
    <row r="270" spans="1:30" x14ac:dyDescent="0.25">
      <c r="A270">
        <v>265</v>
      </c>
      <c r="C270" s="11">
        <v>1.7483741044998169E-2</v>
      </c>
      <c r="D270" s="11">
        <v>1.1788249015808105E-2</v>
      </c>
      <c r="E270" s="11">
        <v>0.21607609463320526</v>
      </c>
      <c r="F270" s="11">
        <v>8.7519542579152579E-2</v>
      </c>
      <c r="G270" s="11">
        <v>5.0544142723083496E-2</v>
      </c>
      <c r="H270" s="40">
        <v>4.164995085164011E-4</v>
      </c>
      <c r="I270" s="40">
        <v>1.4793863388119379</v>
      </c>
      <c r="J270" s="59">
        <v>0</v>
      </c>
      <c r="K270" s="59">
        <v>3305.9623092412949</v>
      </c>
      <c r="L270" s="59">
        <v>0</v>
      </c>
      <c r="M270" s="11">
        <v>0.85567593574523926</v>
      </c>
      <c r="N270" s="11">
        <v>0.73067426681518555</v>
      </c>
      <c r="O270" s="11">
        <v>0.27434819936752319</v>
      </c>
      <c r="Q270" s="59">
        <v>14.782263896781496</v>
      </c>
      <c r="R270" s="78">
        <v>471.17358376410795</v>
      </c>
      <c r="S270" s="78">
        <v>14.835154083292945</v>
      </c>
      <c r="T270" s="78">
        <v>595.91172118448151</v>
      </c>
      <c r="U270" s="59">
        <v>14.84399649686859</v>
      </c>
      <c r="V270" s="78">
        <v>794.86587339392327</v>
      </c>
      <c r="X270" s="134">
        <f t="shared" si="24"/>
        <v>1477755.2160943854</v>
      </c>
      <c r="Y270" s="134">
        <f t="shared" si="25"/>
        <v>1482919.4966081101</v>
      </c>
      <c r="Z270" s="134">
        <f t="shared" si="26"/>
        <v>1483604.7838134652</v>
      </c>
      <c r="AB270" s="127">
        <f t="shared" si="27"/>
        <v>0</v>
      </c>
      <c r="AC270" s="127">
        <f t="shared" si="28"/>
        <v>0</v>
      </c>
      <c r="AD270" s="127">
        <f t="shared" si="29"/>
        <v>1</v>
      </c>
    </row>
    <row r="271" spans="1:30" x14ac:dyDescent="0.25">
      <c r="A271">
        <v>266</v>
      </c>
      <c r="C271" s="11">
        <v>1.3549461960792542E-2</v>
      </c>
      <c r="D271" s="11">
        <v>6.3331276178359985E-3</v>
      </c>
      <c r="E271" s="11">
        <v>0.36745397721730355</v>
      </c>
      <c r="F271" s="11">
        <v>0.13379181788278441</v>
      </c>
      <c r="G271" s="11">
        <v>3.6584526300430298E-2</v>
      </c>
      <c r="H271" s="40">
        <v>6.3367231875753659E-4</v>
      </c>
      <c r="I271" s="40">
        <v>1.3754337616214629</v>
      </c>
      <c r="J271" s="59">
        <v>0</v>
      </c>
      <c r="K271" s="59">
        <v>5208.4843628108501</v>
      </c>
      <c r="L271" s="59">
        <v>0</v>
      </c>
      <c r="M271" s="11">
        <v>0.8727995753288269</v>
      </c>
      <c r="N271" s="11">
        <v>0.73501384258270264</v>
      </c>
      <c r="O271" s="11">
        <v>0.34142553806304932</v>
      </c>
      <c r="Q271" s="59">
        <v>15.134484331264341</v>
      </c>
      <c r="R271" s="78">
        <v>521.76014273600265</v>
      </c>
      <c r="S271" s="78">
        <v>15.180529463774377</v>
      </c>
      <c r="T271" s="78">
        <v>626.51964850463037</v>
      </c>
      <c r="U271" s="59">
        <v>15.19786633141694</v>
      </c>
      <c r="V271" s="78">
        <v>805.38048144642255</v>
      </c>
      <c r="X271" s="134">
        <f t="shared" si="24"/>
        <v>1512926.6729836981</v>
      </c>
      <c r="Y271" s="134">
        <f t="shared" si="25"/>
        <v>1517426.4267289331</v>
      </c>
      <c r="Z271" s="134">
        <f t="shared" si="26"/>
        <v>1518981.2526602475</v>
      </c>
      <c r="AB271" s="127">
        <f t="shared" si="27"/>
        <v>0</v>
      </c>
      <c r="AC271" s="127">
        <f t="shared" si="28"/>
        <v>0</v>
      </c>
      <c r="AD271" s="127">
        <f t="shared" si="29"/>
        <v>1</v>
      </c>
    </row>
    <row r="272" spans="1:30" x14ac:dyDescent="0.25">
      <c r="A272">
        <v>267</v>
      </c>
      <c r="C272" s="11">
        <v>1.7716050148010254E-2</v>
      </c>
      <c r="D272" s="11">
        <v>8.0561637878417969E-3</v>
      </c>
      <c r="E272" s="11">
        <v>0.33098197524596473</v>
      </c>
      <c r="F272" s="11">
        <v>0.17217734323651399</v>
      </c>
      <c r="G272" s="11">
        <v>3.8612455129623413E-2</v>
      </c>
      <c r="H272" s="40">
        <v>3.8267790071822846E-4</v>
      </c>
      <c r="I272" s="40">
        <v>1.5461335432546786</v>
      </c>
      <c r="J272" s="59">
        <v>0</v>
      </c>
      <c r="K272" s="59">
        <v>5803.5226538777351</v>
      </c>
      <c r="L272" s="59">
        <v>0</v>
      </c>
      <c r="M272" s="11">
        <v>0.89085876941680908</v>
      </c>
      <c r="N272" s="11">
        <v>0.79422199726104736</v>
      </c>
      <c r="O272" s="11">
        <v>0.31136810779571533</v>
      </c>
      <c r="Q272" s="59">
        <v>15.393382201364545</v>
      </c>
      <c r="R272" s="78">
        <v>536.46882233842246</v>
      </c>
      <c r="S272" s="78">
        <v>15.43557302135717</v>
      </c>
      <c r="T272" s="78">
        <v>626.82294163504389</v>
      </c>
      <c r="U272" s="59">
        <v>15.445798217931227</v>
      </c>
      <c r="V272" s="78">
        <v>812.96147779256796</v>
      </c>
      <c r="X272" s="134">
        <f t="shared" si="24"/>
        <v>1538801.7513141162</v>
      </c>
      <c r="Y272" s="134">
        <f t="shared" si="25"/>
        <v>1542930.4791940819</v>
      </c>
      <c r="Z272" s="134">
        <f t="shared" si="26"/>
        <v>1543766.8603153301</v>
      </c>
      <c r="AB272" s="127">
        <f t="shared" si="27"/>
        <v>0</v>
      </c>
      <c r="AC272" s="127">
        <f t="shared" si="28"/>
        <v>0</v>
      </c>
      <c r="AD272" s="127">
        <f t="shared" si="29"/>
        <v>1</v>
      </c>
    </row>
    <row r="273" spans="1:30" x14ac:dyDescent="0.25">
      <c r="A273">
        <v>268</v>
      </c>
      <c r="C273" s="11">
        <v>1.3228490948677063E-2</v>
      </c>
      <c r="D273" s="11">
        <v>4.6806186437606812E-3</v>
      </c>
      <c r="E273" s="11">
        <v>0.25325318816714226</v>
      </c>
      <c r="F273" s="11">
        <v>0.13818969119972438</v>
      </c>
      <c r="G273" s="11">
        <v>3.6632269620895386E-2</v>
      </c>
      <c r="H273" s="40">
        <v>3.24509883515387E-4</v>
      </c>
      <c r="I273" s="40">
        <v>1.5493199068680705</v>
      </c>
      <c r="J273" s="59">
        <v>0</v>
      </c>
      <c r="K273" s="59">
        <v>6246.3432550430298</v>
      </c>
      <c r="L273" s="59">
        <v>0</v>
      </c>
      <c r="M273" s="11">
        <v>0.7976081371307373</v>
      </c>
      <c r="N273" s="11">
        <v>0.75491458177566528</v>
      </c>
      <c r="O273" s="11">
        <v>0.29399752616882324</v>
      </c>
      <c r="Q273" s="59">
        <v>13.86739038235204</v>
      </c>
      <c r="R273" s="78">
        <v>525.01484453833734</v>
      </c>
      <c r="S273" s="78">
        <v>13.893266489140272</v>
      </c>
      <c r="T273" s="78">
        <v>612.63190237482877</v>
      </c>
      <c r="U273" s="59">
        <v>13.897331804709752</v>
      </c>
      <c r="V273" s="78">
        <v>806.39009657313579</v>
      </c>
      <c r="X273" s="134">
        <f t="shared" si="24"/>
        <v>1386214.0233906657</v>
      </c>
      <c r="Y273" s="134">
        <f t="shared" si="25"/>
        <v>1388714.0170116525</v>
      </c>
      <c r="Z273" s="134">
        <f t="shared" si="26"/>
        <v>1388926.7903744022</v>
      </c>
      <c r="AB273" s="127">
        <f t="shared" si="27"/>
        <v>0</v>
      </c>
      <c r="AC273" s="127">
        <f t="shared" si="28"/>
        <v>0</v>
      </c>
      <c r="AD273" s="127">
        <f t="shared" si="29"/>
        <v>1</v>
      </c>
    </row>
    <row r="274" spans="1:30" x14ac:dyDescent="0.25">
      <c r="A274">
        <v>269</v>
      </c>
      <c r="C274" s="11">
        <v>1.8129438161849976E-2</v>
      </c>
      <c r="D274" s="11">
        <v>3.3030390739440918E-2</v>
      </c>
      <c r="E274" s="11">
        <v>0.25798989243337461</v>
      </c>
      <c r="F274" s="11">
        <v>0.14115470603968094</v>
      </c>
      <c r="G274" s="11">
        <v>4.0798068046569824E-2</v>
      </c>
      <c r="H274" s="40">
        <v>3.6813704434123315E-4</v>
      </c>
      <c r="I274" s="40">
        <v>1.5557655551234471</v>
      </c>
      <c r="J274" s="59">
        <v>0</v>
      </c>
      <c r="K274" s="59">
        <v>6616.7721524834633</v>
      </c>
      <c r="L274" s="59">
        <v>0</v>
      </c>
      <c r="M274" s="11">
        <v>0.87642967700958252</v>
      </c>
      <c r="N274" s="11">
        <v>0.73777800798416138</v>
      </c>
      <c r="O274" s="11">
        <v>0.28618866205215454</v>
      </c>
      <c r="Q274" s="59">
        <v>15.114633820256682</v>
      </c>
      <c r="R274" s="78">
        <v>555.39330399535527</v>
      </c>
      <c r="S274" s="78">
        <v>15.177741911424652</v>
      </c>
      <c r="T274" s="78">
        <v>621.28962718926118</v>
      </c>
      <c r="U274" s="59">
        <v>15.187888146755132</v>
      </c>
      <c r="V274" s="78">
        <v>811.19516343385385</v>
      </c>
      <c r="X274" s="134">
        <f t="shared" si="24"/>
        <v>1510907.9887216729</v>
      </c>
      <c r="Y274" s="134">
        <f t="shared" si="25"/>
        <v>1517152.9015152759</v>
      </c>
      <c r="Z274" s="134">
        <f t="shared" si="26"/>
        <v>1517977.6195120793</v>
      </c>
      <c r="AB274" s="127">
        <f t="shared" si="27"/>
        <v>0</v>
      </c>
      <c r="AC274" s="127">
        <f t="shared" si="28"/>
        <v>0</v>
      </c>
      <c r="AD274" s="127">
        <f t="shared" si="29"/>
        <v>1</v>
      </c>
    </row>
    <row r="275" spans="1:30" x14ac:dyDescent="0.25">
      <c r="A275">
        <v>270</v>
      </c>
      <c r="C275" s="11">
        <v>9.3326419591903687E-3</v>
      </c>
      <c r="D275" s="11">
        <v>2.2359997034072876E-2</v>
      </c>
      <c r="E275" s="11">
        <v>0.19174982476679664</v>
      </c>
      <c r="F275" s="11">
        <v>0.16086018575769778</v>
      </c>
      <c r="G275" s="11">
        <v>1.7616182565689087E-2</v>
      </c>
      <c r="H275" s="40">
        <v>2.712732967089257E-4</v>
      </c>
      <c r="I275" s="40">
        <v>1.5038955247729329</v>
      </c>
      <c r="J275" s="59">
        <v>0</v>
      </c>
      <c r="K275" s="59">
        <v>4973.2811748981476</v>
      </c>
      <c r="L275" s="59">
        <v>0</v>
      </c>
      <c r="M275" s="11">
        <v>0.85630559921264648</v>
      </c>
      <c r="N275" s="11">
        <v>0.73730450868606567</v>
      </c>
      <c r="O275" s="11">
        <v>0.32352685928344727</v>
      </c>
      <c r="Q275" s="59">
        <v>14.940032622665042</v>
      </c>
      <c r="R275" s="78">
        <v>463.01056214729363</v>
      </c>
      <c r="S275" s="78">
        <v>14.975675704926077</v>
      </c>
      <c r="T275" s="78">
        <v>592.37523964510285</v>
      </c>
      <c r="U275" s="59">
        <v>14.977055284057379</v>
      </c>
      <c r="V275" s="78">
        <v>799.22519188039189</v>
      </c>
      <c r="X275" s="134">
        <f t="shared" si="24"/>
        <v>1493540.2517043569</v>
      </c>
      <c r="Y275" s="134">
        <f t="shared" si="25"/>
        <v>1496975.1952529626</v>
      </c>
      <c r="Z275" s="134">
        <f t="shared" si="26"/>
        <v>1496906.3032138573</v>
      </c>
      <c r="AB275" s="127">
        <f t="shared" si="27"/>
        <v>0</v>
      </c>
      <c r="AC275" s="127">
        <f t="shared" si="28"/>
        <v>1</v>
      </c>
      <c r="AD275" s="127">
        <f t="shared" si="29"/>
        <v>0</v>
      </c>
    </row>
    <row r="276" spans="1:30" x14ac:dyDescent="0.25">
      <c r="A276">
        <v>271</v>
      </c>
      <c r="C276" s="11">
        <v>6.2673240900039673E-3</v>
      </c>
      <c r="D276" s="11">
        <v>4.93602454662323E-3</v>
      </c>
      <c r="E276" s="11">
        <v>0.22919568374980923</v>
      </c>
      <c r="F276" s="11">
        <v>0.18493048572040507</v>
      </c>
      <c r="G276" s="11">
        <v>5.5297017097473145E-2</v>
      </c>
      <c r="H276" s="40">
        <v>4.3428659525535134E-4</v>
      </c>
      <c r="I276" s="40">
        <v>1.3715569458661672</v>
      </c>
      <c r="J276" s="59">
        <v>0</v>
      </c>
      <c r="K276" s="59">
        <v>3472.7109596133232</v>
      </c>
      <c r="L276" s="59">
        <v>0</v>
      </c>
      <c r="M276" s="11">
        <v>0.88916504383087158</v>
      </c>
      <c r="N276" s="11">
        <v>0.73310238122940063</v>
      </c>
      <c r="O276" s="11">
        <v>0.3059917688369751</v>
      </c>
      <c r="Q276" s="59">
        <v>15.549583714338505</v>
      </c>
      <c r="R276" s="78">
        <v>458.29236017768886</v>
      </c>
      <c r="S276" s="78">
        <v>15.593997922904359</v>
      </c>
      <c r="T276" s="78">
        <v>593.88178731235701</v>
      </c>
      <c r="U276" s="59">
        <v>15.596579621441396</v>
      </c>
      <c r="V276" s="78">
        <v>800.01446862040984</v>
      </c>
      <c r="X276" s="134">
        <f t="shared" ref="X276:X339" si="30">Q276*cRatio-R276</f>
        <v>1554500.0790736729</v>
      </c>
      <c r="Y276" s="134">
        <f t="shared" ref="Y276:Y339" si="31">S276*cRatio-T276</f>
        <v>1558805.9105031234</v>
      </c>
      <c r="Z276" s="134">
        <f t="shared" ref="Z276:Z339" si="32">U276*cRatio-V276</f>
        <v>1558857.9476755194</v>
      </c>
      <c r="AB276" s="127">
        <f t="shared" ref="AB276:AB339" si="33">IF(X276=MAX($X276:$Z276),1,0)</f>
        <v>0</v>
      </c>
      <c r="AC276" s="127">
        <f t="shared" ref="AC276:AC339" si="34">IF(Y276=MAX($X276:$Z276),1,0)</f>
        <v>0</v>
      </c>
      <c r="AD276" s="127">
        <f t="shared" ref="AD276:AD339" si="35">IF(Z276=MAX($X276:$Z276),1,0)</f>
        <v>1</v>
      </c>
    </row>
    <row r="277" spans="1:30" x14ac:dyDescent="0.25">
      <c r="A277">
        <v>272</v>
      </c>
      <c r="C277" s="11">
        <v>3.3649146556854248E-2</v>
      </c>
      <c r="D277" s="11">
        <v>1.2290000915527344E-2</v>
      </c>
      <c r="E277" s="11">
        <v>0.2229562773406791</v>
      </c>
      <c r="F277" s="11">
        <v>0.13923214097793146</v>
      </c>
      <c r="G277" s="11">
        <v>3.6785423755645752E-2</v>
      </c>
      <c r="H277" s="40">
        <v>5.5838185095834908E-4</v>
      </c>
      <c r="I277" s="40">
        <v>1.4412364462031029</v>
      </c>
      <c r="J277" s="59">
        <v>0</v>
      </c>
      <c r="K277" s="59">
        <v>7028.1233638525009</v>
      </c>
      <c r="L277" s="59">
        <v>0</v>
      </c>
      <c r="M277" s="11">
        <v>0.8437197208404541</v>
      </c>
      <c r="N277" s="11">
        <v>0.75594896078109741</v>
      </c>
      <c r="O277" s="11">
        <v>0.30368590354919434</v>
      </c>
      <c r="Q277" s="59">
        <v>14.339393089083732</v>
      </c>
      <c r="R277" s="78">
        <v>574.01811238949404</v>
      </c>
      <c r="S277" s="78">
        <v>14.387482444959019</v>
      </c>
      <c r="T277" s="78">
        <v>619.80601617444916</v>
      </c>
      <c r="U277" s="59">
        <v>14.392777156672748</v>
      </c>
      <c r="V277" s="78">
        <v>813.52845982213114</v>
      </c>
      <c r="X277" s="134">
        <f t="shared" si="30"/>
        <v>1433365.2907959835</v>
      </c>
      <c r="Y277" s="134">
        <f t="shared" si="31"/>
        <v>1438128.4384797276</v>
      </c>
      <c r="Z277" s="134">
        <f t="shared" si="32"/>
        <v>1438464.1872074527</v>
      </c>
      <c r="AB277" s="127">
        <f t="shared" si="33"/>
        <v>0</v>
      </c>
      <c r="AC277" s="127">
        <f t="shared" si="34"/>
        <v>0</v>
      </c>
      <c r="AD277" s="127">
        <f t="shared" si="35"/>
        <v>1</v>
      </c>
    </row>
    <row r="278" spans="1:30" x14ac:dyDescent="0.25">
      <c r="A278">
        <v>273</v>
      </c>
      <c r="C278" s="11">
        <v>5.4580569267272949E-3</v>
      </c>
      <c r="D278" s="11">
        <v>7.8420937061309814E-3</v>
      </c>
      <c r="E278" s="11">
        <v>0.24491406742189925</v>
      </c>
      <c r="F278" s="11">
        <v>0.1402049873178767</v>
      </c>
      <c r="G278" s="11">
        <v>5.2968144416809082E-2</v>
      </c>
      <c r="H278" s="40">
        <v>5.6864751919869644E-4</v>
      </c>
      <c r="I278" s="40">
        <v>1.3003950983798167</v>
      </c>
      <c r="J278" s="59">
        <v>0</v>
      </c>
      <c r="K278" s="59">
        <v>5954.0010988712311</v>
      </c>
      <c r="L278" s="59">
        <v>0</v>
      </c>
      <c r="M278" s="11">
        <v>0.81675481796264648</v>
      </c>
      <c r="N278" s="11">
        <v>0.7648923397064209</v>
      </c>
      <c r="O278" s="11">
        <v>0.30199986696243286</v>
      </c>
      <c r="Q278" s="59">
        <v>14.313963556608041</v>
      </c>
      <c r="R278" s="78">
        <v>509.94477844852071</v>
      </c>
      <c r="S278" s="78">
        <v>14.339616362555848</v>
      </c>
      <c r="T278" s="78">
        <v>607.67921073162995</v>
      </c>
      <c r="U278" s="59">
        <v>14.343222501971685</v>
      </c>
      <c r="V278" s="78">
        <v>804.44054584940454</v>
      </c>
      <c r="X278" s="134">
        <f t="shared" si="30"/>
        <v>1430886.4108823556</v>
      </c>
      <c r="Y278" s="134">
        <f t="shared" si="31"/>
        <v>1433353.9570448534</v>
      </c>
      <c r="Z278" s="134">
        <f t="shared" si="32"/>
        <v>1433517.8096513189</v>
      </c>
      <c r="AB278" s="127">
        <f t="shared" si="33"/>
        <v>0</v>
      </c>
      <c r="AC278" s="127">
        <f t="shared" si="34"/>
        <v>0</v>
      </c>
      <c r="AD278" s="127">
        <f t="shared" si="35"/>
        <v>1</v>
      </c>
    </row>
    <row r="279" spans="1:30" x14ac:dyDescent="0.25">
      <c r="A279">
        <v>274</v>
      </c>
      <c r="C279" s="11">
        <v>6.5408945083618164E-3</v>
      </c>
      <c r="D279" s="11">
        <v>2.3682951927185059E-2</v>
      </c>
      <c r="E279" s="11">
        <v>0.35084897522678621</v>
      </c>
      <c r="F279" s="11">
        <v>0.27302504046892501</v>
      </c>
      <c r="G279" s="11">
        <v>2.3112475872039795E-2</v>
      </c>
      <c r="H279" s="40">
        <v>5.2211372064024902E-4</v>
      </c>
      <c r="I279" s="40">
        <v>1.3743099863181787</v>
      </c>
      <c r="J279" s="59">
        <v>0</v>
      </c>
      <c r="K279" s="59">
        <v>5559.2390708625317</v>
      </c>
      <c r="L279" s="59">
        <v>0</v>
      </c>
      <c r="M279" s="11">
        <v>0.82937246561050415</v>
      </c>
      <c r="N279" s="11">
        <v>0.76632755994796753</v>
      </c>
      <c r="O279" s="11">
        <v>0.29399123787879944</v>
      </c>
      <c r="Q279" s="59">
        <v>14.510684028881203</v>
      </c>
      <c r="R279" s="78">
        <v>498.6156875556029</v>
      </c>
      <c r="S279" s="78">
        <v>14.538527841742379</v>
      </c>
      <c r="T279" s="78">
        <v>616.08845454743596</v>
      </c>
      <c r="U279" s="59">
        <v>14.541911888144842</v>
      </c>
      <c r="V279" s="78">
        <v>816.89785929983839</v>
      </c>
      <c r="X279" s="134">
        <f t="shared" si="30"/>
        <v>1450569.7872005645</v>
      </c>
      <c r="Y279" s="134">
        <f t="shared" si="31"/>
        <v>1453236.6957196905</v>
      </c>
      <c r="Z279" s="134">
        <f t="shared" si="32"/>
        <v>1453374.2909551845</v>
      </c>
      <c r="AB279" s="127">
        <f t="shared" si="33"/>
        <v>0</v>
      </c>
      <c r="AC279" s="127">
        <f t="shared" si="34"/>
        <v>0</v>
      </c>
      <c r="AD279" s="127">
        <f t="shared" si="35"/>
        <v>1</v>
      </c>
    </row>
    <row r="280" spans="1:30" x14ac:dyDescent="0.25">
      <c r="A280">
        <v>275</v>
      </c>
      <c r="C280" s="11">
        <v>4.2837977409362793E-2</v>
      </c>
      <c r="D280" s="11">
        <v>1.7570093274116516E-2</v>
      </c>
      <c r="E280" s="11">
        <v>0.16519897034060738</v>
      </c>
      <c r="F280" s="11">
        <v>0.31437155215017493</v>
      </c>
      <c r="G280" s="11">
        <v>1.0558903217315674E-2</v>
      </c>
      <c r="H280" s="40">
        <v>4.0795959867628753E-4</v>
      </c>
      <c r="I280" s="40">
        <v>1.4383683474976232</v>
      </c>
      <c r="J280" s="59">
        <v>0</v>
      </c>
      <c r="K280" s="59">
        <v>3101.4997512102127</v>
      </c>
      <c r="L280" s="59">
        <v>0</v>
      </c>
      <c r="M280" s="11">
        <v>0.86627799272537231</v>
      </c>
      <c r="N280" s="11">
        <v>0.77390527725219727</v>
      </c>
      <c r="O280" s="11">
        <v>0.30311229825019836</v>
      </c>
      <c r="Q280" s="59">
        <v>14.601308974338659</v>
      </c>
      <c r="R280" s="78">
        <v>443.22000013569362</v>
      </c>
      <c r="S280" s="78">
        <v>14.638570165530485</v>
      </c>
      <c r="T280" s="78">
        <v>587.24015930641065</v>
      </c>
      <c r="U280" s="59">
        <v>14.631827659120134</v>
      </c>
      <c r="V280" s="78">
        <v>803.64345857317971</v>
      </c>
      <c r="X280" s="134">
        <f t="shared" si="30"/>
        <v>1459687.6774337301</v>
      </c>
      <c r="Y280" s="134">
        <f t="shared" si="31"/>
        <v>1463269.7763937421</v>
      </c>
      <c r="Z280" s="134">
        <f t="shared" si="32"/>
        <v>1462379.1224534402</v>
      </c>
      <c r="AB280" s="127">
        <f t="shared" si="33"/>
        <v>0</v>
      </c>
      <c r="AC280" s="127">
        <f t="shared" si="34"/>
        <v>1</v>
      </c>
      <c r="AD280" s="127">
        <f t="shared" si="35"/>
        <v>0</v>
      </c>
    </row>
    <row r="281" spans="1:30" x14ac:dyDescent="0.25">
      <c r="A281">
        <v>276</v>
      </c>
      <c r="C281" s="11">
        <v>2.6801258325576782E-2</v>
      </c>
      <c r="D281" s="11">
        <v>2.4420261383056641E-2</v>
      </c>
      <c r="E281" s="11">
        <v>0.2043393501664926</v>
      </c>
      <c r="F281" s="11">
        <v>0.22343237840051958</v>
      </c>
      <c r="G281" s="11">
        <v>3.7002906203269958E-2</v>
      </c>
      <c r="H281" s="40">
        <v>3.9467645729391893E-4</v>
      </c>
      <c r="I281" s="40">
        <v>1.442708944942277</v>
      </c>
      <c r="J281" s="59">
        <v>0</v>
      </c>
      <c r="K281" s="59">
        <v>6533.0229699611664</v>
      </c>
      <c r="L281" s="59">
        <v>0</v>
      </c>
      <c r="M281" s="11">
        <v>0.87529242038726807</v>
      </c>
      <c r="N281" s="11">
        <v>0.75496494770050049</v>
      </c>
      <c r="O281" s="11">
        <v>0.28833115100860596</v>
      </c>
      <c r="Q281" s="59">
        <v>14.98863454921033</v>
      </c>
      <c r="R281" s="78">
        <v>514.13415988985946</v>
      </c>
      <c r="S281" s="78">
        <v>15.034451497293883</v>
      </c>
      <c r="T281" s="78">
        <v>603.84662941101487</v>
      </c>
      <c r="U281" s="59">
        <v>15.033336944688141</v>
      </c>
      <c r="V281" s="78">
        <v>815.16032671484095</v>
      </c>
      <c r="X281" s="134">
        <f t="shared" si="30"/>
        <v>1498349.3207611432</v>
      </c>
      <c r="Y281" s="134">
        <f t="shared" si="31"/>
        <v>1502841.3030999773</v>
      </c>
      <c r="Z281" s="134">
        <f t="shared" si="32"/>
        <v>1502518.5341420993</v>
      </c>
      <c r="AB281" s="127">
        <f t="shared" si="33"/>
        <v>0</v>
      </c>
      <c r="AC281" s="127">
        <f t="shared" si="34"/>
        <v>1</v>
      </c>
      <c r="AD281" s="127">
        <f t="shared" si="35"/>
        <v>0</v>
      </c>
    </row>
    <row r="282" spans="1:30" x14ac:dyDescent="0.25">
      <c r="A282">
        <v>277</v>
      </c>
      <c r="C282" s="11">
        <v>2.2584676742553711E-2</v>
      </c>
      <c r="D282" s="11">
        <v>2.6221722364425659E-2</v>
      </c>
      <c r="E282" s="11">
        <v>0.15063697357812175</v>
      </c>
      <c r="F282" s="11">
        <v>0.25563416469452854</v>
      </c>
      <c r="G282" s="11">
        <v>5.1334679126739502E-2</v>
      </c>
      <c r="H282" s="40">
        <v>3.6823778917036197E-4</v>
      </c>
      <c r="I282" s="40">
        <v>1.441173083949336</v>
      </c>
      <c r="J282" s="59">
        <v>0</v>
      </c>
      <c r="K282" s="59">
        <v>3813.3678026497364</v>
      </c>
      <c r="L282" s="59">
        <v>0</v>
      </c>
      <c r="M282" s="11">
        <v>0.85965156555175781</v>
      </c>
      <c r="N282" s="11">
        <v>0.74892449378967285</v>
      </c>
      <c r="O282" s="11">
        <v>0.27575516700744629</v>
      </c>
      <c r="Q282" s="59">
        <v>14.787711292281573</v>
      </c>
      <c r="R282" s="78">
        <v>464.21215912138774</v>
      </c>
      <c r="S282" s="78">
        <v>14.833356398029949</v>
      </c>
      <c r="T282" s="78">
        <v>589.70236217287163</v>
      </c>
      <c r="U282" s="59">
        <v>14.827644979947317</v>
      </c>
      <c r="V282" s="78">
        <v>806.13548762578125</v>
      </c>
      <c r="X282" s="134">
        <f t="shared" si="30"/>
        <v>1478306.9170690358</v>
      </c>
      <c r="Y282" s="134">
        <f t="shared" si="31"/>
        <v>1482745.9374408221</v>
      </c>
      <c r="Z282" s="134">
        <f t="shared" si="32"/>
        <v>1481958.3625071058</v>
      </c>
      <c r="AB282" s="127">
        <f t="shared" si="33"/>
        <v>0</v>
      </c>
      <c r="AC282" s="127">
        <f t="shared" si="34"/>
        <v>1</v>
      </c>
      <c r="AD282" s="127">
        <f t="shared" si="35"/>
        <v>0</v>
      </c>
    </row>
    <row r="283" spans="1:30" x14ac:dyDescent="0.25">
      <c r="A283">
        <v>278</v>
      </c>
      <c r="C283" s="11">
        <v>9.8448097705841064E-3</v>
      </c>
      <c r="D283" s="11">
        <v>3.4981966018676758E-2</v>
      </c>
      <c r="E283" s="11">
        <v>0.33232872538325253</v>
      </c>
      <c r="F283" s="11">
        <v>0.205785317177616</v>
      </c>
      <c r="G283" s="11">
        <v>2.5635957717895508E-2</v>
      </c>
      <c r="H283" s="40">
        <v>4.3980538003207795E-4</v>
      </c>
      <c r="I283" s="40">
        <v>1.5009468596736999</v>
      </c>
      <c r="J283" s="59">
        <v>0</v>
      </c>
      <c r="K283" s="59">
        <v>4066.0751983523369</v>
      </c>
      <c r="L283" s="59">
        <v>0</v>
      </c>
      <c r="M283" s="11">
        <v>0.83108478784561157</v>
      </c>
      <c r="N283" s="11">
        <v>0.7136988639831543</v>
      </c>
      <c r="O283" s="11">
        <v>0.27031415700912476</v>
      </c>
      <c r="Q283" s="59">
        <v>14.459349445284495</v>
      </c>
      <c r="R283" s="78">
        <v>487.96068477379765</v>
      </c>
      <c r="S283" s="78">
        <v>14.509724471625237</v>
      </c>
      <c r="T283" s="78">
        <v>610.66561538262238</v>
      </c>
      <c r="U283" s="59">
        <v>14.519456069703372</v>
      </c>
      <c r="V283" s="78">
        <v>807.66047544047296</v>
      </c>
      <c r="X283" s="134">
        <f t="shared" si="30"/>
        <v>1445446.9838436758</v>
      </c>
      <c r="Y283" s="134">
        <f t="shared" si="31"/>
        <v>1450361.781547141</v>
      </c>
      <c r="Z283" s="134">
        <f t="shared" si="32"/>
        <v>1451137.9464948967</v>
      </c>
      <c r="AB283" s="127">
        <f t="shared" si="33"/>
        <v>0</v>
      </c>
      <c r="AC283" s="127">
        <f t="shared" si="34"/>
        <v>0</v>
      </c>
      <c r="AD283" s="127">
        <f t="shared" si="35"/>
        <v>1</v>
      </c>
    </row>
    <row r="284" spans="1:30" x14ac:dyDescent="0.25">
      <c r="A284">
        <v>279</v>
      </c>
      <c r="C284" s="11">
        <v>4.4136166572570801E-2</v>
      </c>
      <c r="D284" s="11">
        <v>8.6660832166671753E-3</v>
      </c>
      <c r="E284" s="11">
        <v>0.37487998922136628</v>
      </c>
      <c r="F284" s="11">
        <v>0.25387755045962063</v>
      </c>
      <c r="G284" s="11">
        <v>4.7181576490402222E-2</v>
      </c>
      <c r="H284" s="40">
        <v>6.9528674100785505E-4</v>
      </c>
      <c r="I284" s="40">
        <v>1.3791797233693524</v>
      </c>
      <c r="J284" s="59">
        <v>0</v>
      </c>
      <c r="K284" s="59">
        <v>3746.0285238921642</v>
      </c>
      <c r="L284" s="59">
        <v>0</v>
      </c>
      <c r="M284" s="11">
        <v>0.8558313250541687</v>
      </c>
      <c r="N284" s="11">
        <v>0.83058071136474609</v>
      </c>
      <c r="O284" s="11">
        <v>0.31956839561462402</v>
      </c>
      <c r="Q284" s="59">
        <v>14.407987569301831</v>
      </c>
      <c r="R284" s="78">
        <v>498.01463087586484</v>
      </c>
      <c r="S284" s="78">
        <v>14.433886644281774</v>
      </c>
      <c r="T284" s="78">
        <v>618.510839340796</v>
      </c>
      <c r="U284" s="59">
        <v>14.438999616948557</v>
      </c>
      <c r="V284" s="78">
        <v>814.82654021510029</v>
      </c>
      <c r="X284" s="134">
        <f t="shared" si="30"/>
        <v>1440300.7422993074</v>
      </c>
      <c r="Y284" s="134">
        <f t="shared" si="31"/>
        <v>1442770.1535888365</v>
      </c>
      <c r="Z284" s="134">
        <f t="shared" si="32"/>
        <v>1443085.1351546405</v>
      </c>
      <c r="AB284" s="127">
        <f t="shared" si="33"/>
        <v>0</v>
      </c>
      <c r="AC284" s="127">
        <f t="shared" si="34"/>
        <v>0</v>
      </c>
      <c r="AD284" s="127">
        <f t="shared" si="35"/>
        <v>1</v>
      </c>
    </row>
    <row r="285" spans="1:30" x14ac:dyDescent="0.25">
      <c r="A285">
        <v>280</v>
      </c>
      <c r="C285" s="11">
        <v>2.6615560054779053E-3</v>
      </c>
      <c r="D285" s="11">
        <v>1.2522906064987183E-2</v>
      </c>
      <c r="E285" s="11">
        <v>0.15089953830882544</v>
      </c>
      <c r="F285" s="11">
        <v>0.16238971032399213</v>
      </c>
      <c r="G285" s="11">
        <v>3.7920087575912476E-2</v>
      </c>
      <c r="H285" s="40">
        <v>2.3658360895512345E-4</v>
      </c>
      <c r="I285" s="40">
        <v>1.5123580677037085</v>
      </c>
      <c r="J285" s="59">
        <v>0</v>
      </c>
      <c r="K285" s="59">
        <v>6625.1866519451141</v>
      </c>
      <c r="L285" s="59">
        <v>0</v>
      </c>
      <c r="M285" s="11">
        <v>0.88705337047576904</v>
      </c>
      <c r="N285" s="11">
        <v>0.69725406169891357</v>
      </c>
      <c r="O285" s="11">
        <v>0.4151611328125</v>
      </c>
      <c r="Q285" s="59">
        <v>15.575162190683637</v>
      </c>
      <c r="R285" s="78">
        <v>486.87397373407356</v>
      </c>
      <c r="S285" s="78">
        <v>15.618948962341243</v>
      </c>
      <c r="T285" s="78">
        <v>593.15378276972103</v>
      </c>
      <c r="U285" s="59">
        <v>15.61834987582748</v>
      </c>
      <c r="V285" s="78">
        <v>803.22947067181371</v>
      </c>
      <c r="X285" s="134">
        <f t="shared" si="30"/>
        <v>1557029.3450946298</v>
      </c>
      <c r="Y285" s="134">
        <f t="shared" si="31"/>
        <v>1561301.7424513544</v>
      </c>
      <c r="Z285" s="134">
        <f t="shared" si="32"/>
        <v>1561031.7581120762</v>
      </c>
      <c r="AB285" s="127">
        <f t="shared" si="33"/>
        <v>0</v>
      </c>
      <c r="AC285" s="127">
        <f t="shared" si="34"/>
        <v>1</v>
      </c>
      <c r="AD285" s="127">
        <f t="shared" si="35"/>
        <v>0</v>
      </c>
    </row>
    <row r="286" spans="1:30" x14ac:dyDescent="0.25">
      <c r="A286">
        <v>281</v>
      </c>
      <c r="C286" s="11">
        <v>1.2625008821487427E-2</v>
      </c>
      <c r="D286" s="11">
        <v>6.1171948909759521E-3</v>
      </c>
      <c r="E286" s="11">
        <v>0.39376197332297647</v>
      </c>
      <c r="F286" s="11">
        <v>0.23744844596654854</v>
      </c>
      <c r="G286" s="11">
        <v>4.2149275541305542E-2</v>
      </c>
      <c r="H286" s="40">
        <v>6.385347204360324E-4</v>
      </c>
      <c r="I286" s="40">
        <v>1.3095578466653246</v>
      </c>
      <c r="J286" s="59">
        <v>0</v>
      </c>
      <c r="K286" s="59">
        <v>4668.8783913850784</v>
      </c>
      <c r="L286" s="59">
        <v>0</v>
      </c>
      <c r="M286" s="11">
        <v>0.86231285333633423</v>
      </c>
      <c r="N286" s="11">
        <v>0.72971963882446289</v>
      </c>
      <c r="O286" s="11">
        <v>0.31139099597930908</v>
      </c>
      <c r="Q286" s="59">
        <v>14.978386630240538</v>
      </c>
      <c r="R286" s="78">
        <v>492.47909981519138</v>
      </c>
      <c r="S286" s="78">
        <v>15.015016250004297</v>
      </c>
      <c r="T286" s="78">
        <v>618.13926548494044</v>
      </c>
      <c r="U286" s="59">
        <v>15.024588835666369</v>
      </c>
      <c r="V286" s="78">
        <v>811.65884030838322</v>
      </c>
      <c r="X286" s="134">
        <f t="shared" si="30"/>
        <v>1497346.1839242384</v>
      </c>
      <c r="Y286" s="134">
        <f t="shared" si="31"/>
        <v>1500883.4857349449</v>
      </c>
      <c r="Z286" s="134">
        <f t="shared" si="32"/>
        <v>1501647.2247263286</v>
      </c>
      <c r="AB286" s="127">
        <f t="shared" si="33"/>
        <v>0</v>
      </c>
      <c r="AC286" s="127">
        <f t="shared" si="34"/>
        <v>0</v>
      </c>
      <c r="AD286" s="127">
        <f t="shared" si="35"/>
        <v>1</v>
      </c>
    </row>
    <row r="287" spans="1:30" x14ac:dyDescent="0.25">
      <c r="A287">
        <v>282</v>
      </c>
      <c r="C287" s="11">
        <v>9.8541826009750366E-3</v>
      </c>
      <c r="D287" s="11">
        <v>2.0478874444961548E-2</v>
      </c>
      <c r="E287" s="11">
        <v>0.16274522663961613</v>
      </c>
      <c r="F287" s="11">
        <v>0.15287267356816875</v>
      </c>
      <c r="G287" s="11">
        <v>1.4569342136383057E-2</v>
      </c>
      <c r="H287" s="40">
        <v>3.5696793059859143E-4</v>
      </c>
      <c r="I287" s="40">
        <v>1.4755144183820856</v>
      </c>
      <c r="J287" s="59">
        <v>0</v>
      </c>
      <c r="K287" s="59">
        <v>5457.9973220825195</v>
      </c>
      <c r="L287" s="59">
        <v>0</v>
      </c>
      <c r="M287" s="11">
        <v>0.86569321155548096</v>
      </c>
      <c r="N287" s="11">
        <v>0.77193158864974976</v>
      </c>
      <c r="O287" s="11">
        <v>0.30704885721206665</v>
      </c>
      <c r="Q287" s="59">
        <v>15.093709044362301</v>
      </c>
      <c r="R287" s="78">
        <v>483.71454271685491</v>
      </c>
      <c r="S287" s="78">
        <v>15.132815094991802</v>
      </c>
      <c r="T287" s="78">
        <v>593.79535496727215</v>
      </c>
      <c r="U287" s="59">
        <v>15.13328340798115</v>
      </c>
      <c r="V287" s="78">
        <v>801.90001377713656</v>
      </c>
      <c r="X287" s="134">
        <f t="shared" si="30"/>
        <v>1508887.1898935135</v>
      </c>
      <c r="Y287" s="134">
        <f t="shared" si="31"/>
        <v>1512687.7141442129</v>
      </c>
      <c r="Z287" s="134">
        <f t="shared" si="32"/>
        <v>1512526.4407843377</v>
      </c>
      <c r="AB287" s="127">
        <f t="shared" si="33"/>
        <v>0</v>
      </c>
      <c r="AC287" s="127">
        <f t="shared" si="34"/>
        <v>1</v>
      </c>
      <c r="AD287" s="127">
        <f t="shared" si="35"/>
        <v>0</v>
      </c>
    </row>
    <row r="288" spans="1:30" x14ac:dyDescent="0.25">
      <c r="A288">
        <v>283</v>
      </c>
      <c r="C288" s="11">
        <v>8.9299529790878296E-3</v>
      </c>
      <c r="D288" s="11">
        <v>3.3794045448303223E-2</v>
      </c>
      <c r="E288" s="11">
        <v>0.43231136627521582</v>
      </c>
      <c r="F288" s="11">
        <v>7.0743606469848633E-2</v>
      </c>
      <c r="G288" s="11">
        <v>4.0884524583816528E-2</v>
      </c>
      <c r="H288" s="40">
        <v>3.6794144944222058E-4</v>
      </c>
      <c r="I288" s="40">
        <v>1.4720709049919578</v>
      </c>
      <c r="J288" s="59">
        <v>0</v>
      </c>
      <c r="K288" s="59">
        <v>5358.2713007926941</v>
      </c>
      <c r="L288" s="59">
        <v>0</v>
      </c>
      <c r="M288" s="11">
        <v>0.87570923566818237</v>
      </c>
      <c r="N288" s="11">
        <v>0.80200433731079102</v>
      </c>
      <c r="O288" s="11">
        <v>0.26501595973968506</v>
      </c>
      <c r="Q288" s="59">
        <v>15.277691996997403</v>
      </c>
      <c r="R288" s="78">
        <v>497.66863906317491</v>
      </c>
      <c r="S288" s="78">
        <v>15.307163930601391</v>
      </c>
      <c r="T288" s="78">
        <v>624.21619894961793</v>
      </c>
      <c r="U288" s="59">
        <v>15.326261531878286</v>
      </c>
      <c r="V288" s="78">
        <v>795.44135953009265</v>
      </c>
      <c r="X288" s="134">
        <f t="shared" si="30"/>
        <v>1527271.5310606773</v>
      </c>
      <c r="Y288" s="134">
        <f t="shared" si="31"/>
        <v>1530092.1768611895</v>
      </c>
      <c r="Z288" s="134">
        <f t="shared" si="32"/>
        <v>1531830.7118282984</v>
      </c>
      <c r="AB288" s="127">
        <f t="shared" si="33"/>
        <v>0</v>
      </c>
      <c r="AC288" s="127">
        <f t="shared" si="34"/>
        <v>0</v>
      </c>
      <c r="AD288" s="127">
        <f t="shared" si="35"/>
        <v>1</v>
      </c>
    </row>
    <row r="289" spans="1:30" x14ac:dyDescent="0.25">
      <c r="A289">
        <v>284</v>
      </c>
      <c r="C289" s="11">
        <v>1.622655987739563E-2</v>
      </c>
      <c r="D289" s="11">
        <v>3.2826542854309082E-2</v>
      </c>
      <c r="E289" s="11">
        <v>0.26939689307864523</v>
      </c>
      <c r="F289" s="11">
        <v>0.18049649411776847</v>
      </c>
      <c r="G289" s="11">
        <v>4.9266725778579712E-2</v>
      </c>
      <c r="H289" s="40">
        <v>3.6381042954889537E-4</v>
      </c>
      <c r="I289" s="40">
        <v>1.4264836678771664</v>
      </c>
      <c r="J289" s="59">
        <v>0</v>
      </c>
      <c r="K289" s="59">
        <v>7663.9559119939804</v>
      </c>
      <c r="L289" s="59">
        <v>0</v>
      </c>
      <c r="M289" s="11">
        <v>0.8240620493888855</v>
      </c>
      <c r="N289" s="11">
        <v>0.72965216636657715</v>
      </c>
      <c r="O289" s="11">
        <v>0.26808547973632813</v>
      </c>
      <c r="Q289" s="59">
        <v>14.271901940446744</v>
      </c>
      <c r="R289" s="78">
        <v>526.94404043754128</v>
      </c>
      <c r="S289" s="78">
        <v>14.306672971207215</v>
      </c>
      <c r="T289" s="78">
        <v>615.15891643747148</v>
      </c>
      <c r="U289" s="59">
        <v>14.310957376165499</v>
      </c>
      <c r="V289" s="78">
        <v>812.25489378741429</v>
      </c>
      <c r="X289" s="134">
        <f t="shared" si="30"/>
        <v>1426663.2500042371</v>
      </c>
      <c r="Y289" s="134">
        <f t="shared" si="31"/>
        <v>1430052.138204284</v>
      </c>
      <c r="Z289" s="134">
        <f t="shared" si="32"/>
        <v>1430283.4827227625</v>
      </c>
      <c r="AB289" s="127">
        <f t="shared" si="33"/>
        <v>0</v>
      </c>
      <c r="AC289" s="127">
        <f t="shared" si="34"/>
        <v>0</v>
      </c>
      <c r="AD289" s="127">
        <f t="shared" si="35"/>
        <v>1</v>
      </c>
    </row>
    <row r="290" spans="1:30" x14ac:dyDescent="0.25">
      <c r="A290">
        <v>285</v>
      </c>
      <c r="C290" s="11">
        <v>1.3411819934844971E-2</v>
      </c>
      <c r="D290" s="11">
        <v>1.0111421346664429E-2</v>
      </c>
      <c r="E290" s="11">
        <v>0.24646018312908732</v>
      </c>
      <c r="F290" s="11">
        <v>0.21884127747155629</v>
      </c>
      <c r="G290" s="11">
        <v>1.242905855178833E-2</v>
      </c>
      <c r="H290" s="40">
        <v>4.0004425319497904E-4</v>
      </c>
      <c r="I290" s="40">
        <v>1.503483618695131</v>
      </c>
      <c r="J290" s="59">
        <v>0</v>
      </c>
      <c r="K290" s="59">
        <v>3630.4118111729622</v>
      </c>
      <c r="L290" s="59">
        <v>0</v>
      </c>
      <c r="M290" s="11">
        <v>0.88463330268859863</v>
      </c>
      <c r="N290" s="11">
        <v>0.73283672332763672</v>
      </c>
      <c r="O290" s="11">
        <v>0.34100437164306641</v>
      </c>
      <c r="Q290" s="59">
        <v>15.345153998621416</v>
      </c>
      <c r="R290" s="78">
        <v>465.23554591996748</v>
      </c>
      <c r="S290" s="78">
        <v>15.398412156999498</v>
      </c>
      <c r="T290" s="78">
        <v>596.81756603673762</v>
      </c>
      <c r="U290" s="59">
        <v>15.400397967535948</v>
      </c>
      <c r="V290" s="78">
        <v>803.82949847379734</v>
      </c>
      <c r="X290" s="134">
        <f t="shared" si="30"/>
        <v>1534050.1643162216</v>
      </c>
      <c r="Y290" s="134">
        <f t="shared" si="31"/>
        <v>1539244.3981339131</v>
      </c>
      <c r="Z290" s="134">
        <f t="shared" si="32"/>
        <v>1539235.9672551211</v>
      </c>
      <c r="AB290" s="127">
        <f t="shared" si="33"/>
        <v>0</v>
      </c>
      <c r="AC290" s="127">
        <f t="shared" si="34"/>
        <v>1</v>
      </c>
      <c r="AD290" s="127">
        <f t="shared" si="35"/>
        <v>0</v>
      </c>
    </row>
    <row r="291" spans="1:30" x14ac:dyDescent="0.25">
      <c r="A291">
        <v>286</v>
      </c>
      <c r="C291" s="11">
        <v>1.8125742673873901E-2</v>
      </c>
      <c r="D291" s="11">
        <v>4.2780518531799316E-2</v>
      </c>
      <c r="E291" s="11">
        <v>0.21829381540430495</v>
      </c>
      <c r="F291" s="11">
        <v>0.17809231515952026</v>
      </c>
      <c r="G291" s="11">
        <v>4.7048330307006836E-2</v>
      </c>
      <c r="H291" s="40">
        <v>4.7834519665284329E-4</v>
      </c>
      <c r="I291" s="40">
        <v>1.4644200732711243</v>
      </c>
      <c r="J291" s="59">
        <v>0</v>
      </c>
      <c r="K291" s="59">
        <v>6126.0489746928215</v>
      </c>
      <c r="L291" s="59">
        <v>0</v>
      </c>
      <c r="M291" s="11">
        <v>0.89078867435455322</v>
      </c>
      <c r="N291" s="11">
        <v>0.73343896865844727</v>
      </c>
      <c r="O291" s="11">
        <v>0.29363977909088135</v>
      </c>
      <c r="Q291" s="59">
        <v>15.354160576759842</v>
      </c>
      <c r="R291" s="78">
        <v>546.72314892849909</v>
      </c>
      <c r="S291" s="78">
        <v>15.42817527451817</v>
      </c>
      <c r="T291" s="78">
        <v>612.85450150931092</v>
      </c>
      <c r="U291" s="59">
        <v>15.432052754269844</v>
      </c>
      <c r="V291" s="78">
        <v>815.6417558160033</v>
      </c>
      <c r="X291" s="134">
        <f t="shared" si="30"/>
        <v>1534869.3345270557</v>
      </c>
      <c r="Y291" s="134">
        <f t="shared" si="31"/>
        <v>1542204.6729503076</v>
      </c>
      <c r="Z291" s="134">
        <f t="shared" si="32"/>
        <v>1542389.6336711682</v>
      </c>
      <c r="AB291" s="127">
        <f t="shared" si="33"/>
        <v>0</v>
      </c>
      <c r="AC291" s="127">
        <f t="shared" si="34"/>
        <v>0</v>
      </c>
      <c r="AD291" s="127">
        <f t="shared" si="35"/>
        <v>1</v>
      </c>
    </row>
    <row r="292" spans="1:30" x14ac:dyDescent="0.25">
      <c r="A292">
        <v>287</v>
      </c>
      <c r="C292" s="11">
        <v>5.3045153617858887E-3</v>
      </c>
      <c r="D292" s="11">
        <v>9.5996558666229248E-3</v>
      </c>
      <c r="E292" s="11">
        <v>0.23910605675581545</v>
      </c>
      <c r="F292" s="11">
        <v>0.22533311494547292</v>
      </c>
      <c r="G292" s="11">
        <v>2.2314578294754028E-2</v>
      </c>
      <c r="H292" s="40">
        <v>3.8577089208202399E-4</v>
      </c>
      <c r="I292" s="40">
        <v>1.5050599843990946</v>
      </c>
      <c r="J292" s="59">
        <v>0</v>
      </c>
      <c r="K292" s="59">
        <v>3088.7266620993614</v>
      </c>
      <c r="L292" s="59">
        <v>0</v>
      </c>
      <c r="M292" s="11">
        <v>0.91023826599121094</v>
      </c>
      <c r="N292" s="11">
        <v>0.77391791343688965</v>
      </c>
      <c r="O292" s="11">
        <v>0.31036537885665894</v>
      </c>
      <c r="Q292" s="59">
        <v>15.924490168213248</v>
      </c>
      <c r="R292" s="78">
        <v>456.88660019523945</v>
      </c>
      <c r="S292" s="78">
        <v>15.97618038454304</v>
      </c>
      <c r="T292" s="78">
        <v>594.25249700444397</v>
      </c>
      <c r="U292" s="59">
        <v>15.977131773191397</v>
      </c>
      <c r="V292" s="78">
        <v>802.37765935247853</v>
      </c>
      <c r="X292" s="134">
        <f t="shared" si="30"/>
        <v>1591992.1302211296</v>
      </c>
      <c r="Y292" s="134">
        <f t="shared" si="31"/>
        <v>1597023.7859572996</v>
      </c>
      <c r="Z292" s="134">
        <f t="shared" si="32"/>
        <v>1596910.7996597872</v>
      </c>
      <c r="AB292" s="127">
        <f t="shared" si="33"/>
        <v>0</v>
      </c>
      <c r="AC292" s="127">
        <f t="shared" si="34"/>
        <v>1</v>
      </c>
      <c r="AD292" s="127">
        <f t="shared" si="35"/>
        <v>0</v>
      </c>
    </row>
    <row r="293" spans="1:30" x14ac:dyDescent="0.25">
      <c r="A293">
        <v>288</v>
      </c>
      <c r="C293" s="11">
        <v>2.5717318058013916E-3</v>
      </c>
      <c r="D293" s="11">
        <v>0.112548828125</v>
      </c>
      <c r="E293" s="11">
        <v>0.34374312049820288</v>
      </c>
      <c r="F293" s="11">
        <v>9.4713059780798386E-2</v>
      </c>
      <c r="G293" s="11">
        <v>2.4873822927474976E-2</v>
      </c>
      <c r="H293" s="40">
        <v>4.1965250361871147E-4</v>
      </c>
      <c r="I293" s="40">
        <v>1.4626368448039588</v>
      </c>
      <c r="J293" s="59">
        <v>0</v>
      </c>
      <c r="K293" s="59">
        <v>4980.3964793682098</v>
      </c>
      <c r="L293" s="59">
        <v>0</v>
      </c>
      <c r="M293" s="11">
        <v>0.87968158721923828</v>
      </c>
      <c r="N293" s="11">
        <v>0.76904487609863281</v>
      </c>
      <c r="O293" s="11">
        <v>0.31317591667175293</v>
      </c>
      <c r="Q293" s="59">
        <v>15.412985416951653</v>
      </c>
      <c r="R293" s="78">
        <v>491.41587995940699</v>
      </c>
      <c r="S293" s="78">
        <v>15.468635045543106</v>
      </c>
      <c r="T293" s="78">
        <v>612.87430880826457</v>
      </c>
      <c r="U293" s="59">
        <v>15.490132068186162</v>
      </c>
      <c r="V293" s="78">
        <v>797.3747375097098</v>
      </c>
      <c r="X293" s="134">
        <f t="shared" si="30"/>
        <v>1540807.1258152057</v>
      </c>
      <c r="Y293" s="134">
        <f t="shared" si="31"/>
        <v>1546250.6302455023</v>
      </c>
      <c r="Z293" s="134">
        <f t="shared" si="32"/>
        <v>1548215.8320811065</v>
      </c>
      <c r="AB293" s="127">
        <f t="shared" si="33"/>
        <v>0</v>
      </c>
      <c r="AC293" s="127">
        <f t="shared" si="34"/>
        <v>0</v>
      </c>
      <c r="AD293" s="127">
        <f t="shared" si="35"/>
        <v>1</v>
      </c>
    </row>
    <row r="294" spans="1:30" x14ac:dyDescent="0.25">
      <c r="A294">
        <v>289</v>
      </c>
      <c r="C294" s="11">
        <v>1.7926782369613647E-2</v>
      </c>
      <c r="D294" s="11">
        <v>3.7729442119598389E-3</v>
      </c>
      <c r="E294" s="11">
        <v>0.19413994290209055</v>
      </c>
      <c r="F294" s="11">
        <v>0.27037466454265269</v>
      </c>
      <c r="G294" s="11">
        <v>3.260350227355957E-2</v>
      </c>
      <c r="H294" s="40">
        <v>3.4192689157732466E-4</v>
      </c>
      <c r="I294" s="40">
        <v>1.4240053854781236</v>
      </c>
      <c r="J294" s="59">
        <v>0</v>
      </c>
      <c r="K294" s="59">
        <v>4048.0447933077812</v>
      </c>
      <c r="L294" s="59">
        <v>0</v>
      </c>
      <c r="M294" s="11">
        <v>0.87538802623748779</v>
      </c>
      <c r="N294" s="11">
        <v>0.75448852777481079</v>
      </c>
      <c r="O294" s="11">
        <v>0.32098299264907837</v>
      </c>
      <c r="Q294" s="59">
        <v>15.142968448019159</v>
      </c>
      <c r="R294" s="78">
        <v>454.65017440888715</v>
      </c>
      <c r="S294" s="78">
        <v>15.176979667485572</v>
      </c>
      <c r="T294" s="78">
        <v>590.89276784312153</v>
      </c>
      <c r="U294" s="59">
        <v>15.173728310688444</v>
      </c>
      <c r="V294" s="78">
        <v>804.54711494764558</v>
      </c>
      <c r="X294" s="134">
        <f t="shared" si="30"/>
        <v>1513842.1946275071</v>
      </c>
      <c r="Y294" s="134">
        <f t="shared" si="31"/>
        <v>1517107.0739807142</v>
      </c>
      <c r="Z294" s="134">
        <f t="shared" si="32"/>
        <v>1516568.283953897</v>
      </c>
      <c r="AB294" s="127">
        <f t="shared" si="33"/>
        <v>0</v>
      </c>
      <c r="AC294" s="127">
        <f t="shared" si="34"/>
        <v>1</v>
      </c>
      <c r="AD294" s="127">
        <f t="shared" si="35"/>
        <v>0</v>
      </c>
    </row>
    <row r="295" spans="1:30" x14ac:dyDescent="0.25">
      <c r="A295">
        <v>290</v>
      </c>
      <c r="C295" s="11">
        <v>2.4341225624084473E-2</v>
      </c>
      <c r="D295" s="11">
        <v>4.9605846405029297E-2</v>
      </c>
      <c r="E295" s="11">
        <v>0.26008361132920255</v>
      </c>
      <c r="F295" s="11">
        <v>7.5718416725433613E-2</v>
      </c>
      <c r="G295" s="11">
        <v>6.8457484245300293E-2</v>
      </c>
      <c r="H295" s="40">
        <v>3.9308879483367413E-4</v>
      </c>
      <c r="I295" s="40">
        <v>1.4695762071322327</v>
      </c>
      <c r="J295" s="59">
        <v>0</v>
      </c>
      <c r="K295" s="59">
        <v>6210.3383243083954</v>
      </c>
      <c r="L295" s="59">
        <v>0</v>
      </c>
      <c r="M295" s="11">
        <v>0.85996785759925842</v>
      </c>
      <c r="N295" s="11">
        <v>0.75483644008636475</v>
      </c>
      <c r="O295" s="11">
        <v>0.32395040988922119</v>
      </c>
      <c r="Q295" s="59">
        <v>14.752002599657153</v>
      </c>
      <c r="R295" s="78">
        <v>534.91836457721354</v>
      </c>
      <c r="S295" s="78">
        <v>14.802334096362786</v>
      </c>
      <c r="T295" s="78">
        <v>616.09236945147495</v>
      </c>
      <c r="U295" s="59">
        <v>14.815096067237683</v>
      </c>
      <c r="V295" s="78">
        <v>798.83124619426587</v>
      </c>
      <c r="X295" s="134">
        <f t="shared" si="30"/>
        <v>1474665.341601138</v>
      </c>
      <c r="Y295" s="134">
        <f t="shared" si="31"/>
        <v>1479617.3172668272</v>
      </c>
      <c r="Z295" s="134">
        <f t="shared" si="32"/>
        <v>1480710.775477574</v>
      </c>
      <c r="AB295" s="127">
        <f t="shared" si="33"/>
        <v>0</v>
      </c>
      <c r="AC295" s="127">
        <f t="shared" si="34"/>
        <v>0</v>
      </c>
      <c r="AD295" s="127">
        <f t="shared" si="35"/>
        <v>1</v>
      </c>
    </row>
    <row r="296" spans="1:30" x14ac:dyDescent="0.25">
      <c r="A296">
        <v>291</v>
      </c>
      <c r="C296" s="11">
        <v>9.1682970523834229E-3</v>
      </c>
      <c r="D296" s="11">
        <v>1.085306704044342E-2</v>
      </c>
      <c r="E296" s="11">
        <v>0.1907517561911366</v>
      </c>
      <c r="F296" s="11">
        <v>0.1694570163203914</v>
      </c>
      <c r="G296" s="11">
        <v>3.7697762250900269E-2</v>
      </c>
      <c r="H296" s="40">
        <v>5.6215608507871671E-4</v>
      </c>
      <c r="I296" s="40">
        <v>1.456876434499673</v>
      </c>
      <c r="J296" s="59">
        <v>0</v>
      </c>
      <c r="K296" s="59">
        <v>5723.7781584262848</v>
      </c>
      <c r="L296" s="59">
        <v>0</v>
      </c>
      <c r="M296" s="11">
        <v>0.84003257751464844</v>
      </c>
      <c r="N296" s="11">
        <v>0.76790380477905273</v>
      </c>
      <c r="O296" s="11">
        <v>0.33633333444595337</v>
      </c>
      <c r="Q296" s="59">
        <v>14.642871583971772</v>
      </c>
      <c r="R296" s="78">
        <v>553.0495644141572</v>
      </c>
      <c r="S296" s="78">
        <v>14.690426293991441</v>
      </c>
      <c r="T296" s="78">
        <v>609.89947972262655</v>
      </c>
      <c r="U296" s="59">
        <v>14.691705929556736</v>
      </c>
      <c r="V296" s="78">
        <v>815.46332293678677</v>
      </c>
      <c r="X296" s="134">
        <f t="shared" si="30"/>
        <v>1463734.108832763</v>
      </c>
      <c r="Y296" s="134">
        <f t="shared" si="31"/>
        <v>1468432.7299194215</v>
      </c>
      <c r="Z296" s="134">
        <f t="shared" si="32"/>
        <v>1468355.1296327368</v>
      </c>
      <c r="AB296" s="127">
        <f t="shared" si="33"/>
        <v>0</v>
      </c>
      <c r="AC296" s="127">
        <f t="shared" si="34"/>
        <v>1</v>
      </c>
      <c r="AD296" s="127">
        <f t="shared" si="35"/>
        <v>0</v>
      </c>
    </row>
    <row r="297" spans="1:30" x14ac:dyDescent="0.25">
      <c r="A297">
        <v>292</v>
      </c>
      <c r="C297" s="11">
        <v>2.1203994750976563E-2</v>
      </c>
      <c r="D297" s="11">
        <v>1.6465842723846436E-2</v>
      </c>
      <c r="E297" s="11">
        <v>0.31696853852066575</v>
      </c>
      <c r="F297" s="11">
        <v>0.22146107820869729</v>
      </c>
      <c r="G297" s="11">
        <v>2.6873946189880371E-2</v>
      </c>
      <c r="H297" s="40">
        <v>3.8055294087837248E-4</v>
      </c>
      <c r="I297" s="40">
        <v>1.4295112033101842</v>
      </c>
      <c r="J297" s="59">
        <v>0</v>
      </c>
      <c r="K297" s="59">
        <v>6130.4145492613316</v>
      </c>
      <c r="L297" s="59">
        <v>0</v>
      </c>
      <c r="M297" s="11">
        <v>0.86111295223236084</v>
      </c>
      <c r="N297" s="11">
        <v>0.74656158685684204</v>
      </c>
      <c r="O297" s="11">
        <v>0.2772601842880249</v>
      </c>
      <c r="Q297" s="59">
        <v>14.838523379932719</v>
      </c>
      <c r="R297" s="78">
        <v>493.87406682196792</v>
      </c>
      <c r="S297" s="78">
        <v>14.872016649885605</v>
      </c>
      <c r="T297" s="78">
        <v>610.96400566452292</v>
      </c>
      <c r="U297" s="59">
        <v>14.876759883338925</v>
      </c>
      <c r="V297" s="78">
        <v>810.36306766453117</v>
      </c>
      <c r="X297" s="134">
        <f t="shared" si="30"/>
        <v>1483358.4639264499</v>
      </c>
      <c r="Y297" s="134">
        <f t="shared" si="31"/>
        <v>1486590.7009828961</v>
      </c>
      <c r="Z297" s="134">
        <f t="shared" si="32"/>
        <v>1486865.6252662281</v>
      </c>
      <c r="AB297" s="127">
        <f t="shared" si="33"/>
        <v>0</v>
      </c>
      <c r="AC297" s="127">
        <f t="shared" si="34"/>
        <v>0</v>
      </c>
      <c r="AD297" s="127">
        <f t="shared" si="35"/>
        <v>1</v>
      </c>
    </row>
    <row r="298" spans="1:30" x14ac:dyDescent="0.25">
      <c r="A298">
        <v>293</v>
      </c>
      <c r="C298" s="11">
        <v>4.9750447273254395E-2</v>
      </c>
      <c r="D298" s="11">
        <v>2.3328766226768494E-2</v>
      </c>
      <c r="E298" s="11">
        <v>0.27049899995263754</v>
      </c>
      <c r="F298" s="11">
        <v>0.1524100533563755</v>
      </c>
      <c r="G298" s="11">
        <v>2.5164663791656494E-2</v>
      </c>
      <c r="H298" s="40">
        <v>4.1076739560844583E-4</v>
      </c>
      <c r="I298" s="40">
        <v>1.4796671985012826</v>
      </c>
      <c r="J298" s="59">
        <v>0</v>
      </c>
      <c r="K298" s="59">
        <v>6472.3379909992218</v>
      </c>
      <c r="L298" s="59">
        <v>0</v>
      </c>
      <c r="M298" s="11">
        <v>0.86460080742835999</v>
      </c>
      <c r="N298" s="11">
        <v>0.7593497633934021</v>
      </c>
      <c r="O298" s="11">
        <v>0.3521122932434082</v>
      </c>
      <c r="Q298" s="59">
        <v>14.456002784483971</v>
      </c>
      <c r="R298" s="78">
        <v>520.18714888281852</v>
      </c>
      <c r="S298" s="78">
        <v>14.496734509060849</v>
      </c>
      <c r="T298" s="78">
        <v>613.58958710112699</v>
      </c>
      <c r="U298" s="59">
        <v>14.503446004546609</v>
      </c>
      <c r="V298" s="78">
        <v>807.53137035617021</v>
      </c>
      <c r="X298" s="134">
        <f t="shared" si="30"/>
        <v>1445080.0912995143</v>
      </c>
      <c r="Y298" s="134">
        <f t="shared" si="31"/>
        <v>1449059.8613189838</v>
      </c>
      <c r="Z298" s="134">
        <f t="shared" si="32"/>
        <v>1449537.0690843046</v>
      </c>
      <c r="AB298" s="127">
        <f t="shared" si="33"/>
        <v>0</v>
      </c>
      <c r="AC298" s="127">
        <f t="shared" si="34"/>
        <v>0</v>
      </c>
      <c r="AD298" s="127">
        <f t="shared" si="35"/>
        <v>1</v>
      </c>
    </row>
    <row r="299" spans="1:30" x14ac:dyDescent="0.25">
      <c r="A299">
        <v>294</v>
      </c>
      <c r="C299" s="11">
        <v>3.3750236034393311E-2</v>
      </c>
      <c r="D299" s="11">
        <v>2.5118619203567505E-2</v>
      </c>
      <c r="E299" s="11">
        <v>0.21591424154915267</v>
      </c>
      <c r="F299" s="11">
        <v>0.18178557414176483</v>
      </c>
      <c r="G299" s="11">
        <v>2.2733479738235474E-2</v>
      </c>
      <c r="H299" s="40">
        <v>7.5606567362516595E-4</v>
      </c>
      <c r="I299" s="40">
        <v>1.2946890920926326</v>
      </c>
      <c r="J299" s="59">
        <v>0</v>
      </c>
      <c r="K299" s="59">
        <v>5324.6668539941311</v>
      </c>
      <c r="L299" s="59">
        <v>0</v>
      </c>
      <c r="M299" s="11">
        <v>0.8361327052116394</v>
      </c>
      <c r="N299" s="11">
        <v>0.71349114179611206</v>
      </c>
      <c r="O299" s="11">
        <v>0.30563879013061523</v>
      </c>
      <c r="Q299" s="59">
        <v>14.204725908089813</v>
      </c>
      <c r="R299" s="78">
        <v>505.23478473167518</v>
      </c>
      <c r="S299" s="78">
        <v>14.256181674398022</v>
      </c>
      <c r="T299" s="78">
        <v>603.35096486772738</v>
      </c>
      <c r="U299" s="59">
        <v>14.258457939010004</v>
      </c>
      <c r="V299" s="78">
        <v>808.51429897827927</v>
      </c>
      <c r="X299" s="134">
        <f t="shared" si="30"/>
        <v>1419967.3560242497</v>
      </c>
      <c r="Y299" s="134">
        <f t="shared" si="31"/>
        <v>1425014.8164749343</v>
      </c>
      <c r="Z299" s="134">
        <f t="shared" si="32"/>
        <v>1425037.2796020221</v>
      </c>
      <c r="AB299" s="127">
        <f t="shared" si="33"/>
        <v>0</v>
      </c>
      <c r="AC299" s="127">
        <f t="shared" si="34"/>
        <v>0</v>
      </c>
      <c r="AD299" s="127">
        <f t="shared" si="35"/>
        <v>1</v>
      </c>
    </row>
    <row r="300" spans="1:30" x14ac:dyDescent="0.25">
      <c r="A300">
        <v>295</v>
      </c>
      <c r="C300" s="11">
        <v>4.909515380859375E-2</v>
      </c>
      <c r="D300" s="11">
        <v>2.6215136051177979E-2</v>
      </c>
      <c r="E300" s="11">
        <v>0.3017420382175488</v>
      </c>
      <c r="F300" s="11">
        <v>0.23499202936946187</v>
      </c>
      <c r="G300" s="11">
        <v>3.709825873374939E-2</v>
      </c>
      <c r="H300" s="40">
        <v>3.9608712943201425E-4</v>
      </c>
      <c r="I300" s="40">
        <v>1.523987727400723</v>
      </c>
      <c r="J300" s="59">
        <v>0</v>
      </c>
      <c r="K300" s="59">
        <v>3972.8195406496525</v>
      </c>
      <c r="L300" s="59">
        <v>0</v>
      </c>
      <c r="M300" s="11">
        <v>0.85949224233627319</v>
      </c>
      <c r="N300" s="11">
        <v>0.78591668605804443</v>
      </c>
      <c r="O300" s="11">
        <v>0.27170205116271973</v>
      </c>
      <c r="Q300" s="59">
        <v>14.377925855988805</v>
      </c>
      <c r="R300" s="78">
        <v>484.50678068375544</v>
      </c>
      <c r="S300" s="78">
        <v>14.418429023807297</v>
      </c>
      <c r="T300" s="78">
        <v>606.69776219603239</v>
      </c>
      <c r="U300" s="59">
        <v>14.422372964874565</v>
      </c>
      <c r="V300" s="78">
        <v>809.59990502530604</v>
      </c>
      <c r="X300" s="134">
        <f t="shared" si="30"/>
        <v>1437308.0788181967</v>
      </c>
      <c r="Y300" s="134">
        <f t="shared" si="31"/>
        <v>1441236.2046185338</v>
      </c>
      <c r="Z300" s="134">
        <f t="shared" si="32"/>
        <v>1441427.6965824312</v>
      </c>
      <c r="AB300" s="127">
        <f t="shared" si="33"/>
        <v>0</v>
      </c>
      <c r="AC300" s="127">
        <f t="shared" si="34"/>
        <v>0</v>
      </c>
      <c r="AD300" s="127">
        <f t="shared" si="35"/>
        <v>1</v>
      </c>
    </row>
    <row r="301" spans="1:30" x14ac:dyDescent="0.25">
      <c r="A301">
        <v>296</v>
      </c>
      <c r="C301" s="11">
        <v>4.1121065616607666E-2</v>
      </c>
      <c r="D301" s="11">
        <v>1.1390626430511475E-2</v>
      </c>
      <c r="E301" s="11">
        <v>0.12415409405449712</v>
      </c>
      <c r="F301" s="11">
        <v>0.24535358122906636</v>
      </c>
      <c r="G301" s="11">
        <v>9.5741748809814453E-3</v>
      </c>
      <c r="H301" s="40">
        <v>5.2933176067720738E-4</v>
      </c>
      <c r="I301" s="40">
        <v>1.4149601169038679</v>
      </c>
      <c r="J301" s="59">
        <v>0</v>
      </c>
      <c r="K301" s="59">
        <v>6426.0652288794518</v>
      </c>
      <c r="L301" s="59">
        <v>0</v>
      </c>
      <c r="M301" s="11">
        <v>0.83116304874420166</v>
      </c>
      <c r="N301" s="11">
        <v>0.77836567163467407</v>
      </c>
      <c r="O301" s="11">
        <v>0.25270998477935791</v>
      </c>
      <c r="Q301" s="59">
        <v>14.037284196766947</v>
      </c>
      <c r="R301" s="78">
        <v>516.58084412849746</v>
      </c>
      <c r="S301" s="78">
        <v>14.072495363285926</v>
      </c>
      <c r="T301" s="78">
        <v>594.47538398207871</v>
      </c>
      <c r="U301" s="59">
        <v>14.067538300314387</v>
      </c>
      <c r="V301" s="78">
        <v>818.51142728516288</v>
      </c>
      <c r="X301" s="134">
        <f t="shared" si="30"/>
        <v>1403211.8388325663</v>
      </c>
      <c r="Y301" s="134">
        <f t="shared" si="31"/>
        <v>1406655.0609446105</v>
      </c>
      <c r="Z301" s="134">
        <f t="shared" si="32"/>
        <v>1405935.3186041536</v>
      </c>
      <c r="AB301" s="127">
        <f t="shared" si="33"/>
        <v>0</v>
      </c>
      <c r="AC301" s="127">
        <f t="shared" si="34"/>
        <v>1</v>
      </c>
      <c r="AD301" s="127">
        <f t="shared" si="35"/>
        <v>0</v>
      </c>
    </row>
    <row r="302" spans="1:30" x14ac:dyDescent="0.25">
      <c r="A302">
        <v>297</v>
      </c>
      <c r="C302" s="11">
        <v>3.8027703762054443E-2</v>
      </c>
      <c r="D302" s="11">
        <v>8.19091796875E-2</v>
      </c>
      <c r="E302" s="11">
        <v>0.12581350688895601</v>
      </c>
      <c r="F302" s="11">
        <v>0.4841109212008754</v>
      </c>
      <c r="G302" s="11">
        <v>5.2811414003372192E-2</v>
      </c>
      <c r="H302" s="40">
        <v>4.9644794592498159E-4</v>
      </c>
      <c r="I302" s="40">
        <v>1.4709675175551957</v>
      </c>
      <c r="J302" s="59">
        <v>0</v>
      </c>
      <c r="K302" s="59">
        <v>3726.0702811181545</v>
      </c>
      <c r="L302" s="59">
        <v>0</v>
      </c>
      <c r="M302" s="11">
        <v>0.78968143463134766</v>
      </c>
      <c r="N302" s="11">
        <v>0.79940521717071533</v>
      </c>
      <c r="O302" s="11">
        <v>0.29013144969940186</v>
      </c>
      <c r="Q302" s="59">
        <v>13.363542362235288</v>
      </c>
      <c r="R302" s="78">
        <v>491.40570848635792</v>
      </c>
      <c r="S302" s="78">
        <v>13.411143372383805</v>
      </c>
      <c r="T302" s="78">
        <v>591.48003584662126</v>
      </c>
      <c r="U302" s="59">
        <v>13.391383337490517</v>
      </c>
      <c r="V302" s="78">
        <v>835.66269187288913</v>
      </c>
      <c r="X302" s="134">
        <f t="shared" si="30"/>
        <v>1335862.8305150424</v>
      </c>
      <c r="Y302" s="134">
        <f t="shared" si="31"/>
        <v>1340522.8572025339</v>
      </c>
      <c r="Z302" s="134">
        <f t="shared" si="32"/>
        <v>1338302.6710571789</v>
      </c>
      <c r="AB302" s="127">
        <f t="shared" si="33"/>
        <v>0</v>
      </c>
      <c r="AC302" s="127">
        <f t="shared" si="34"/>
        <v>1</v>
      </c>
      <c r="AD302" s="127">
        <f t="shared" si="35"/>
        <v>0</v>
      </c>
    </row>
    <row r="303" spans="1:30" x14ac:dyDescent="0.25">
      <c r="A303">
        <v>298</v>
      </c>
      <c r="C303" s="11">
        <v>3.8307309150695801E-2</v>
      </c>
      <c r="D303" s="11">
        <v>2.2147029638290405E-2</v>
      </c>
      <c r="E303" s="11">
        <v>0.66398174520640063</v>
      </c>
      <c r="F303" s="11">
        <v>0.23861487707478665</v>
      </c>
      <c r="G303" s="11">
        <v>2.357521653175354E-2</v>
      </c>
      <c r="H303" s="40">
        <v>3.936032648263301E-4</v>
      </c>
      <c r="I303" s="40">
        <v>1.4496002880166636</v>
      </c>
      <c r="J303" s="59">
        <v>0</v>
      </c>
      <c r="K303" s="59">
        <v>5033.3142280578613</v>
      </c>
      <c r="L303" s="59">
        <v>0</v>
      </c>
      <c r="M303" s="11">
        <v>0.85175397992134094</v>
      </c>
      <c r="N303" s="11">
        <v>0.72622156143188477</v>
      </c>
      <c r="O303" s="11">
        <v>0.26328444480895996</v>
      </c>
      <c r="Q303" s="59">
        <v>14.411835584662509</v>
      </c>
      <c r="R303" s="78">
        <v>480.54663589219513</v>
      </c>
      <c r="S303" s="78">
        <v>14.430710693003391</v>
      </c>
      <c r="T303" s="78">
        <v>636.76930441585046</v>
      </c>
      <c r="U303" s="59">
        <v>14.454935101861153</v>
      </c>
      <c r="V303" s="78">
        <v>808.90033372673281</v>
      </c>
      <c r="X303" s="134">
        <f t="shared" si="30"/>
        <v>1440703.0118303585</v>
      </c>
      <c r="Y303" s="134">
        <f t="shared" si="31"/>
        <v>1442434.2999959232</v>
      </c>
      <c r="Z303" s="134">
        <f t="shared" si="32"/>
        <v>1444684.6098523885</v>
      </c>
      <c r="AB303" s="127">
        <f t="shared" si="33"/>
        <v>0</v>
      </c>
      <c r="AC303" s="127">
        <f t="shared" si="34"/>
        <v>0</v>
      </c>
      <c r="AD303" s="127">
        <f t="shared" si="35"/>
        <v>1</v>
      </c>
    </row>
    <row r="304" spans="1:30" x14ac:dyDescent="0.25">
      <c r="A304">
        <v>299</v>
      </c>
      <c r="C304" s="11">
        <v>4.037022590637207E-2</v>
      </c>
      <c r="D304" s="11">
        <v>1.6982138156890869E-2</v>
      </c>
      <c r="E304" s="11">
        <v>0.27631498983211705</v>
      </c>
      <c r="F304" s="11">
        <v>0.21638652606027542</v>
      </c>
      <c r="G304" s="11">
        <v>3.7699252367019653E-2</v>
      </c>
      <c r="H304" s="40">
        <v>4.2280467371518833E-4</v>
      </c>
      <c r="I304" s="40">
        <v>1.4931622208064175</v>
      </c>
      <c r="J304" s="59">
        <v>0</v>
      </c>
      <c r="K304" s="59">
        <v>4169.4729588925838</v>
      </c>
      <c r="L304" s="59">
        <v>0</v>
      </c>
      <c r="M304" s="11">
        <v>0.85004878044128418</v>
      </c>
      <c r="N304" s="11">
        <v>0.76068204641342163</v>
      </c>
      <c r="O304" s="11">
        <v>0.35497450828552246</v>
      </c>
      <c r="Q304" s="59">
        <v>14.353712205595107</v>
      </c>
      <c r="R304" s="78">
        <v>488.04458516884085</v>
      </c>
      <c r="S304" s="78">
        <v>14.393289058406911</v>
      </c>
      <c r="T304" s="78">
        <v>605.35233934912344</v>
      </c>
      <c r="U304" s="59">
        <v>14.396625235176305</v>
      </c>
      <c r="V304" s="78">
        <v>808.66102577616016</v>
      </c>
      <c r="X304" s="134">
        <f t="shared" si="30"/>
        <v>1434883.1759743418</v>
      </c>
      <c r="Y304" s="134">
        <f t="shared" si="31"/>
        <v>1438723.553501342</v>
      </c>
      <c r="Z304" s="134">
        <f t="shared" si="32"/>
        <v>1438853.8624918545</v>
      </c>
      <c r="AB304" s="127">
        <f t="shared" si="33"/>
        <v>0</v>
      </c>
      <c r="AC304" s="127">
        <f t="shared" si="34"/>
        <v>0</v>
      </c>
      <c r="AD304" s="127">
        <f t="shared" si="35"/>
        <v>1</v>
      </c>
    </row>
    <row r="305" spans="1:30" x14ac:dyDescent="0.25">
      <c r="A305">
        <v>300</v>
      </c>
      <c r="C305" s="11">
        <v>1.7098456621170044E-2</v>
      </c>
      <c r="D305" s="11">
        <v>2.7640670537948608E-2</v>
      </c>
      <c r="E305" s="11">
        <v>0.41824211216556351</v>
      </c>
      <c r="F305" s="11">
        <v>0.24027575931467271</v>
      </c>
      <c r="G305" s="11">
        <v>3.875732421875E-2</v>
      </c>
      <c r="H305" s="40">
        <v>6.0213161040159331E-4</v>
      </c>
      <c r="I305" s="40">
        <v>1.4838851372104598</v>
      </c>
      <c r="J305" s="59">
        <v>0</v>
      </c>
      <c r="K305" s="59">
        <v>3880.9748366475105</v>
      </c>
      <c r="L305" s="59">
        <v>0</v>
      </c>
      <c r="M305" s="11">
        <v>0.80332410335540771</v>
      </c>
      <c r="N305" s="11">
        <v>0.74209833145141602</v>
      </c>
      <c r="O305" s="11">
        <v>0.25078558921813965</v>
      </c>
      <c r="Q305" s="59">
        <v>13.873518979246432</v>
      </c>
      <c r="R305" s="78">
        <v>517.68109679778274</v>
      </c>
      <c r="S305" s="78">
        <v>13.915672908812569</v>
      </c>
      <c r="T305" s="78">
        <v>631.53245031793165</v>
      </c>
      <c r="U305" s="59">
        <v>13.92888261484056</v>
      </c>
      <c r="V305" s="78">
        <v>818.32331058873365</v>
      </c>
      <c r="X305" s="134">
        <f t="shared" si="30"/>
        <v>1386834.2168278454</v>
      </c>
      <c r="Y305" s="134">
        <f t="shared" si="31"/>
        <v>1390935.7584309389</v>
      </c>
      <c r="Z305" s="134">
        <f t="shared" si="32"/>
        <v>1392069.9381734673</v>
      </c>
      <c r="AB305" s="127">
        <f t="shared" si="33"/>
        <v>0</v>
      </c>
      <c r="AC305" s="127">
        <f t="shared" si="34"/>
        <v>0</v>
      </c>
      <c r="AD305" s="127">
        <f t="shared" si="35"/>
        <v>1</v>
      </c>
    </row>
    <row r="306" spans="1:30" x14ac:dyDescent="0.25">
      <c r="A306">
        <v>301</v>
      </c>
      <c r="C306" s="11">
        <v>3.1915068626403809E-2</v>
      </c>
      <c r="D306" s="11">
        <v>2.588045597076416E-2</v>
      </c>
      <c r="E306" s="11">
        <v>0.18645450843049841</v>
      </c>
      <c r="F306" s="11">
        <v>0.11261070689622694</v>
      </c>
      <c r="G306" s="11">
        <v>2.7836084365844727E-2</v>
      </c>
      <c r="H306" s="40">
        <v>7.0515262288121786E-4</v>
      </c>
      <c r="I306" s="40">
        <v>1.3800410884145933</v>
      </c>
      <c r="J306" s="59">
        <v>0</v>
      </c>
      <c r="K306" s="59">
        <v>3936.9380101561546</v>
      </c>
      <c r="L306" s="59">
        <v>0</v>
      </c>
      <c r="M306" s="11">
        <v>0.85576200485229492</v>
      </c>
      <c r="N306" s="11">
        <v>0.75162118673324585</v>
      </c>
      <c r="O306" s="11">
        <v>0.30301022529602051</v>
      </c>
      <c r="Q306" s="59">
        <v>14.558207059537549</v>
      </c>
      <c r="R306" s="78">
        <v>495.20929692664293</v>
      </c>
      <c r="S306" s="78">
        <v>14.619087155697308</v>
      </c>
      <c r="T306" s="78">
        <v>598.21080527563458</v>
      </c>
      <c r="U306" s="59">
        <v>14.624738012884867</v>
      </c>
      <c r="V306" s="78">
        <v>799.62148618440983</v>
      </c>
      <c r="X306" s="134">
        <f t="shared" si="30"/>
        <v>1455325.4966568283</v>
      </c>
      <c r="Y306" s="134">
        <f t="shared" si="31"/>
        <v>1461310.5047644551</v>
      </c>
      <c r="Z306" s="134">
        <f t="shared" si="32"/>
        <v>1461674.1798023023</v>
      </c>
      <c r="AB306" s="127">
        <f t="shared" si="33"/>
        <v>0</v>
      </c>
      <c r="AC306" s="127">
        <f t="shared" si="34"/>
        <v>0</v>
      </c>
      <c r="AD306" s="127">
        <f t="shared" si="35"/>
        <v>1</v>
      </c>
    </row>
    <row r="307" spans="1:30" x14ac:dyDescent="0.25">
      <c r="A307">
        <v>302</v>
      </c>
      <c r="C307" s="11">
        <v>2.7211904525756836E-3</v>
      </c>
      <c r="D307" s="11">
        <v>1.1044353246688843E-2</v>
      </c>
      <c r="E307" s="11">
        <v>0.32899596729103636</v>
      </c>
      <c r="F307" s="11">
        <v>0.17354825049848174</v>
      </c>
      <c r="G307" s="11">
        <v>1.8155306577682495E-2</v>
      </c>
      <c r="H307" s="40">
        <v>4.1675103575639571E-4</v>
      </c>
      <c r="I307" s="40">
        <v>1.4543956394896727</v>
      </c>
      <c r="J307" s="59">
        <v>0</v>
      </c>
      <c r="K307" s="59">
        <v>5530.6823924183846</v>
      </c>
      <c r="L307" s="59">
        <v>0</v>
      </c>
      <c r="M307" s="11">
        <v>0.83722376823425293</v>
      </c>
      <c r="N307" s="11">
        <v>0.70190787315368652</v>
      </c>
      <c r="O307" s="11">
        <v>0.24399042129516602</v>
      </c>
      <c r="Q307" s="59">
        <v>14.685583244240737</v>
      </c>
      <c r="R307" s="78">
        <v>496.62729257044651</v>
      </c>
      <c r="S307" s="78">
        <v>14.727279438034344</v>
      </c>
      <c r="T307" s="78">
        <v>613.15219729757314</v>
      </c>
      <c r="U307" s="59">
        <v>14.737095453217949</v>
      </c>
      <c r="V307" s="78">
        <v>806.06364743436257</v>
      </c>
      <c r="X307" s="134">
        <f t="shared" si="30"/>
        <v>1468061.6971315034</v>
      </c>
      <c r="Y307" s="134">
        <f t="shared" si="31"/>
        <v>1472114.7916061368</v>
      </c>
      <c r="Z307" s="134">
        <f t="shared" si="32"/>
        <v>1472903.4816743606</v>
      </c>
      <c r="AB307" s="127">
        <f t="shared" si="33"/>
        <v>0</v>
      </c>
      <c r="AC307" s="127">
        <f t="shared" si="34"/>
        <v>0</v>
      </c>
      <c r="AD307" s="127">
        <f t="shared" si="35"/>
        <v>1</v>
      </c>
    </row>
    <row r="308" spans="1:30" x14ac:dyDescent="0.25">
      <c r="A308">
        <v>303</v>
      </c>
      <c r="C308" s="11">
        <v>1.8310666084289551E-2</v>
      </c>
      <c r="D308" s="11">
        <v>3.624647855758667E-2</v>
      </c>
      <c r="E308" s="11">
        <v>0.22166550310681146</v>
      </c>
      <c r="F308" s="11">
        <v>0.19538539437040228</v>
      </c>
      <c r="G308" s="11">
        <v>4.2156577110290527E-2</v>
      </c>
      <c r="H308" s="40">
        <v>4.4773563026188185E-4</v>
      </c>
      <c r="I308" s="40">
        <v>1.4049246750111313</v>
      </c>
      <c r="J308" s="59">
        <v>0</v>
      </c>
      <c r="K308" s="59">
        <v>5879.2904019355774</v>
      </c>
      <c r="L308" s="59">
        <v>0</v>
      </c>
      <c r="M308" s="11">
        <v>0.86487868428230286</v>
      </c>
      <c r="N308" s="11">
        <v>0.78078347444534302</v>
      </c>
      <c r="O308" s="11">
        <v>0.30462628602981567</v>
      </c>
      <c r="Q308" s="59">
        <v>14.944266796319779</v>
      </c>
      <c r="R308" s="78">
        <v>507.309488131504</v>
      </c>
      <c r="S308" s="78">
        <v>14.985245596270717</v>
      </c>
      <c r="T308" s="78">
        <v>604.41235973890355</v>
      </c>
      <c r="U308" s="59">
        <v>14.986648866536136</v>
      </c>
      <c r="V308" s="78">
        <v>810.40842838961817</v>
      </c>
      <c r="X308" s="134">
        <f t="shared" si="30"/>
        <v>1493919.3701438464</v>
      </c>
      <c r="Y308" s="134">
        <f t="shared" si="31"/>
        <v>1497920.1472673328</v>
      </c>
      <c r="Z308" s="134">
        <f t="shared" si="32"/>
        <v>1497854.478225224</v>
      </c>
      <c r="AB308" s="127">
        <f t="shared" si="33"/>
        <v>0</v>
      </c>
      <c r="AC308" s="127">
        <f t="shared" si="34"/>
        <v>1</v>
      </c>
      <c r="AD308" s="127">
        <f t="shared" si="35"/>
        <v>0</v>
      </c>
    </row>
    <row r="309" spans="1:30" x14ac:dyDescent="0.25">
      <c r="A309">
        <v>304</v>
      </c>
      <c r="C309" s="11">
        <v>3.5735011100769043E-2</v>
      </c>
      <c r="D309" s="11">
        <v>2.826276421546936E-2</v>
      </c>
      <c r="E309" s="11">
        <v>0.2088453372184122</v>
      </c>
      <c r="F309" s="11">
        <v>0.16649060948995878</v>
      </c>
      <c r="G309" s="11">
        <v>3.5414412617683411E-2</v>
      </c>
      <c r="H309" s="40">
        <v>3.0849683273657068E-4</v>
      </c>
      <c r="I309" s="40">
        <v>1.5925876335495208</v>
      </c>
      <c r="J309" s="59">
        <v>0</v>
      </c>
      <c r="K309" s="59">
        <v>5135.3150047361851</v>
      </c>
      <c r="L309" s="59">
        <v>0</v>
      </c>
      <c r="M309" s="11">
        <v>0.83882635831832886</v>
      </c>
      <c r="N309" s="11">
        <v>0.79462635517120361</v>
      </c>
      <c r="O309" s="11">
        <v>0.32370823621749878</v>
      </c>
      <c r="Q309" s="59">
        <v>14.241957729802829</v>
      </c>
      <c r="R309" s="78">
        <v>506.10490691214324</v>
      </c>
      <c r="S309" s="78">
        <v>14.277568021884612</v>
      </c>
      <c r="T309" s="78">
        <v>602.7878698466352</v>
      </c>
      <c r="U309" s="59">
        <v>14.279513565044375</v>
      </c>
      <c r="V309" s="78">
        <v>806.97986494280258</v>
      </c>
      <c r="X309" s="134">
        <f t="shared" si="30"/>
        <v>1423689.6680733708</v>
      </c>
      <c r="Y309" s="134">
        <f t="shared" si="31"/>
        <v>1427154.0143186145</v>
      </c>
      <c r="Z309" s="134">
        <f t="shared" si="32"/>
        <v>1427144.3766394947</v>
      </c>
      <c r="AB309" s="127">
        <f t="shared" si="33"/>
        <v>0</v>
      </c>
      <c r="AC309" s="127">
        <f t="shared" si="34"/>
        <v>1</v>
      </c>
      <c r="AD309" s="127">
        <f t="shared" si="35"/>
        <v>0</v>
      </c>
    </row>
    <row r="310" spans="1:30" x14ac:dyDescent="0.25">
      <c r="A310">
        <v>305</v>
      </c>
      <c r="C310" s="11">
        <v>3.512418270111084E-2</v>
      </c>
      <c r="D310" s="11">
        <v>9.6299499273300171E-3</v>
      </c>
      <c r="E310" s="11">
        <v>0.2088206093339709</v>
      </c>
      <c r="F310" s="11">
        <v>0.13544840366309827</v>
      </c>
      <c r="G310" s="11">
        <v>1.3812243938446045E-2</v>
      </c>
      <c r="H310" s="40">
        <v>2.9991302589191184E-4</v>
      </c>
      <c r="I310" s="40">
        <v>1.6081887691827383</v>
      </c>
      <c r="J310" s="59">
        <v>0</v>
      </c>
      <c r="K310" s="59">
        <v>3838.3179344236851</v>
      </c>
      <c r="L310" s="59">
        <v>0</v>
      </c>
      <c r="M310" s="11">
        <v>0.87237375974655151</v>
      </c>
      <c r="N310" s="11">
        <v>0.70342254638671875</v>
      </c>
      <c r="O310" s="11">
        <v>0.29359197616577148</v>
      </c>
      <c r="Q310" s="59">
        <v>14.78980967915731</v>
      </c>
      <c r="R310" s="78">
        <v>469.87301024874387</v>
      </c>
      <c r="S310" s="78">
        <v>14.851364057326691</v>
      </c>
      <c r="T310" s="78">
        <v>595.11153278361689</v>
      </c>
      <c r="U310" s="59">
        <v>14.857191886033142</v>
      </c>
      <c r="V310" s="78">
        <v>798.46689420036171</v>
      </c>
      <c r="X310" s="134">
        <f t="shared" si="30"/>
        <v>1478511.0949054824</v>
      </c>
      <c r="Y310" s="134">
        <f t="shared" si="31"/>
        <v>1484541.2941998856</v>
      </c>
      <c r="Z310" s="134">
        <f t="shared" si="32"/>
        <v>1484920.721709114</v>
      </c>
      <c r="AB310" s="127">
        <f t="shared" si="33"/>
        <v>0</v>
      </c>
      <c r="AC310" s="127">
        <f t="shared" si="34"/>
        <v>0</v>
      </c>
      <c r="AD310" s="127">
        <f t="shared" si="35"/>
        <v>1</v>
      </c>
    </row>
    <row r="311" spans="1:30" x14ac:dyDescent="0.25">
      <c r="A311">
        <v>306</v>
      </c>
      <c r="C311" s="11">
        <v>7.0295035839080811E-3</v>
      </c>
      <c r="D311" s="11">
        <v>3.0410408973693848E-2</v>
      </c>
      <c r="E311" s="11">
        <v>0.30232639191549221</v>
      </c>
      <c r="F311" s="11">
        <v>0.26690111500391939</v>
      </c>
      <c r="G311" s="11">
        <v>6.5622091293334961E-2</v>
      </c>
      <c r="H311" s="40">
        <v>4.7810429109470393E-4</v>
      </c>
      <c r="I311" s="40">
        <v>1.4190326411021372</v>
      </c>
      <c r="J311" s="59">
        <v>0</v>
      </c>
      <c r="K311" s="59">
        <v>6358.9052297174931</v>
      </c>
      <c r="L311" s="59">
        <v>0</v>
      </c>
      <c r="M311" s="11">
        <v>0.85930913686752319</v>
      </c>
      <c r="N311" s="11">
        <v>0.81707286834716797</v>
      </c>
      <c r="O311" s="11">
        <v>0.27039015293121338</v>
      </c>
      <c r="Q311" s="59">
        <v>15.02011181276748</v>
      </c>
      <c r="R311" s="78">
        <v>547.56966638998438</v>
      </c>
      <c r="S311" s="78">
        <v>15.055937759451341</v>
      </c>
      <c r="T311" s="78">
        <v>625.96586922311712</v>
      </c>
      <c r="U311" s="59">
        <v>15.057783737212164</v>
      </c>
      <c r="V311" s="78">
        <v>829.48699161436207</v>
      </c>
      <c r="X311" s="134">
        <f t="shared" si="30"/>
        <v>1501463.6116103579</v>
      </c>
      <c r="Y311" s="134">
        <f t="shared" si="31"/>
        <v>1504967.8100759108</v>
      </c>
      <c r="Z311" s="134">
        <f t="shared" si="32"/>
        <v>1504948.886729602</v>
      </c>
      <c r="AB311" s="127">
        <f t="shared" si="33"/>
        <v>0</v>
      </c>
      <c r="AC311" s="127">
        <f t="shared" si="34"/>
        <v>1</v>
      </c>
      <c r="AD311" s="127">
        <f t="shared" si="35"/>
        <v>0</v>
      </c>
    </row>
    <row r="312" spans="1:30" x14ac:dyDescent="0.25">
      <c r="A312">
        <v>307</v>
      </c>
      <c r="C312" s="11">
        <v>1.2197539210319519E-2</v>
      </c>
      <c r="D312" s="11">
        <v>2.7247160673141479E-2</v>
      </c>
      <c r="E312" s="11">
        <v>0.2263099678373828</v>
      </c>
      <c r="F312" s="11">
        <v>0.20746630604597649</v>
      </c>
      <c r="G312" s="11">
        <v>2.9172509908676147E-2</v>
      </c>
      <c r="H312" s="40">
        <v>4.4487654228382833E-4</v>
      </c>
      <c r="I312" s="40">
        <v>1.3942309705880696</v>
      </c>
      <c r="J312" s="59">
        <v>0</v>
      </c>
      <c r="K312" s="59">
        <v>6803.2834678888321</v>
      </c>
      <c r="L312" s="59">
        <v>0</v>
      </c>
      <c r="M312" s="11">
        <v>0.83500581979751587</v>
      </c>
      <c r="N312" s="11">
        <v>0.71757644414901733</v>
      </c>
      <c r="O312" s="11">
        <v>0.34810996055603027</v>
      </c>
      <c r="Q312" s="59">
        <v>14.516993656967905</v>
      </c>
      <c r="R312" s="78">
        <v>513.09115279760738</v>
      </c>
      <c r="S312" s="78">
        <v>14.557299873442478</v>
      </c>
      <c r="T312" s="78">
        <v>606.2571511427883</v>
      </c>
      <c r="U312" s="59">
        <v>14.558294498717549</v>
      </c>
      <c r="V312" s="78">
        <v>812.9944854799835</v>
      </c>
      <c r="X312" s="134">
        <f t="shared" si="30"/>
        <v>1451186.2745439929</v>
      </c>
      <c r="Y312" s="134">
        <f t="shared" si="31"/>
        <v>1455123.7301931051</v>
      </c>
      <c r="Z312" s="134">
        <f t="shared" si="32"/>
        <v>1455016.455386275</v>
      </c>
      <c r="AB312" s="127">
        <f t="shared" si="33"/>
        <v>0</v>
      </c>
      <c r="AC312" s="127">
        <f t="shared" si="34"/>
        <v>1</v>
      </c>
      <c r="AD312" s="127">
        <f t="shared" si="35"/>
        <v>0</v>
      </c>
    </row>
    <row r="313" spans="1:30" x14ac:dyDescent="0.25">
      <c r="A313">
        <v>308</v>
      </c>
      <c r="C313" s="11">
        <v>3.3764272928237915E-2</v>
      </c>
      <c r="D313" s="11">
        <v>3.8932323455810547E-2</v>
      </c>
      <c r="E313" s="11">
        <v>0.40141613595836917</v>
      </c>
      <c r="F313" s="11">
        <v>0.15966110031763656</v>
      </c>
      <c r="G313" s="11">
        <v>6.4028441905975342E-2</v>
      </c>
      <c r="H313" s="40">
        <v>3.2056548502528386E-4</v>
      </c>
      <c r="I313" s="40">
        <v>1.5201242865562934</v>
      </c>
      <c r="J313" s="59">
        <v>0</v>
      </c>
      <c r="K313" s="59">
        <v>3841.6404277086258</v>
      </c>
      <c r="L313" s="59">
        <v>0</v>
      </c>
      <c r="M313" s="11">
        <v>0.78673028945922852</v>
      </c>
      <c r="N313" s="11">
        <v>0.73348754644393921</v>
      </c>
      <c r="O313" s="11">
        <v>0.30688369274139404</v>
      </c>
      <c r="Q313" s="59">
        <v>13.382243843371786</v>
      </c>
      <c r="R313" s="78">
        <v>474.54097543756291</v>
      </c>
      <c r="S313" s="78">
        <v>13.408989083846304</v>
      </c>
      <c r="T313" s="78">
        <v>611.63756334807965</v>
      </c>
      <c r="U313" s="59">
        <v>13.419963886438012</v>
      </c>
      <c r="V313" s="78">
        <v>801.03137967163832</v>
      </c>
      <c r="X313" s="134">
        <f t="shared" si="30"/>
        <v>1337749.8433617412</v>
      </c>
      <c r="Y313" s="134">
        <f t="shared" si="31"/>
        <v>1340287.2708212824</v>
      </c>
      <c r="Z313" s="134">
        <f t="shared" si="32"/>
        <v>1341195.3572641297</v>
      </c>
      <c r="AB313" s="127">
        <f t="shared" si="33"/>
        <v>0</v>
      </c>
      <c r="AC313" s="127">
        <f t="shared" si="34"/>
        <v>0</v>
      </c>
      <c r="AD313" s="127">
        <f t="shared" si="35"/>
        <v>1</v>
      </c>
    </row>
    <row r="314" spans="1:30" x14ac:dyDescent="0.25">
      <c r="A314">
        <v>309</v>
      </c>
      <c r="C314" s="11">
        <v>1.3034194707870483E-2</v>
      </c>
      <c r="D314" s="11">
        <v>2.2572576999664307E-2</v>
      </c>
      <c r="E314" s="11">
        <v>0.35044327400778219</v>
      </c>
      <c r="F314" s="11">
        <v>0.18314303897484052</v>
      </c>
      <c r="G314" s="11">
        <v>2.8646290302276611E-2</v>
      </c>
      <c r="H314" s="40">
        <v>3.6060412158613173E-4</v>
      </c>
      <c r="I314" s="40">
        <v>1.5536029689149613</v>
      </c>
      <c r="J314" s="59">
        <v>0</v>
      </c>
      <c r="K314" s="59">
        <v>4480.4229401051998</v>
      </c>
      <c r="L314" s="59">
        <v>0</v>
      </c>
      <c r="M314" s="11">
        <v>0.87483268976211548</v>
      </c>
      <c r="N314" s="11">
        <v>0.70692706108093262</v>
      </c>
      <c r="O314" s="11">
        <v>0.30214411020278931</v>
      </c>
      <c r="Q314" s="59">
        <v>15.164475596002255</v>
      </c>
      <c r="R314" s="78">
        <v>494.74328539613293</v>
      </c>
      <c r="S314" s="78">
        <v>15.220381993524459</v>
      </c>
      <c r="T314" s="78">
        <v>614.78017429687964</v>
      </c>
      <c r="U314" s="59">
        <v>15.235060115355195</v>
      </c>
      <c r="V314" s="78">
        <v>806.76387836989829</v>
      </c>
      <c r="X314" s="134">
        <f t="shared" si="30"/>
        <v>1515952.8163148293</v>
      </c>
      <c r="Y314" s="134">
        <f t="shared" si="31"/>
        <v>1521423.419178149</v>
      </c>
      <c r="Z314" s="134">
        <f t="shared" si="32"/>
        <v>1522699.2476571496</v>
      </c>
      <c r="AB314" s="127">
        <f t="shared" si="33"/>
        <v>0</v>
      </c>
      <c r="AC314" s="127">
        <f t="shared" si="34"/>
        <v>0</v>
      </c>
      <c r="AD314" s="127">
        <f t="shared" si="35"/>
        <v>1</v>
      </c>
    </row>
    <row r="315" spans="1:30" x14ac:dyDescent="0.25">
      <c r="A315">
        <v>310</v>
      </c>
      <c r="C315" s="11">
        <v>3.2359004020690918E-2</v>
      </c>
      <c r="D315" s="11">
        <v>1.1677980422973633E-2</v>
      </c>
      <c r="E315" s="11">
        <v>0.11862959742537964</v>
      </c>
      <c r="F315" s="11">
        <v>0.18636115550848686</v>
      </c>
      <c r="G315" s="11">
        <v>3.7362322211265564E-2</v>
      </c>
      <c r="H315" s="40">
        <v>3.5691054507869566E-4</v>
      </c>
      <c r="I315" s="40">
        <v>1.6151440037236469</v>
      </c>
      <c r="J315" s="59">
        <v>0</v>
      </c>
      <c r="K315" s="59">
        <v>4670.8062291145325</v>
      </c>
      <c r="L315" s="59">
        <v>0</v>
      </c>
      <c r="M315" s="11">
        <v>0.89505231380462646</v>
      </c>
      <c r="N315" s="11">
        <v>0.79102158546447754</v>
      </c>
      <c r="O315" s="11">
        <v>0.28717374801635742</v>
      </c>
      <c r="Q315" s="59">
        <v>15.22090899211527</v>
      </c>
      <c r="R315" s="78">
        <v>521.67253732811992</v>
      </c>
      <c r="S315" s="78">
        <v>15.288817773412395</v>
      </c>
      <c r="T315" s="78">
        <v>594.4840831688731</v>
      </c>
      <c r="U315" s="59">
        <v>15.283470702666172</v>
      </c>
      <c r="V315" s="78">
        <v>812.2830580026606</v>
      </c>
      <c r="X315" s="134">
        <f t="shared" si="30"/>
        <v>1521569.2266741986</v>
      </c>
      <c r="Y315" s="134">
        <f t="shared" si="31"/>
        <v>1528287.2932580707</v>
      </c>
      <c r="Z315" s="134">
        <f t="shared" si="32"/>
        <v>1527534.7872086146</v>
      </c>
      <c r="AB315" s="127">
        <f t="shared" si="33"/>
        <v>0</v>
      </c>
      <c r="AC315" s="127">
        <f t="shared" si="34"/>
        <v>1</v>
      </c>
      <c r="AD315" s="127">
        <f t="shared" si="35"/>
        <v>0</v>
      </c>
    </row>
    <row r="316" spans="1:30" x14ac:dyDescent="0.25">
      <c r="A316">
        <v>311</v>
      </c>
      <c r="C316" s="11">
        <v>2.2211849689483643E-2</v>
      </c>
      <c r="D316" s="11">
        <v>2.3334354162216187E-2</v>
      </c>
      <c r="E316" s="11">
        <v>0.32198985407757974</v>
      </c>
      <c r="F316" s="11">
        <v>0.12472649408110147</v>
      </c>
      <c r="G316" s="11">
        <v>3.6944866180419922E-2</v>
      </c>
      <c r="H316" s="40">
        <v>4.3575754979299026E-4</v>
      </c>
      <c r="I316" s="40">
        <v>1.3701032610926105</v>
      </c>
      <c r="J316" s="59">
        <v>0</v>
      </c>
      <c r="K316" s="59">
        <v>6266.2642449140549</v>
      </c>
      <c r="L316" s="59">
        <v>0</v>
      </c>
      <c r="M316" s="11">
        <v>0.90300369262695313</v>
      </c>
      <c r="N316" s="11">
        <v>0.67326831817626953</v>
      </c>
      <c r="O316" s="11">
        <v>0.3029746413230896</v>
      </c>
      <c r="Q316" s="59">
        <v>15.520106649088422</v>
      </c>
      <c r="R316" s="78">
        <v>497.53970564213176</v>
      </c>
      <c r="S316" s="78">
        <v>15.571314883179282</v>
      </c>
      <c r="T316" s="78">
        <v>612.63424447781097</v>
      </c>
      <c r="U316" s="59">
        <v>15.58640477570875</v>
      </c>
      <c r="V316" s="78">
        <v>801.06226543959997</v>
      </c>
      <c r="X316" s="134">
        <f t="shared" si="30"/>
        <v>1551513.1252032002</v>
      </c>
      <c r="Y316" s="134">
        <f t="shared" si="31"/>
        <v>1556518.8540734504</v>
      </c>
      <c r="Z316" s="134">
        <f t="shared" si="32"/>
        <v>1557839.4153054354</v>
      </c>
      <c r="AB316" s="127">
        <f t="shared" si="33"/>
        <v>0</v>
      </c>
      <c r="AC316" s="127">
        <f t="shared" si="34"/>
        <v>0</v>
      </c>
      <c r="AD316" s="127">
        <f t="shared" si="35"/>
        <v>1</v>
      </c>
    </row>
    <row r="317" spans="1:30" x14ac:dyDescent="0.25">
      <c r="A317">
        <v>312</v>
      </c>
      <c r="C317" s="11">
        <v>1.5647992491722107E-2</v>
      </c>
      <c r="D317" s="11">
        <v>3.9061903953552246E-2</v>
      </c>
      <c r="E317" s="11">
        <v>0.26731950393027692</v>
      </c>
      <c r="F317" s="11">
        <v>5.6915505288280051E-2</v>
      </c>
      <c r="G317" s="11">
        <v>1.3588547706604004E-2</v>
      </c>
      <c r="H317" s="40">
        <v>4.4289971307733678E-4</v>
      </c>
      <c r="I317" s="40">
        <v>1.4220919245750421</v>
      </c>
      <c r="J317" s="59">
        <v>0</v>
      </c>
      <c r="K317" s="59">
        <v>2599.0698486566544</v>
      </c>
      <c r="L317" s="59">
        <v>0</v>
      </c>
      <c r="M317" s="11">
        <v>0.88500845432281494</v>
      </c>
      <c r="N317" s="11">
        <v>0.75408679246902466</v>
      </c>
      <c r="O317" s="11">
        <v>0.29721680283546448</v>
      </c>
      <c r="Q317" s="59">
        <v>15.323418477761761</v>
      </c>
      <c r="R317" s="78">
        <v>438.62611928305523</v>
      </c>
      <c r="S317" s="78">
        <v>15.370357342329616</v>
      </c>
      <c r="T317" s="78">
        <v>591.07267103036008</v>
      </c>
      <c r="U317" s="59">
        <v>15.384071712503793</v>
      </c>
      <c r="V317" s="78">
        <v>790.57929710550786</v>
      </c>
      <c r="X317" s="134">
        <f t="shared" si="30"/>
        <v>1531903.2216568931</v>
      </c>
      <c r="Y317" s="134">
        <f t="shared" si="31"/>
        <v>1536444.6615619313</v>
      </c>
      <c r="Z317" s="134">
        <f t="shared" si="32"/>
        <v>1537616.5919532739</v>
      </c>
      <c r="AB317" s="127">
        <f t="shared" si="33"/>
        <v>0</v>
      </c>
      <c r="AC317" s="127">
        <f t="shared" si="34"/>
        <v>0</v>
      </c>
      <c r="AD317" s="127">
        <f t="shared" si="35"/>
        <v>1</v>
      </c>
    </row>
    <row r="318" spans="1:30" x14ac:dyDescent="0.25">
      <c r="A318">
        <v>313</v>
      </c>
      <c r="C318" s="11">
        <v>8.2013309001922607E-3</v>
      </c>
      <c r="D318" s="11">
        <v>9.5002949237823486E-3</v>
      </c>
      <c r="E318" s="11">
        <v>0.30567134358158782</v>
      </c>
      <c r="F318" s="11">
        <v>0.11524682623092083</v>
      </c>
      <c r="G318" s="11">
        <v>3.8465648889541626E-2</v>
      </c>
      <c r="H318" s="40">
        <v>3.9165848128480993E-4</v>
      </c>
      <c r="I318" s="40">
        <v>1.4300261110431678</v>
      </c>
      <c r="J318" s="59">
        <v>0</v>
      </c>
      <c r="K318" s="59">
        <v>5057.9151138663292</v>
      </c>
      <c r="L318" s="59">
        <v>0</v>
      </c>
      <c r="M318" s="11">
        <v>0.87168043851852417</v>
      </c>
      <c r="N318" s="11">
        <v>0.78111076354980469</v>
      </c>
      <c r="O318" s="11">
        <v>0.24117374420166016</v>
      </c>
      <c r="Q318" s="59">
        <v>15.223563914588432</v>
      </c>
      <c r="R318" s="78">
        <v>485.74088990332541</v>
      </c>
      <c r="S318" s="78">
        <v>15.256133066514762</v>
      </c>
      <c r="T318" s="78">
        <v>607.32402273766183</v>
      </c>
      <c r="U318" s="59">
        <v>15.265201916261546</v>
      </c>
      <c r="V318" s="78">
        <v>798.70841443939662</v>
      </c>
      <c r="X318" s="134">
        <f t="shared" si="30"/>
        <v>1521870.6505689397</v>
      </c>
      <c r="Y318" s="134">
        <f t="shared" si="31"/>
        <v>1525005.9826287385</v>
      </c>
      <c r="Z318" s="134">
        <f t="shared" si="32"/>
        <v>1525721.4832117152</v>
      </c>
      <c r="AB318" s="127">
        <f t="shared" si="33"/>
        <v>0</v>
      </c>
      <c r="AC318" s="127">
        <f t="shared" si="34"/>
        <v>0</v>
      </c>
      <c r="AD318" s="127">
        <f t="shared" si="35"/>
        <v>1</v>
      </c>
    </row>
    <row r="319" spans="1:30" x14ac:dyDescent="0.25">
      <c r="A319">
        <v>314</v>
      </c>
      <c r="C319" s="11">
        <v>2.0791679620742798E-2</v>
      </c>
      <c r="D319" s="11">
        <v>2.8073817491531372E-2</v>
      </c>
      <c r="E319" s="11">
        <v>0.49792569472819925</v>
      </c>
      <c r="F319" s="11">
        <v>0.1519552590102714</v>
      </c>
      <c r="G319" s="11">
        <v>5.0321698188781738E-2</v>
      </c>
      <c r="H319" s="40">
        <v>7.1345212047503148E-4</v>
      </c>
      <c r="I319" s="40">
        <v>1.3972214082352998</v>
      </c>
      <c r="J319" s="59">
        <v>0</v>
      </c>
      <c r="K319" s="59">
        <v>4906.852263957262</v>
      </c>
      <c r="L319" s="59">
        <v>0</v>
      </c>
      <c r="M319" s="11">
        <v>0.873862624168396</v>
      </c>
      <c r="N319" s="11">
        <v>0.79487776756286621</v>
      </c>
      <c r="O319" s="11">
        <v>0.24831438064575195</v>
      </c>
      <c r="Q319" s="59">
        <v>15.03264865468625</v>
      </c>
      <c r="R319" s="78">
        <v>546.00126132808839</v>
      </c>
      <c r="S319" s="78">
        <v>15.073238185517544</v>
      </c>
      <c r="T319" s="78">
        <v>655.5633715993547</v>
      </c>
      <c r="U319" s="59">
        <v>15.101863585960398</v>
      </c>
      <c r="V319" s="78">
        <v>811.55334790680536</v>
      </c>
      <c r="X319" s="134">
        <f t="shared" si="30"/>
        <v>1502718.8642072969</v>
      </c>
      <c r="Y319" s="134">
        <f t="shared" si="31"/>
        <v>1506668.2551801549</v>
      </c>
      <c r="Z319" s="134">
        <f t="shared" si="32"/>
        <v>1509374.8052481331</v>
      </c>
      <c r="AB319" s="127">
        <f t="shared" si="33"/>
        <v>0</v>
      </c>
      <c r="AC319" s="127">
        <f t="shared" si="34"/>
        <v>0</v>
      </c>
      <c r="AD319" s="127">
        <f t="shared" si="35"/>
        <v>1</v>
      </c>
    </row>
    <row r="320" spans="1:30" x14ac:dyDescent="0.25">
      <c r="A320">
        <v>315</v>
      </c>
      <c r="C320" s="11">
        <v>3.0693411827087402E-3</v>
      </c>
      <c r="D320" s="11">
        <v>1.331736147403717E-2</v>
      </c>
      <c r="E320" s="11">
        <v>0.1944290710360656</v>
      </c>
      <c r="F320" s="11">
        <v>0.20557265767852517</v>
      </c>
      <c r="G320" s="11">
        <v>3.7273555994033813E-2</v>
      </c>
      <c r="H320" s="40">
        <v>6.0221899998665225E-4</v>
      </c>
      <c r="I320" s="40">
        <v>1.3975594191154344</v>
      </c>
      <c r="J320" s="59">
        <v>0</v>
      </c>
      <c r="K320" s="59">
        <v>3333.5248008370399</v>
      </c>
      <c r="L320" s="59">
        <v>0</v>
      </c>
      <c r="M320" s="11">
        <v>0.83746600151062012</v>
      </c>
      <c r="N320" s="11">
        <v>0.73958337306976318</v>
      </c>
      <c r="O320" s="11">
        <v>0.28466182947158813</v>
      </c>
      <c r="Q320" s="59">
        <v>14.682067697480173</v>
      </c>
      <c r="R320" s="78">
        <v>477.90797510881822</v>
      </c>
      <c r="S320" s="78">
        <v>14.734333027303606</v>
      </c>
      <c r="T320" s="78">
        <v>595.5755141009987</v>
      </c>
      <c r="U320" s="59">
        <v>14.733596672493457</v>
      </c>
      <c r="V320" s="78">
        <v>805.52165177579093</v>
      </c>
      <c r="X320" s="134">
        <f t="shared" si="30"/>
        <v>1467728.8617729086</v>
      </c>
      <c r="Y320" s="134">
        <f t="shared" si="31"/>
        <v>1472837.7272162596</v>
      </c>
      <c r="Z320" s="134">
        <f t="shared" si="32"/>
        <v>1472554.1455975699</v>
      </c>
      <c r="AB320" s="127">
        <f t="shared" si="33"/>
        <v>0</v>
      </c>
      <c r="AC320" s="127">
        <f t="shared" si="34"/>
        <v>1</v>
      </c>
      <c r="AD320" s="127">
        <f t="shared" si="35"/>
        <v>0</v>
      </c>
    </row>
    <row r="321" spans="1:30" x14ac:dyDescent="0.25">
      <c r="A321">
        <v>316</v>
      </c>
      <c r="C321" s="11">
        <v>2.8796076774597168E-2</v>
      </c>
      <c r="D321" s="11">
        <v>1.885029673576355E-2</v>
      </c>
      <c r="E321" s="11">
        <v>0.17253805104461789</v>
      </c>
      <c r="F321" s="11">
        <v>0.17851170341683065</v>
      </c>
      <c r="G321" s="11">
        <v>4.1427165269851685E-2</v>
      </c>
      <c r="H321" s="40">
        <v>3.4409103196076198E-4</v>
      </c>
      <c r="I321" s="40">
        <v>1.4912918623641296</v>
      </c>
      <c r="J321" s="59">
        <v>0</v>
      </c>
      <c r="K321" s="59">
        <v>8142.9816782474518</v>
      </c>
      <c r="L321" s="59">
        <v>0</v>
      </c>
      <c r="M321" s="11">
        <v>0.87894493341445923</v>
      </c>
      <c r="N321" s="11">
        <v>0.7678062915802002</v>
      </c>
      <c r="O321" s="11">
        <v>0.33526164293289185</v>
      </c>
      <c r="Q321" s="59">
        <v>15.024692305351053</v>
      </c>
      <c r="R321" s="78">
        <v>547.80991366891328</v>
      </c>
      <c r="S321" s="78">
        <v>15.068863914497038</v>
      </c>
      <c r="T321" s="78">
        <v>605.88351064900974</v>
      </c>
      <c r="U321" s="59">
        <v>15.06854021236329</v>
      </c>
      <c r="V321" s="78">
        <v>815.81166622539695</v>
      </c>
      <c r="X321" s="134">
        <f t="shared" si="30"/>
        <v>1501921.4206214363</v>
      </c>
      <c r="Y321" s="134">
        <f t="shared" si="31"/>
        <v>1506280.5079390549</v>
      </c>
      <c r="Z321" s="134">
        <f t="shared" si="32"/>
        <v>1506038.2095701038</v>
      </c>
      <c r="AB321" s="127">
        <f t="shared" si="33"/>
        <v>0</v>
      </c>
      <c r="AC321" s="127">
        <f t="shared" si="34"/>
        <v>1</v>
      </c>
      <c r="AD321" s="127">
        <f t="shared" si="35"/>
        <v>0</v>
      </c>
    </row>
    <row r="322" spans="1:30" x14ac:dyDescent="0.25">
      <c r="A322">
        <v>317</v>
      </c>
      <c r="C322" s="11">
        <v>2.2331103682518005E-2</v>
      </c>
      <c r="D322" s="11">
        <v>4.9095004796981812E-3</v>
      </c>
      <c r="E322" s="11">
        <v>0.32812643743299613</v>
      </c>
      <c r="F322" s="11">
        <v>0.31173975229718554</v>
      </c>
      <c r="G322" s="11">
        <v>1.7310559749603271E-2</v>
      </c>
      <c r="H322" s="40">
        <v>4.4326984107123478E-4</v>
      </c>
      <c r="I322" s="40">
        <v>1.4651082235697415</v>
      </c>
      <c r="J322" s="59">
        <v>0</v>
      </c>
      <c r="K322" s="59">
        <v>4151.579923927784</v>
      </c>
      <c r="L322" s="59">
        <v>0</v>
      </c>
      <c r="M322" s="11">
        <v>0.81869792938232422</v>
      </c>
      <c r="N322" s="11">
        <v>0.7334672212600708</v>
      </c>
      <c r="O322" s="11">
        <v>0.3311314582824707</v>
      </c>
      <c r="Q322" s="59">
        <v>14.092054603278575</v>
      </c>
      <c r="R322" s="78">
        <v>476.40170148855077</v>
      </c>
      <c r="S322" s="78">
        <v>14.12283551606191</v>
      </c>
      <c r="T322" s="78">
        <v>606.38216311152757</v>
      </c>
      <c r="U322" s="59">
        <v>14.123597634675056</v>
      </c>
      <c r="V322" s="78">
        <v>814.02276031989504</v>
      </c>
      <c r="X322" s="134">
        <f t="shared" si="30"/>
        <v>1408729.0586263689</v>
      </c>
      <c r="Y322" s="134">
        <f t="shared" si="31"/>
        <v>1411677.1694430795</v>
      </c>
      <c r="Z322" s="134">
        <f t="shared" si="32"/>
        <v>1411545.7407071856</v>
      </c>
      <c r="AB322" s="127">
        <f t="shared" si="33"/>
        <v>0</v>
      </c>
      <c r="AC322" s="127">
        <f t="shared" si="34"/>
        <v>1</v>
      </c>
      <c r="AD322" s="127">
        <f t="shared" si="35"/>
        <v>0</v>
      </c>
    </row>
    <row r="323" spans="1:30" x14ac:dyDescent="0.25">
      <c r="A323">
        <v>318</v>
      </c>
      <c r="C323" s="11">
        <v>2.5395333766937256E-2</v>
      </c>
      <c r="D323" s="11">
        <v>1.319943368434906E-2</v>
      </c>
      <c r="E323" s="11">
        <v>0.1794807234115022</v>
      </c>
      <c r="F323" s="11">
        <v>6.2267256514642551E-2</v>
      </c>
      <c r="G323" s="11">
        <v>4.7041237354278564E-2</v>
      </c>
      <c r="H323" s="40">
        <v>3.5588910776420145E-4</v>
      </c>
      <c r="I323" s="40">
        <v>1.5845283020712067</v>
      </c>
      <c r="J323" s="59">
        <v>0</v>
      </c>
      <c r="K323" s="59">
        <v>7051.4483377337456</v>
      </c>
      <c r="L323" s="59">
        <v>0</v>
      </c>
      <c r="M323" s="11">
        <v>0.8673323392868042</v>
      </c>
      <c r="N323" s="11">
        <v>0.8226931095123291</v>
      </c>
      <c r="O323" s="11">
        <v>0.32383161783218384</v>
      </c>
      <c r="Q323" s="59">
        <v>14.881323010206531</v>
      </c>
      <c r="R323" s="78">
        <v>579.94154569911404</v>
      </c>
      <c r="S323" s="78">
        <v>14.921987073377501</v>
      </c>
      <c r="T323" s="78">
        <v>612.9874198277804</v>
      </c>
      <c r="U323" s="59">
        <v>14.92794828118711</v>
      </c>
      <c r="V323" s="78">
        <v>799.82233185858195</v>
      </c>
      <c r="X323" s="134">
        <f t="shared" si="30"/>
        <v>1487552.359474954</v>
      </c>
      <c r="Y323" s="134">
        <f t="shared" si="31"/>
        <v>1491585.7199179223</v>
      </c>
      <c r="Z323" s="134">
        <f t="shared" si="32"/>
        <v>1491995.0057868524</v>
      </c>
      <c r="AB323" s="127">
        <f t="shared" si="33"/>
        <v>0</v>
      </c>
      <c r="AC323" s="127">
        <f t="shared" si="34"/>
        <v>0</v>
      </c>
      <c r="AD323" s="127">
        <f t="shared" si="35"/>
        <v>1</v>
      </c>
    </row>
    <row r="324" spans="1:30" x14ac:dyDescent="0.25">
      <c r="A324">
        <v>319</v>
      </c>
      <c r="C324" s="11">
        <v>3.5779833793640137E-2</v>
      </c>
      <c r="D324" s="11">
        <v>2.7931481599807739E-2</v>
      </c>
      <c r="E324" s="11">
        <v>0.32401608123769726</v>
      </c>
      <c r="F324" s="11">
        <v>0.21225351082004651</v>
      </c>
      <c r="G324" s="11">
        <v>4.1007518768310547E-2</v>
      </c>
      <c r="H324" s="40">
        <v>3.7418272430870901E-4</v>
      </c>
      <c r="I324" s="40">
        <v>1.4791359325967917</v>
      </c>
      <c r="J324" s="59">
        <v>0</v>
      </c>
      <c r="K324" s="59">
        <v>8270.4797387123108</v>
      </c>
      <c r="L324" s="59">
        <v>0</v>
      </c>
      <c r="M324" s="11">
        <v>0.85557970404624939</v>
      </c>
      <c r="N324" s="11">
        <v>0.70851385593414307</v>
      </c>
      <c r="O324" s="11">
        <v>0.3346027135848999</v>
      </c>
      <c r="Q324" s="59">
        <v>14.505843450638837</v>
      </c>
      <c r="R324" s="78">
        <v>555.88963698369685</v>
      </c>
      <c r="S324" s="78">
        <v>14.550207286640818</v>
      </c>
      <c r="T324" s="78">
        <v>632.03523141111611</v>
      </c>
      <c r="U324" s="59">
        <v>14.557650509707141</v>
      </c>
      <c r="V324" s="78">
        <v>822.80545677839893</v>
      </c>
      <c r="X324" s="134">
        <f t="shared" si="30"/>
        <v>1450028.4554269002</v>
      </c>
      <c r="Y324" s="134">
        <f t="shared" si="31"/>
        <v>1454388.6934326706</v>
      </c>
      <c r="Z324" s="134">
        <f t="shared" si="32"/>
        <v>1454942.2455139356</v>
      </c>
      <c r="AB324" s="127">
        <f t="shared" si="33"/>
        <v>0</v>
      </c>
      <c r="AC324" s="127">
        <f t="shared" si="34"/>
        <v>0</v>
      </c>
      <c r="AD324" s="127">
        <f t="shared" si="35"/>
        <v>1</v>
      </c>
    </row>
    <row r="325" spans="1:30" x14ac:dyDescent="0.25">
      <c r="A325">
        <v>320</v>
      </c>
      <c r="C325" s="11">
        <v>1.5673011541366577E-2</v>
      </c>
      <c r="D325" s="11">
        <v>5.4738670587539673E-3</v>
      </c>
      <c r="E325" s="11">
        <v>0.23205831430836352</v>
      </c>
      <c r="F325" s="11">
        <v>0.14229430968954404</v>
      </c>
      <c r="G325" s="11">
        <v>3.8581550121307373E-2</v>
      </c>
      <c r="H325" s="40">
        <v>3.7784230210416702E-4</v>
      </c>
      <c r="I325" s="40">
        <v>1.5332782916479215</v>
      </c>
      <c r="J325" s="59">
        <v>0</v>
      </c>
      <c r="K325" s="59">
        <v>3428.9015457034111</v>
      </c>
      <c r="L325" s="59">
        <v>0</v>
      </c>
      <c r="M325" s="11">
        <v>0.87918055057525635</v>
      </c>
      <c r="N325" s="11">
        <v>0.74562758207321167</v>
      </c>
      <c r="O325" s="11">
        <v>0.32145118713378906</v>
      </c>
      <c r="Q325" s="59">
        <v>15.215827134540232</v>
      </c>
      <c r="R325" s="78">
        <v>474.32821806263843</v>
      </c>
      <c r="S325" s="78">
        <v>15.269484640818616</v>
      </c>
      <c r="T325" s="78">
        <v>597.92761572335269</v>
      </c>
      <c r="U325" s="59">
        <v>15.275882795670558</v>
      </c>
      <c r="V325" s="78">
        <v>799.62699109175696</v>
      </c>
      <c r="X325" s="134">
        <f t="shared" si="30"/>
        <v>1521108.3852359606</v>
      </c>
      <c r="Y325" s="134">
        <f t="shared" si="31"/>
        <v>1526350.5364661382</v>
      </c>
      <c r="Z325" s="134">
        <f t="shared" si="32"/>
        <v>1526788.6525759641</v>
      </c>
      <c r="AB325" s="127">
        <f t="shared" si="33"/>
        <v>0</v>
      </c>
      <c r="AC325" s="127">
        <f t="shared" si="34"/>
        <v>0</v>
      </c>
      <c r="AD325" s="127">
        <f t="shared" si="35"/>
        <v>1</v>
      </c>
    </row>
    <row r="326" spans="1:30" x14ac:dyDescent="0.25">
      <c r="A326">
        <v>321</v>
      </c>
      <c r="C326" s="11">
        <v>2.601248025894165E-2</v>
      </c>
      <c r="D326" s="11">
        <v>2.5198936462402344E-2</v>
      </c>
      <c r="E326" s="11">
        <v>0.61313090175704721</v>
      </c>
      <c r="F326" s="11">
        <v>0.39000726111800205</v>
      </c>
      <c r="G326" s="11">
        <v>3.4601390361785889E-2</v>
      </c>
      <c r="H326" s="40">
        <v>3.9741495249704116E-4</v>
      </c>
      <c r="I326" s="40">
        <v>1.4826776324267106</v>
      </c>
      <c r="J326" s="59">
        <v>0</v>
      </c>
      <c r="K326" s="59">
        <v>6400.1907594501972</v>
      </c>
      <c r="L326" s="59">
        <v>0</v>
      </c>
      <c r="M326" s="11">
        <v>0.82037621736526489</v>
      </c>
      <c r="N326" s="11">
        <v>0.78779536485671997</v>
      </c>
      <c r="O326" s="11">
        <v>0.25425148010253906</v>
      </c>
      <c r="Q326" s="59">
        <v>14.074024301442787</v>
      </c>
      <c r="R326" s="78">
        <v>525.38617577101024</v>
      </c>
      <c r="S326" s="78">
        <v>14.089223125228118</v>
      </c>
      <c r="T326" s="78">
        <v>660.1061838705383</v>
      </c>
      <c r="U326" s="59">
        <v>14.098105009813775</v>
      </c>
      <c r="V326" s="78">
        <v>839.79447768246951</v>
      </c>
      <c r="X326" s="134">
        <f t="shared" si="30"/>
        <v>1406877.0439685078</v>
      </c>
      <c r="Y326" s="134">
        <f t="shared" si="31"/>
        <v>1408262.2063389414</v>
      </c>
      <c r="Z326" s="134">
        <f t="shared" si="32"/>
        <v>1408970.7065036949</v>
      </c>
      <c r="AB326" s="127">
        <f t="shared" si="33"/>
        <v>0</v>
      </c>
      <c r="AC326" s="127">
        <f t="shared" si="34"/>
        <v>0</v>
      </c>
      <c r="AD326" s="127">
        <f t="shared" si="35"/>
        <v>1</v>
      </c>
    </row>
    <row r="327" spans="1:30" x14ac:dyDescent="0.25">
      <c r="A327">
        <v>322</v>
      </c>
      <c r="C327" s="11">
        <v>4.14314866065979E-2</v>
      </c>
      <c r="D327" s="11">
        <v>2.38475501537323E-2</v>
      </c>
      <c r="E327" s="11">
        <v>0.33040861671325339</v>
      </c>
      <c r="F327" s="11">
        <v>0.13476758243257556</v>
      </c>
      <c r="G327" s="11">
        <v>3.0199199914932251E-2</v>
      </c>
      <c r="H327" s="40">
        <v>4.9844011979425595E-4</v>
      </c>
      <c r="I327" s="40">
        <v>1.4185492397706791</v>
      </c>
      <c r="J327" s="59">
        <v>0</v>
      </c>
      <c r="K327" s="59">
        <v>4237.1544986963272</v>
      </c>
      <c r="L327" s="59">
        <v>0</v>
      </c>
      <c r="M327" s="11">
        <v>0.81797659397125244</v>
      </c>
      <c r="N327" s="11">
        <v>0.76768821477890015</v>
      </c>
      <c r="O327" s="11">
        <v>0.35479998588562012</v>
      </c>
      <c r="Q327" s="59">
        <v>13.809708492474927</v>
      </c>
      <c r="R327" s="78">
        <v>480.88516796272785</v>
      </c>
      <c r="S327" s="78">
        <v>13.836349746962377</v>
      </c>
      <c r="T327" s="78">
        <v>608.05015573284356</v>
      </c>
      <c r="U327" s="59">
        <v>13.844276371396729</v>
      </c>
      <c r="V327" s="78">
        <v>799.89042595869944</v>
      </c>
      <c r="X327" s="134">
        <f t="shared" si="30"/>
        <v>1380489.96407953</v>
      </c>
      <c r="Y327" s="134">
        <f t="shared" si="31"/>
        <v>1383026.9245405048</v>
      </c>
      <c r="Z327" s="134">
        <f t="shared" si="32"/>
        <v>1383627.7467137142</v>
      </c>
      <c r="AB327" s="127">
        <f t="shared" si="33"/>
        <v>0</v>
      </c>
      <c r="AC327" s="127">
        <f t="shared" si="34"/>
        <v>0</v>
      </c>
      <c r="AD327" s="127">
        <f t="shared" si="35"/>
        <v>1</v>
      </c>
    </row>
    <row r="328" spans="1:30" x14ac:dyDescent="0.25">
      <c r="A328">
        <v>323</v>
      </c>
      <c r="C328" s="11">
        <v>2.3160874843597412E-3</v>
      </c>
      <c r="D328" s="11">
        <v>3.8329482078552246E-2</v>
      </c>
      <c r="E328" s="11">
        <v>0.35178126249158048</v>
      </c>
      <c r="F328" s="11">
        <v>0.1206836607364163</v>
      </c>
      <c r="G328" s="11">
        <v>2.783241868019104E-2</v>
      </c>
      <c r="H328" s="40">
        <v>4.2239904501043262E-4</v>
      </c>
      <c r="I328" s="40">
        <v>1.4723498993038151</v>
      </c>
      <c r="J328" s="59">
        <v>0</v>
      </c>
      <c r="K328" s="59">
        <v>5185.4690536856651</v>
      </c>
      <c r="L328" s="59">
        <v>0</v>
      </c>
      <c r="M328" s="11">
        <v>0.85261857509613037</v>
      </c>
      <c r="N328" s="11">
        <v>0.68621015548706055</v>
      </c>
      <c r="O328" s="11">
        <v>0.3601832389831543</v>
      </c>
      <c r="Q328" s="59">
        <v>14.944733541901334</v>
      </c>
      <c r="R328" s="78">
        <v>502.10110212317102</v>
      </c>
      <c r="S328" s="78">
        <v>14.996655964431902</v>
      </c>
      <c r="T328" s="78">
        <v>617.47869302699189</v>
      </c>
      <c r="U328" s="59">
        <v>15.015501147310941</v>
      </c>
      <c r="V328" s="78">
        <v>801.25663056376186</v>
      </c>
      <c r="X328" s="134">
        <f t="shared" si="30"/>
        <v>1493971.25308801</v>
      </c>
      <c r="Y328" s="134">
        <f t="shared" si="31"/>
        <v>1499048.1177501632</v>
      </c>
      <c r="Z328" s="134">
        <f t="shared" si="32"/>
        <v>1500748.8581005302</v>
      </c>
      <c r="AB328" s="127">
        <f t="shared" si="33"/>
        <v>0</v>
      </c>
      <c r="AC328" s="127">
        <f t="shared" si="34"/>
        <v>0</v>
      </c>
      <c r="AD328" s="127">
        <f t="shared" si="35"/>
        <v>1</v>
      </c>
    </row>
    <row r="329" spans="1:30" x14ac:dyDescent="0.25">
      <c r="A329">
        <v>324</v>
      </c>
      <c r="C329" s="11">
        <v>1.8918588757514954E-2</v>
      </c>
      <c r="D329" s="11">
        <v>3.0859887599945068E-2</v>
      </c>
      <c r="E329" s="11">
        <v>0.21987479940248791</v>
      </c>
      <c r="F329" s="11">
        <v>0.29435953959320188</v>
      </c>
      <c r="G329" s="11">
        <v>1.37137770652771E-2</v>
      </c>
      <c r="H329" s="40">
        <v>4.2354222434855954E-4</v>
      </c>
      <c r="I329" s="40">
        <v>1.4904362320611519</v>
      </c>
      <c r="J329" s="59">
        <v>0</v>
      </c>
      <c r="K329" s="59">
        <v>7545.7524508237839</v>
      </c>
      <c r="L329" s="59">
        <v>0</v>
      </c>
      <c r="M329" s="11">
        <v>0.91055440902709961</v>
      </c>
      <c r="N329" s="11">
        <v>0.74664926528930664</v>
      </c>
      <c r="O329" s="11">
        <v>0.31073164939880371</v>
      </c>
      <c r="Q329" s="59">
        <v>15.695523541039307</v>
      </c>
      <c r="R329" s="78">
        <v>544.84894447541149</v>
      </c>
      <c r="S329" s="78">
        <v>15.760612721281827</v>
      </c>
      <c r="T329" s="78">
        <v>612.68330391004747</v>
      </c>
      <c r="U329" s="59">
        <v>15.754300509740924</v>
      </c>
      <c r="V329" s="78">
        <v>833.02711284448219</v>
      </c>
      <c r="X329" s="134">
        <f t="shared" si="30"/>
        <v>1569007.5051594554</v>
      </c>
      <c r="Y329" s="134">
        <f t="shared" si="31"/>
        <v>1575448.5888242726</v>
      </c>
      <c r="Z329" s="134">
        <f t="shared" si="32"/>
        <v>1574597.023861248</v>
      </c>
      <c r="AB329" s="127">
        <f t="shared" si="33"/>
        <v>0</v>
      </c>
      <c r="AC329" s="127">
        <f t="shared" si="34"/>
        <v>1</v>
      </c>
      <c r="AD329" s="127">
        <f t="shared" si="35"/>
        <v>0</v>
      </c>
    </row>
    <row r="330" spans="1:30" x14ac:dyDescent="0.25">
      <c r="A330">
        <v>325</v>
      </c>
      <c r="C330" s="11">
        <v>1.5905454754829407E-2</v>
      </c>
      <c r="D330" s="11">
        <v>3.745734691619873E-2</v>
      </c>
      <c r="E330" s="11">
        <v>0.42628571001803939</v>
      </c>
      <c r="F330" s="11">
        <v>0.15547269877221595</v>
      </c>
      <c r="G330" s="11">
        <v>9.9289417266845703E-3</v>
      </c>
      <c r="H330" s="40">
        <v>4.6346032268179135E-4</v>
      </c>
      <c r="I330" s="40">
        <v>1.3787244755050625</v>
      </c>
      <c r="J330" s="59">
        <v>0</v>
      </c>
      <c r="K330" s="59">
        <v>6355.50357401371</v>
      </c>
      <c r="L330" s="59">
        <v>0</v>
      </c>
      <c r="M330" s="11">
        <v>0.81432664394378662</v>
      </c>
      <c r="N330" s="11">
        <v>0.77700459957122803</v>
      </c>
      <c r="O330" s="11">
        <v>0.28616631031036377</v>
      </c>
      <c r="Q330" s="59">
        <v>14.122137061164768</v>
      </c>
      <c r="R330" s="78">
        <v>492.34301593468405</v>
      </c>
      <c r="S330" s="78">
        <v>14.1409301841699</v>
      </c>
      <c r="T330" s="78">
        <v>621.27766763328214</v>
      </c>
      <c r="U330" s="59">
        <v>14.149932469816754</v>
      </c>
      <c r="V330" s="78">
        <v>803.48117328419164</v>
      </c>
      <c r="X330" s="134">
        <f t="shared" si="30"/>
        <v>1411721.3631005422</v>
      </c>
      <c r="Y330" s="134">
        <f t="shared" si="31"/>
        <v>1413471.7407493568</v>
      </c>
      <c r="Z330" s="134">
        <f t="shared" si="32"/>
        <v>1414189.7658083914</v>
      </c>
      <c r="AB330" s="127">
        <f t="shared" si="33"/>
        <v>0</v>
      </c>
      <c r="AC330" s="127">
        <f t="shared" si="34"/>
        <v>0</v>
      </c>
      <c r="AD330" s="127">
        <f t="shared" si="35"/>
        <v>1</v>
      </c>
    </row>
    <row r="331" spans="1:30" x14ac:dyDescent="0.25">
      <c r="A331">
        <v>326</v>
      </c>
      <c r="C331" s="11">
        <v>8.8238120079040527E-3</v>
      </c>
      <c r="D331" s="11">
        <v>2.6006698608398438E-3</v>
      </c>
      <c r="E331" s="11">
        <v>0.21465088799470677</v>
      </c>
      <c r="F331" s="11">
        <v>0.26389381120262184</v>
      </c>
      <c r="G331" s="11">
        <v>4.5413970947265625E-3</v>
      </c>
      <c r="H331" s="40">
        <v>3.1984558893471298E-4</v>
      </c>
      <c r="I331" s="40">
        <v>1.5073244441390623</v>
      </c>
      <c r="J331" s="59">
        <v>0</v>
      </c>
      <c r="K331" s="59">
        <v>6205.5978924036026</v>
      </c>
      <c r="L331" s="59">
        <v>0</v>
      </c>
      <c r="M331" s="11">
        <v>0.84687131643295288</v>
      </c>
      <c r="N331" s="11">
        <v>0.7066340446472168</v>
      </c>
      <c r="O331" s="11">
        <v>0.30067580938339233</v>
      </c>
      <c r="Q331" s="59">
        <v>14.774164434077488</v>
      </c>
      <c r="R331" s="78">
        <v>488.3578362036443</v>
      </c>
      <c r="S331" s="78">
        <v>14.815328303725549</v>
      </c>
      <c r="T331" s="78">
        <v>599.51142326858019</v>
      </c>
      <c r="U331" s="59">
        <v>14.812712811967952</v>
      </c>
      <c r="V331" s="78">
        <v>813.19687272429371</v>
      </c>
      <c r="X331" s="134">
        <f t="shared" si="30"/>
        <v>1476928.0855715452</v>
      </c>
      <c r="Y331" s="134">
        <f t="shared" si="31"/>
        <v>1480933.3189492864</v>
      </c>
      <c r="Z331" s="134">
        <f t="shared" si="32"/>
        <v>1480458.084324071</v>
      </c>
      <c r="AB331" s="127">
        <f t="shared" si="33"/>
        <v>0</v>
      </c>
      <c r="AC331" s="127">
        <f t="shared" si="34"/>
        <v>1</v>
      </c>
      <c r="AD331" s="127">
        <f t="shared" si="35"/>
        <v>0</v>
      </c>
    </row>
    <row r="332" spans="1:30" x14ac:dyDescent="0.25">
      <c r="A332">
        <v>327</v>
      </c>
      <c r="C332" s="11">
        <v>2.4338394403457642E-2</v>
      </c>
      <c r="D332" s="11">
        <v>9.9123269319534302E-3</v>
      </c>
      <c r="E332" s="11">
        <v>0.21624656696415803</v>
      </c>
      <c r="F332" s="11">
        <v>0.18664298204468263</v>
      </c>
      <c r="G332" s="11">
        <v>3.5646557807922363E-2</v>
      </c>
      <c r="H332" s="40">
        <v>4.2049252627669351E-4</v>
      </c>
      <c r="I332" s="40">
        <v>1.4303246820168818</v>
      </c>
      <c r="J332" s="59">
        <v>0</v>
      </c>
      <c r="K332" s="59">
        <v>3761.9331851601601</v>
      </c>
      <c r="L332" s="59">
        <v>0</v>
      </c>
      <c r="M332" s="11">
        <v>0.84741818904876709</v>
      </c>
      <c r="N332" s="11">
        <v>0.65071296691894531</v>
      </c>
      <c r="O332" s="11">
        <v>0.32250410318374634</v>
      </c>
      <c r="Q332" s="59">
        <v>14.531476017751253</v>
      </c>
      <c r="R332" s="78">
        <v>464.98330585653179</v>
      </c>
      <c r="S332" s="78">
        <v>14.588202168122601</v>
      </c>
      <c r="T332" s="78">
        <v>594.53755156313616</v>
      </c>
      <c r="U332" s="59">
        <v>14.590375429549598</v>
      </c>
      <c r="V332" s="78">
        <v>801.41669113597811</v>
      </c>
      <c r="X332" s="134">
        <f t="shared" si="30"/>
        <v>1452682.6184692688</v>
      </c>
      <c r="Y332" s="134">
        <f t="shared" si="31"/>
        <v>1458225.679260697</v>
      </c>
      <c r="Z332" s="134">
        <f t="shared" si="32"/>
        <v>1458236.1262638236</v>
      </c>
      <c r="AB332" s="127">
        <f t="shared" si="33"/>
        <v>0</v>
      </c>
      <c r="AC332" s="127">
        <f t="shared" si="34"/>
        <v>0</v>
      </c>
      <c r="AD332" s="127">
        <f t="shared" si="35"/>
        <v>1</v>
      </c>
    </row>
    <row r="333" spans="1:30" x14ac:dyDescent="0.25">
      <c r="A333">
        <v>328</v>
      </c>
      <c r="C333" s="11">
        <v>1.4474615454673767E-2</v>
      </c>
      <c r="D333" s="11">
        <v>2.221226692199707E-2</v>
      </c>
      <c r="E333" s="11">
        <v>0.29355042295857897</v>
      </c>
      <c r="F333" s="11">
        <v>0.15085724248081644</v>
      </c>
      <c r="G333" s="11">
        <v>6.0966372489929199E-2</v>
      </c>
      <c r="H333" s="40">
        <v>3.817599223224077E-4</v>
      </c>
      <c r="I333" s="40">
        <v>1.4565529919219415</v>
      </c>
      <c r="J333" s="59">
        <v>0</v>
      </c>
      <c r="K333" s="59">
        <v>6045.9529049694538</v>
      </c>
      <c r="L333" s="59">
        <v>0</v>
      </c>
      <c r="M333" s="11">
        <v>0.86008918285369873</v>
      </c>
      <c r="N333" s="11">
        <v>0.7690737247467041</v>
      </c>
      <c r="O333" s="11">
        <v>0.28457063436508179</v>
      </c>
      <c r="Q333" s="59">
        <v>14.918345294490706</v>
      </c>
      <c r="R333" s="78">
        <v>521.15219537548182</v>
      </c>
      <c r="S333" s="78">
        <v>14.956294922986503</v>
      </c>
      <c r="T333" s="78">
        <v>616.7254549339757</v>
      </c>
      <c r="U333" s="59">
        <v>14.964078049911736</v>
      </c>
      <c r="V333" s="78">
        <v>807.4293371744094</v>
      </c>
      <c r="X333" s="134">
        <f t="shared" si="30"/>
        <v>1491313.3772536952</v>
      </c>
      <c r="Y333" s="134">
        <f t="shared" si="31"/>
        <v>1495012.7668437164</v>
      </c>
      <c r="Z333" s="134">
        <f t="shared" si="32"/>
        <v>1495600.3756539992</v>
      </c>
      <c r="AB333" s="127">
        <f t="shared" si="33"/>
        <v>0</v>
      </c>
      <c r="AC333" s="127">
        <f t="shared" si="34"/>
        <v>0</v>
      </c>
      <c r="AD333" s="127">
        <f t="shared" si="35"/>
        <v>1</v>
      </c>
    </row>
    <row r="334" spans="1:30" x14ac:dyDescent="0.25">
      <c r="A334">
        <v>329</v>
      </c>
      <c r="C334" s="11">
        <v>1.801985502243042E-2</v>
      </c>
      <c r="D334" s="11">
        <v>3.0462443828582764E-3</v>
      </c>
      <c r="E334" s="11">
        <v>0.12551654647307964</v>
      </c>
      <c r="F334" s="11">
        <v>0.26942574995705199</v>
      </c>
      <c r="G334" s="11">
        <v>1.5769422054290771E-2</v>
      </c>
      <c r="H334" s="40">
        <v>4.4429567381299378E-4</v>
      </c>
      <c r="I334" s="40">
        <v>1.4288284422320738</v>
      </c>
      <c r="J334" s="59">
        <v>0</v>
      </c>
      <c r="K334" s="59">
        <v>5728.8305833935738</v>
      </c>
      <c r="L334" s="59">
        <v>0</v>
      </c>
      <c r="M334" s="11">
        <v>0.82485467195510864</v>
      </c>
      <c r="N334" s="11">
        <v>0.78684157133102417</v>
      </c>
      <c r="O334" s="11">
        <v>0.32405507564544678</v>
      </c>
      <c r="Q334" s="59">
        <v>14.278956167637904</v>
      </c>
      <c r="R334" s="78">
        <v>496.11836999279541</v>
      </c>
      <c r="S334" s="78">
        <v>14.303710917187574</v>
      </c>
      <c r="T334" s="78">
        <v>592.00591553891127</v>
      </c>
      <c r="U334" s="59">
        <v>14.299575878589801</v>
      </c>
      <c r="V334" s="78">
        <v>815.85037587826389</v>
      </c>
      <c r="X334" s="134">
        <f t="shared" si="30"/>
        <v>1427399.4983937975</v>
      </c>
      <c r="Y334" s="134">
        <f t="shared" si="31"/>
        <v>1429779.0858032187</v>
      </c>
      <c r="Z334" s="134">
        <f t="shared" si="32"/>
        <v>1429141.7374831019</v>
      </c>
      <c r="AB334" s="127">
        <f t="shared" si="33"/>
        <v>0</v>
      </c>
      <c r="AC334" s="127">
        <f t="shared" si="34"/>
        <v>1</v>
      </c>
      <c r="AD334" s="127">
        <f t="shared" si="35"/>
        <v>0</v>
      </c>
    </row>
    <row r="335" spans="1:30" x14ac:dyDescent="0.25">
      <c r="A335">
        <v>330</v>
      </c>
      <c r="C335" s="11">
        <v>1.0789498686790466E-2</v>
      </c>
      <c r="D335" s="11">
        <v>1.2873902916908264E-2</v>
      </c>
      <c r="E335" s="11">
        <v>0.15242526101570483</v>
      </c>
      <c r="F335" s="11">
        <v>0.18592301752597024</v>
      </c>
      <c r="G335" s="11">
        <v>3.5144060850143433E-2</v>
      </c>
      <c r="H335" s="40">
        <v>5.1850667924310172E-4</v>
      </c>
      <c r="I335" s="40">
        <v>1.467814492134651</v>
      </c>
      <c r="J335" s="59">
        <v>0</v>
      </c>
      <c r="K335" s="59">
        <v>5967.775359749794</v>
      </c>
      <c r="L335" s="59">
        <v>0</v>
      </c>
      <c r="M335" s="11">
        <v>0.8251873254776001</v>
      </c>
      <c r="N335" s="11">
        <v>0.6886441707611084</v>
      </c>
      <c r="O335" s="11">
        <v>0.30099731683731079</v>
      </c>
      <c r="Q335" s="59">
        <v>14.338134151043592</v>
      </c>
      <c r="R335" s="78">
        <v>549.65216103031958</v>
      </c>
      <c r="S335" s="78">
        <v>14.405984293211814</v>
      </c>
      <c r="T335" s="78">
        <v>603.16691466314558</v>
      </c>
      <c r="U335" s="59">
        <v>14.403247654105284</v>
      </c>
      <c r="V335" s="78">
        <v>817.45631712658701</v>
      </c>
      <c r="X335" s="134">
        <f t="shared" si="30"/>
        <v>1433263.7629433288</v>
      </c>
      <c r="Y335" s="134">
        <f t="shared" si="31"/>
        <v>1439995.2624065185</v>
      </c>
      <c r="Z335" s="134">
        <f t="shared" si="32"/>
        <v>1439507.309093402</v>
      </c>
      <c r="AB335" s="127">
        <f t="shared" si="33"/>
        <v>0</v>
      </c>
      <c r="AC335" s="127">
        <f t="shared" si="34"/>
        <v>1</v>
      </c>
      <c r="AD335" s="127">
        <f t="shared" si="35"/>
        <v>0</v>
      </c>
    </row>
    <row r="336" spans="1:30" x14ac:dyDescent="0.25">
      <c r="A336">
        <v>331</v>
      </c>
      <c r="C336" s="11">
        <v>1.2763515114784241E-2</v>
      </c>
      <c r="D336" s="11">
        <v>1.2882694602012634E-2</v>
      </c>
      <c r="E336" s="11">
        <v>0.24017526436813127</v>
      </c>
      <c r="F336" s="11">
        <v>0.14282716243706201</v>
      </c>
      <c r="G336" s="11">
        <v>3.8342773914337158E-2</v>
      </c>
      <c r="H336" s="40">
        <v>8.6198276552518444E-4</v>
      </c>
      <c r="I336" s="40">
        <v>1.3681661318488847</v>
      </c>
      <c r="J336" s="59">
        <v>0</v>
      </c>
      <c r="K336" s="59">
        <v>7128.6223828792572</v>
      </c>
      <c r="L336" s="59">
        <v>0</v>
      </c>
      <c r="M336" s="11">
        <v>0.83615571260452271</v>
      </c>
      <c r="N336" s="11">
        <v>0.75635647773742676</v>
      </c>
      <c r="O336" s="11">
        <v>0.28975898027420044</v>
      </c>
      <c r="Q336" s="59">
        <v>14.505269831171786</v>
      </c>
      <c r="R336" s="78">
        <v>627.36453645918505</v>
      </c>
      <c r="S336" s="78">
        <v>14.562386930101001</v>
      </c>
      <c r="T336" s="78">
        <v>636.13945072820377</v>
      </c>
      <c r="U336" s="59">
        <v>14.569894911459418</v>
      </c>
      <c r="V336" s="78">
        <v>822.06441912394473</v>
      </c>
      <c r="X336" s="134">
        <f t="shared" si="30"/>
        <v>1449899.6185807195</v>
      </c>
      <c r="Y336" s="134">
        <f t="shared" si="31"/>
        <v>1455602.553559372</v>
      </c>
      <c r="Z336" s="134">
        <f t="shared" si="32"/>
        <v>1456167.4267268179</v>
      </c>
      <c r="AB336" s="127">
        <f t="shared" si="33"/>
        <v>0</v>
      </c>
      <c r="AC336" s="127">
        <f t="shared" si="34"/>
        <v>0</v>
      </c>
      <c r="AD336" s="127">
        <f t="shared" si="35"/>
        <v>1</v>
      </c>
    </row>
    <row r="337" spans="1:30" x14ac:dyDescent="0.25">
      <c r="A337">
        <v>332</v>
      </c>
      <c r="C337" s="11">
        <v>1.1331051588058472E-2</v>
      </c>
      <c r="D337" s="11">
        <v>1.5034079551696777E-3</v>
      </c>
      <c r="E337" s="11">
        <v>0.15871855688677425</v>
      </c>
      <c r="F337" s="11">
        <v>0.23163597317360116</v>
      </c>
      <c r="G337" s="11">
        <v>8.3161354064941406E-2</v>
      </c>
      <c r="H337" s="40">
        <v>6.1678098731836849E-4</v>
      </c>
      <c r="I337" s="40">
        <v>1.4116270825105863</v>
      </c>
      <c r="J337" s="59">
        <v>0</v>
      </c>
      <c r="K337" s="59">
        <v>6085.2314345538616</v>
      </c>
      <c r="L337" s="59">
        <v>0</v>
      </c>
      <c r="M337" s="11">
        <v>0.83096247911453247</v>
      </c>
      <c r="N337" s="11">
        <v>0.74756300449371338</v>
      </c>
      <c r="O337" s="11">
        <v>0.30566996335983276</v>
      </c>
      <c r="Q337" s="59">
        <v>14.44658633146328</v>
      </c>
      <c r="R337" s="78">
        <v>594.46032917706452</v>
      </c>
      <c r="S337" s="78">
        <v>14.500942602077476</v>
      </c>
      <c r="T337" s="78">
        <v>611.3682021514752</v>
      </c>
      <c r="U337" s="59">
        <v>14.496140623090218</v>
      </c>
      <c r="V337" s="78">
        <v>835.16780415233882</v>
      </c>
      <c r="X337" s="134">
        <f t="shared" si="30"/>
        <v>1444064.1728171508</v>
      </c>
      <c r="Y337" s="134">
        <f t="shared" si="31"/>
        <v>1449482.8920055961</v>
      </c>
      <c r="Z337" s="134">
        <f t="shared" si="32"/>
        <v>1448778.8945048696</v>
      </c>
      <c r="AB337" s="127">
        <f t="shared" si="33"/>
        <v>0</v>
      </c>
      <c r="AC337" s="127">
        <f t="shared" si="34"/>
        <v>1</v>
      </c>
      <c r="AD337" s="127">
        <f t="shared" si="35"/>
        <v>0</v>
      </c>
    </row>
    <row r="338" spans="1:30" x14ac:dyDescent="0.25">
      <c r="A338">
        <v>333</v>
      </c>
      <c r="C338" s="11">
        <v>3.5245120525360107E-2</v>
      </c>
      <c r="D338" s="11">
        <v>2.1422743797302246E-2</v>
      </c>
      <c r="E338" s="11">
        <v>0.13663291354788878</v>
      </c>
      <c r="F338" s="11">
        <v>0.14665499424504139</v>
      </c>
      <c r="G338" s="11">
        <v>4.741668701171875E-2</v>
      </c>
      <c r="H338" s="40">
        <v>5.4659405679927402E-4</v>
      </c>
      <c r="I338" s="40">
        <v>1.3253447020593303</v>
      </c>
      <c r="J338" s="59">
        <v>0</v>
      </c>
      <c r="K338" s="59">
        <v>6077.0637355744839</v>
      </c>
      <c r="L338" s="59">
        <v>0</v>
      </c>
      <c r="M338" s="11">
        <v>0.83367025852203369</v>
      </c>
      <c r="N338" s="11">
        <v>0.78182196617126465</v>
      </c>
      <c r="O338" s="11">
        <v>0.32774263620376587</v>
      </c>
      <c r="Q338" s="59">
        <v>14.169596874171194</v>
      </c>
      <c r="R338" s="78">
        <v>508.91095719771641</v>
      </c>
      <c r="S338" s="78">
        <v>14.201466715156664</v>
      </c>
      <c r="T338" s="78">
        <v>594.88929968449145</v>
      </c>
      <c r="U338" s="59">
        <v>14.201091536878367</v>
      </c>
      <c r="V338" s="78">
        <v>805.05241027932902</v>
      </c>
      <c r="X338" s="134">
        <f t="shared" si="30"/>
        <v>1416450.7764599218</v>
      </c>
      <c r="Y338" s="134">
        <f t="shared" si="31"/>
        <v>1419551.782215982</v>
      </c>
      <c r="Z338" s="134">
        <f t="shared" si="32"/>
        <v>1419304.1012775574</v>
      </c>
      <c r="AB338" s="127">
        <f t="shared" si="33"/>
        <v>0</v>
      </c>
      <c r="AC338" s="127">
        <f t="shared" si="34"/>
        <v>1</v>
      </c>
      <c r="AD338" s="127">
        <f t="shared" si="35"/>
        <v>0</v>
      </c>
    </row>
    <row r="339" spans="1:30" x14ac:dyDescent="0.25">
      <c r="A339">
        <v>334</v>
      </c>
      <c r="C339" s="11">
        <v>1.7989680171012878E-2</v>
      </c>
      <c r="D339" s="11">
        <v>2.9816240072250366E-2</v>
      </c>
      <c r="E339" s="11">
        <v>0.1842455077223204</v>
      </c>
      <c r="F339" s="11">
        <v>0.11128413214075457</v>
      </c>
      <c r="G339" s="11">
        <v>1.5345573425292969E-2</v>
      </c>
      <c r="H339" s="40">
        <v>3.9574876807387053E-4</v>
      </c>
      <c r="I339" s="40">
        <v>1.4832681795660805</v>
      </c>
      <c r="J339" s="59">
        <v>0</v>
      </c>
      <c r="K339" s="59">
        <v>6283.9244492352009</v>
      </c>
      <c r="L339" s="59">
        <v>0</v>
      </c>
      <c r="M339" s="11">
        <v>0.86422914266586304</v>
      </c>
      <c r="N339" s="11">
        <v>0.77980846166610718</v>
      </c>
      <c r="O339" s="11">
        <v>0.33472788333892822</v>
      </c>
      <c r="Q339" s="59">
        <v>14.9392632237074</v>
      </c>
      <c r="R339" s="78">
        <v>510.38393226996158</v>
      </c>
      <c r="S339" s="78">
        <v>14.981109719885994</v>
      </c>
      <c r="T339" s="78">
        <v>600.76025203900599</v>
      </c>
      <c r="U339" s="59">
        <v>14.984922147695041</v>
      </c>
      <c r="V339" s="78">
        <v>801.16055670720584</v>
      </c>
      <c r="X339" s="134">
        <f t="shared" si="30"/>
        <v>1493415.93843847</v>
      </c>
      <c r="Y339" s="134">
        <f t="shared" si="31"/>
        <v>1497510.2117365606</v>
      </c>
      <c r="Z339" s="134">
        <f t="shared" si="32"/>
        <v>1497691.0542127967</v>
      </c>
      <c r="AB339" s="127">
        <f t="shared" si="33"/>
        <v>0</v>
      </c>
      <c r="AC339" s="127">
        <f t="shared" si="34"/>
        <v>0</v>
      </c>
      <c r="AD339" s="127">
        <f t="shared" si="35"/>
        <v>1</v>
      </c>
    </row>
    <row r="340" spans="1:30" x14ac:dyDescent="0.25">
      <c r="A340">
        <v>335</v>
      </c>
      <c r="C340" s="11">
        <v>1.8163546919822693E-2</v>
      </c>
      <c r="D340" s="11">
        <v>2.6559203863143921E-2</v>
      </c>
      <c r="E340" s="11">
        <v>0.16908878652705028</v>
      </c>
      <c r="F340" s="11">
        <v>0.1585848220335333</v>
      </c>
      <c r="G340" s="11">
        <v>2.0540863275527954E-2</v>
      </c>
      <c r="H340" s="40">
        <v>4.9511102561653776E-4</v>
      </c>
      <c r="I340" s="40">
        <v>1.4304188180890054</v>
      </c>
      <c r="J340" s="59">
        <v>0</v>
      </c>
      <c r="K340" s="59">
        <v>6486.5685999393463</v>
      </c>
      <c r="L340" s="59">
        <v>0</v>
      </c>
      <c r="M340" s="11">
        <v>0.85312598943710327</v>
      </c>
      <c r="N340" s="11">
        <v>0.73251032829284668</v>
      </c>
      <c r="O340" s="11">
        <v>0.26913118362426758</v>
      </c>
      <c r="Q340" s="59">
        <v>14.727837418382681</v>
      </c>
      <c r="R340" s="78">
        <v>526.5539209959519</v>
      </c>
      <c r="S340" s="78">
        <v>14.783894311530592</v>
      </c>
      <c r="T340" s="78">
        <v>601.76187620559426</v>
      </c>
      <c r="U340" s="59">
        <v>14.784615690964147</v>
      </c>
      <c r="V340" s="78">
        <v>809.35207718242384</v>
      </c>
      <c r="X340" s="134">
        <f t="shared" ref="X340:X403" si="36">Q340*cRatio-R340</f>
        <v>1472257.1879172721</v>
      </c>
      <c r="Y340" s="134">
        <f t="shared" ref="Y340:Y403" si="37">S340*cRatio-T340</f>
        <v>1477787.6692768536</v>
      </c>
      <c r="Z340" s="134">
        <f t="shared" ref="Z340:Z403" si="38">U340*cRatio-V340</f>
        <v>1477652.2170192322</v>
      </c>
      <c r="AB340" s="127">
        <f t="shared" ref="AB340:AB403" si="39">IF(X340=MAX($X340:$Z340),1,0)</f>
        <v>0</v>
      </c>
      <c r="AC340" s="127">
        <f t="shared" ref="AC340:AC403" si="40">IF(Y340=MAX($X340:$Z340),1,0)</f>
        <v>1</v>
      </c>
      <c r="AD340" s="127">
        <f t="shared" ref="AD340:AD403" si="41">IF(Z340=MAX($X340:$Z340),1,0)</f>
        <v>0</v>
      </c>
    </row>
    <row r="341" spans="1:30" x14ac:dyDescent="0.25">
      <c r="A341">
        <v>336</v>
      </c>
      <c r="C341" s="11">
        <v>1.1657208204269409E-2</v>
      </c>
      <c r="D341" s="11">
        <v>1.1441260576248169E-2</v>
      </c>
      <c r="E341" s="11">
        <v>0.45932067671345572</v>
      </c>
      <c r="F341" s="11">
        <v>0.3757885502076504</v>
      </c>
      <c r="G341" s="11">
        <v>1.7422735691070557E-2</v>
      </c>
      <c r="H341" s="40">
        <v>5.1972371462279132E-4</v>
      </c>
      <c r="I341" s="40">
        <v>1.3730143950010021</v>
      </c>
      <c r="J341" s="59">
        <v>0</v>
      </c>
      <c r="K341" s="59">
        <v>3540.9815609455109</v>
      </c>
      <c r="L341" s="59">
        <v>0</v>
      </c>
      <c r="M341" s="11">
        <v>0.82267570495605469</v>
      </c>
      <c r="N341" s="11">
        <v>0.80407595634460449</v>
      </c>
      <c r="O341" s="11">
        <v>0.29569730162620544</v>
      </c>
      <c r="Q341" s="59">
        <v>14.335925614937118</v>
      </c>
      <c r="R341" s="78">
        <v>457.66251675234093</v>
      </c>
      <c r="S341" s="78">
        <v>14.349893748767451</v>
      </c>
      <c r="T341" s="78">
        <v>608.49541224099664</v>
      </c>
      <c r="U341" s="59">
        <v>14.352078912545332</v>
      </c>
      <c r="V341" s="78">
        <v>812.16375599027776</v>
      </c>
      <c r="X341" s="134">
        <f t="shared" si="36"/>
        <v>1433134.8989769595</v>
      </c>
      <c r="Y341" s="134">
        <f t="shared" si="37"/>
        <v>1434380.8794645041</v>
      </c>
      <c r="Z341" s="134">
        <f t="shared" si="38"/>
        <v>1434395.727498543</v>
      </c>
      <c r="AB341" s="127">
        <f t="shared" si="39"/>
        <v>0</v>
      </c>
      <c r="AC341" s="127">
        <f t="shared" si="40"/>
        <v>0</v>
      </c>
      <c r="AD341" s="127">
        <f t="shared" si="41"/>
        <v>1</v>
      </c>
    </row>
    <row r="342" spans="1:30" x14ac:dyDescent="0.25">
      <c r="A342">
        <v>337</v>
      </c>
      <c r="C342" s="11">
        <v>2.7166604995727539E-2</v>
      </c>
      <c r="D342" s="11">
        <v>2.7467548847198486E-2</v>
      </c>
      <c r="E342" s="11">
        <v>0.39913661979009674</v>
      </c>
      <c r="F342" s="11">
        <v>5.0397334975102695E-2</v>
      </c>
      <c r="G342" s="11">
        <v>2.8114169836044312E-2</v>
      </c>
      <c r="H342" s="40">
        <v>4.9569938673699491E-4</v>
      </c>
      <c r="I342" s="40">
        <v>1.4388949061690983</v>
      </c>
      <c r="J342" s="59">
        <v>0</v>
      </c>
      <c r="K342" s="59">
        <v>7883.8411718606949</v>
      </c>
      <c r="L342" s="59">
        <v>0</v>
      </c>
      <c r="M342" s="11">
        <v>0.89871525764465332</v>
      </c>
      <c r="N342" s="11">
        <v>0.67502307891845703</v>
      </c>
      <c r="O342" s="11">
        <v>0.26450532674789429</v>
      </c>
      <c r="Q342" s="59">
        <v>15.338946140568156</v>
      </c>
      <c r="R342" s="78">
        <v>564.92426335746575</v>
      </c>
      <c r="S342" s="78">
        <v>15.401097968765674</v>
      </c>
      <c r="T342" s="78">
        <v>648.0030225525195</v>
      </c>
      <c r="U342" s="59">
        <v>15.437905304227819</v>
      </c>
      <c r="V342" s="78">
        <v>796.77091479971921</v>
      </c>
      <c r="X342" s="134">
        <f t="shared" si="36"/>
        <v>1533329.6897934582</v>
      </c>
      <c r="Y342" s="134">
        <f t="shared" si="37"/>
        <v>1539461.7938540149</v>
      </c>
      <c r="Z342" s="134">
        <f t="shared" si="38"/>
        <v>1542993.7595079821</v>
      </c>
      <c r="AB342" s="127">
        <f t="shared" si="39"/>
        <v>0</v>
      </c>
      <c r="AC342" s="127">
        <f t="shared" si="40"/>
        <v>0</v>
      </c>
      <c r="AD342" s="127">
        <f t="shared" si="41"/>
        <v>1</v>
      </c>
    </row>
    <row r="343" spans="1:30" x14ac:dyDescent="0.25">
      <c r="A343">
        <v>338</v>
      </c>
      <c r="C343" s="11">
        <v>2.5140047073364258E-2</v>
      </c>
      <c r="D343" s="11">
        <v>1.7512008547782898E-2</v>
      </c>
      <c r="E343" s="11">
        <v>0.20444280630128794</v>
      </c>
      <c r="F343" s="11">
        <v>0.11186258339601424</v>
      </c>
      <c r="G343" s="11">
        <v>4.0764898061752319E-2</v>
      </c>
      <c r="H343" s="40">
        <v>5.0374668415814681E-4</v>
      </c>
      <c r="I343" s="40">
        <v>1.4148897430008693</v>
      </c>
      <c r="J343" s="59">
        <v>0</v>
      </c>
      <c r="K343" s="59">
        <v>5279.4418297708035</v>
      </c>
      <c r="L343" s="59">
        <v>0</v>
      </c>
      <c r="M343" s="11">
        <v>0.84460246562957764</v>
      </c>
      <c r="N343" s="11">
        <v>0.76220434904098511</v>
      </c>
      <c r="O343" s="11">
        <v>0.301839679479599</v>
      </c>
      <c r="Q343" s="59">
        <v>14.490399502823978</v>
      </c>
      <c r="R343" s="78">
        <v>510.56595244065278</v>
      </c>
      <c r="S343" s="78">
        <v>14.532579042562968</v>
      </c>
      <c r="T343" s="78">
        <v>603.1650871706853</v>
      </c>
      <c r="U343" s="59">
        <v>14.537578329310007</v>
      </c>
      <c r="V343" s="78">
        <v>801.2437038616107</v>
      </c>
      <c r="X343" s="134">
        <f t="shared" si="36"/>
        <v>1448529.3843299572</v>
      </c>
      <c r="Y343" s="134">
        <f t="shared" si="37"/>
        <v>1452654.7391691261</v>
      </c>
      <c r="Z343" s="134">
        <f t="shared" si="38"/>
        <v>1452956.589227139</v>
      </c>
      <c r="AB343" s="127">
        <f t="shared" si="39"/>
        <v>0</v>
      </c>
      <c r="AC343" s="127">
        <f t="shared" si="40"/>
        <v>0</v>
      </c>
      <c r="AD343" s="127">
        <f t="shared" si="41"/>
        <v>1</v>
      </c>
    </row>
    <row r="344" spans="1:30" x14ac:dyDescent="0.25">
      <c r="A344">
        <v>339</v>
      </c>
      <c r="C344" s="11">
        <v>1.1168479919433594E-2</v>
      </c>
      <c r="D344" s="11">
        <v>5.3014755249023438E-3</v>
      </c>
      <c r="E344" s="11">
        <v>0.3099489847057792</v>
      </c>
      <c r="F344" s="11">
        <v>0.23962222360236707</v>
      </c>
      <c r="G344" s="11">
        <v>1.9739925861358643E-2</v>
      </c>
      <c r="H344" s="40">
        <v>6.1365214361775962E-4</v>
      </c>
      <c r="I344" s="40">
        <v>1.4355641906989405</v>
      </c>
      <c r="J344" s="59">
        <v>0</v>
      </c>
      <c r="K344" s="59">
        <v>5416.4091125130653</v>
      </c>
      <c r="L344" s="59">
        <v>0</v>
      </c>
      <c r="M344" s="11">
        <v>0.85584932565689087</v>
      </c>
      <c r="N344" s="11">
        <v>0.75221806764602661</v>
      </c>
      <c r="O344" s="11">
        <v>0.32615375518798828</v>
      </c>
      <c r="Q344" s="59">
        <v>14.879920876951829</v>
      </c>
      <c r="R344" s="78">
        <v>533.36031455561385</v>
      </c>
      <c r="S344" s="78">
        <v>14.926861489374469</v>
      </c>
      <c r="T344" s="78">
        <v>622.89634297890086</v>
      </c>
      <c r="U344" s="59">
        <v>14.931744501590368</v>
      </c>
      <c r="V344" s="78">
        <v>821.99255898712295</v>
      </c>
      <c r="X344" s="134">
        <f t="shared" si="36"/>
        <v>1487458.7273806271</v>
      </c>
      <c r="Y344" s="134">
        <f t="shared" si="37"/>
        <v>1492063.252594468</v>
      </c>
      <c r="Z344" s="134">
        <f t="shared" si="38"/>
        <v>1492352.4576000497</v>
      </c>
      <c r="AB344" s="127">
        <f t="shared" si="39"/>
        <v>0</v>
      </c>
      <c r="AC344" s="127">
        <f t="shared" si="40"/>
        <v>0</v>
      </c>
      <c r="AD344" s="127">
        <f t="shared" si="41"/>
        <v>1</v>
      </c>
    </row>
    <row r="345" spans="1:30" x14ac:dyDescent="0.25">
      <c r="A345">
        <v>340</v>
      </c>
      <c r="C345" s="11">
        <v>1.3755232095718384E-2</v>
      </c>
      <c r="D345" s="11">
        <v>1.4100745320320129E-2</v>
      </c>
      <c r="E345" s="11">
        <v>0.10998707898320868</v>
      </c>
      <c r="F345" s="11">
        <v>0.25478530061294363</v>
      </c>
      <c r="G345" s="11">
        <v>4.728543758392334E-2</v>
      </c>
      <c r="H345" s="40">
        <v>5.0298591127849468E-4</v>
      </c>
      <c r="I345" s="40">
        <v>1.3613786402040227</v>
      </c>
      <c r="J345" s="59">
        <v>0</v>
      </c>
      <c r="K345" s="59">
        <v>3275.1448452472687</v>
      </c>
      <c r="L345" s="59">
        <v>0</v>
      </c>
      <c r="M345" s="11">
        <v>0.85378015041351318</v>
      </c>
      <c r="N345" s="11">
        <v>0.77025175094604492</v>
      </c>
      <c r="O345" s="11">
        <v>0.28291189670562744</v>
      </c>
      <c r="Q345" s="59">
        <v>14.82614233848855</v>
      </c>
      <c r="R345" s="78">
        <v>458.79488987835765</v>
      </c>
      <c r="S345" s="78">
        <v>14.868097928615715</v>
      </c>
      <c r="T345" s="78">
        <v>586.21871656314192</v>
      </c>
      <c r="U345" s="59">
        <v>14.861184757752067</v>
      </c>
      <c r="V345" s="78">
        <v>804.68711393303886</v>
      </c>
      <c r="X345" s="134">
        <f t="shared" si="36"/>
        <v>1482155.4389589767</v>
      </c>
      <c r="Y345" s="134">
        <f t="shared" si="37"/>
        <v>1486223.5741450083</v>
      </c>
      <c r="Z345" s="134">
        <f t="shared" si="38"/>
        <v>1485313.7886612737</v>
      </c>
      <c r="AB345" s="127">
        <f t="shared" si="39"/>
        <v>0</v>
      </c>
      <c r="AC345" s="127">
        <f t="shared" si="40"/>
        <v>1</v>
      </c>
      <c r="AD345" s="127">
        <f t="shared" si="41"/>
        <v>0</v>
      </c>
    </row>
    <row r="346" spans="1:30" x14ac:dyDescent="0.25">
      <c r="A346">
        <v>341</v>
      </c>
      <c r="C346" s="11">
        <v>1.1464357376098633E-3</v>
      </c>
      <c r="D346" s="11">
        <v>3.0144453048706055E-3</v>
      </c>
      <c r="E346" s="11">
        <v>0.40469593589722508</v>
      </c>
      <c r="F346" s="11">
        <v>0.13865406473948511</v>
      </c>
      <c r="G346" s="11">
        <v>2.4835824966430664E-2</v>
      </c>
      <c r="H346" s="40">
        <v>5.4811105798352618E-4</v>
      </c>
      <c r="I346" s="40">
        <v>1.3753062968903862</v>
      </c>
      <c r="J346" s="59">
        <v>0</v>
      </c>
      <c r="K346" s="59">
        <v>4690.3337351977825</v>
      </c>
      <c r="L346" s="59">
        <v>0</v>
      </c>
      <c r="M346" s="11">
        <v>0.84093323349952698</v>
      </c>
      <c r="N346" s="11">
        <v>0.79709649085998535</v>
      </c>
      <c r="O346" s="11">
        <v>0.29284197092056274</v>
      </c>
      <c r="Q346" s="59">
        <v>14.801888027128365</v>
      </c>
      <c r="R346" s="78">
        <v>488.63174882750491</v>
      </c>
      <c r="S346" s="78">
        <v>14.822532970250036</v>
      </c>
      <c r="T346" s="78">
        <v>617.68284712952561</v>
      </c>
      <c r="U346" s="59">
        <v>14.831924671891676</v>
      </c>
      <c r="V346" s="78">
        <v>801.3130938232764</v>
      </c>
      <c r="X346" s="134">
        <f t="shared" si="36"/>
        <v>1479700.1709640091</v>
      </c>
      <c r="Y346" s="134">
        <f t="shared" si="37"/>
        <v>1481635.6141778741</v>
      </c>
      <c r="Z346" s="134">
        <f t="shared" si="38"/>
        <v>1482391.1540953442</v>
      </c>
      <c r="AB346" s="127">
        <f t="shared" si="39"/>
        <v>0</v>
      </c>
      <c r="AC346" s="127">
        <f t="shared" si="40"/>
        <v>0</v>
      </c>
      <c r="AD346" s="127">
        <f t="shared" si="41"/>
        <v>1</v>
      </c>
    </row>
    <row r="347" spans="1:30" x14ac:dyDescent="0.25">
      <c r="A347">
        <v>342</v>
      </c>
      <c r="C347" s="11">
        <v>2.5729566812515259E-2</v>
      </c>
      <c r="D347" s="11">
        <v>1.1000171303749084E-2</v>
      </c>
      <c r="E347" s="11">
        <v>0.30550458051462454</v>
      </c>
      <c r="F347" s="11">
        <v>0.22041129777003038</v>
      </c>
      <c r="G347" s="11">
        <v>2.685624361038208E-2</v>
      </c>
      <c r="H347" s="40">
        <v>3.6764734383099365E-4</v>
      </c>
      <c r="I347" s="40">
        <v>1.4421724328082892</v>
      </c>
      <c r="J347" s="59">
        <v>0</v>
      </c>
      <c r="K347" s="59">
        <v>7478.7484481930733</v>
      </c>
      <c r="L347" s="59">
        <v>0</v>
      </c>
      <c r="M347" s="11">
        <v>0.81296384334564209</v>
      </c>
      <c r="N347" s="11">
        <v>0.75970232486724854</v>
      </c>
      <c r="O347" s="11">
        <v>0.26881253719329834</v>
      </c>
      <c r="Q347" s="59">
        <v>13.958059496022724</v>
      </c>
      <c r="R347" s="78">
        <v>515.70646874099452</v>
      </c>
      <c r="S347" s="78">
        <v>13.98038542141256</v>
      </c>
      <c r="T347" s="78">
        <v>616.55221273756581</v>
      </c>
      <c r="U347" s="59">
        <v>13.983157910808046</v>
      </c>
      <c r="V347" s="78">
        <v>815.12573517364513</v>
      </c>
      <c r="X347" s="134">
        <f t="shared" si="36"/>
        <v>1395290.2431335314</v>
      </c>
      <c r="Y347" s="134">
        <f t="shared" si="37"/>
        <v>1397421.9899285184</v>
      </c>
      <c r="Z347" s="134">
        <f t="shared" si="38"/>
        <v>1397500.6653456308</v>
      </c>
      <c r="AB347" s="127">
        <f t="shared" si="39"/>
        <v>0</v>
      </c>
      <c r="AC347" s="127">
        <f t="shared" si="40"/>
        <v>0</v>
      </c>
      <c r="AD347" s="127">
        <f t="shared" si="41"/>
        <v>1</v>
      </c>
    </row>
    <row r="348" spans="1:30" x14ac:dyDescent="0.25">
      <c r="A348">
        <v>343</v>
      </c>
      <c r="C348" s="11">
        <v>3.3236384391784668E-2</v>
      </c>
      <c r="D348" s="11">
        <v>2.1588578820228577E-2</v>
      </c>
      <c r="E348" s="11">
        <v>0.18665526213011219</v>
      </c>
      <c r="F348" s="11">
        <v>0.3604979630653723</v>
      </c>
      <c r="G348" s="11">
        <v>7.468104362487793E-2</v>
      </c>
      <c r="H348" s="40">
        <v>5.2357412983047207E-4</v>
      </c>
      <c r="I348" s="40">
        <v>1.5197576161772606</v>
      </c>
      <c r="J348" s="59">
        <v>0</v>
      </c>
      <c r="K348" s="59">
        <v>4535.8901843428612</v>
      </c>
      <c r="L348" s="59">
        <v>0</v>
      </c>
      <c r="M348" s="11">
        <v>0.85749185085296631</v>
      </c>
      <c r="N348" s="11">
        <v>0.76233559846878052</v>
      </c>
      <c r="O348" s="11">
        <v>0.26509964466094971</v>
      </c>
      <c r="Q348" s="59">
        <v>14.550570604693508</v>
      </c>
      <c r="R348" s="78">
        <v>555.8035139024297</v>
      </c>
      <c r="S348" s="78">
        <v>14.62528367513371</v>
      </c>
      <c r="T348" s="78">
        <v>609.83269223598199</v>
      </c>
      <c r="U348" s="59">
        <v>14.609000121736807</v>
      </c>
      <c r="V348" s="78">
        <v>847.28428921896989</v>
      </c>
      <c r="X348" s="134">
        <f t="shared" si="36"/>
        <v>1454501.2569554483</v>
      </c>
      <c r="Y348" s="134">
        <f t="shared" si="37"/>
        <v>1461918.534821135</v>
      </c>
      <c r="Z348" s="134">
        <f t="shared" si="38"/>
        <v>1460052.7278844619</v>
      </c>
      <c r="AB348" s="127">
        <f t="shared" si="39"/>
        <v>0</v>
      </c>
      <c r="AC348" s="127">
        <f t="shared" si="40"/>
        <v>1</v>
      </c>
      <c r="AD348" s="127">
        <f t="shared" si="41"/>
        <v>0</v>
      </c>
    </row>
    <row r="349" spans="1:30" x14ac:dyDescent="0.25">
      <c r="A349">
        <v>344</v>
      </c>
      <c r="C349" s="11">
        <v>2.3814141750335693E-2</v>
      </c>
      <c r="D349" s="11">
        <v>1.0595798492431641E-2</v>
      </c>
      <c r="E349" s="11">
        <v>0.16650383152817755</v>
      </c>
      <c r="F349" s="11">
        <v>0.29664233552649449</v>
      </c>
      <c r="G349" s="11">
        <v>2.0138859748840332E-2</v>
      </c>
      <c r="H349" s="40">
        <v>4.7095499420489874E-4</v>
      </c>
      <c r="I349" s="40">
        <v>1.396333049749348</v>
      </c>
      <c r="J349" s="59">
        <v>0</v>
      </c>
      <c r="K349" s="59">
        <v>2966.2903398275375</v>
      </c>
      <c r="L349" s="59">
        <v>0</v>
      </c>
      <c r="M349" s="11">
        <v>0.88212496042251587</v>
      </c>
      <c r="N349" s="11">
        <v>0.82583498954772949</v>
      </c>
      <c r="O349" s="11">
        <v>0.3222154974937439</v>
      </c>
      <c r="Q349" s="59">
        <v>15.173916989555737</v>
      </c>
      <c r="R349" s="78">
        <v>445.99617844740226</v>
      </c>
      <c r="S349" s="78">
        <v>15.204249097681778</v>
      </c>
      <c r="T349" s="78">
        <v>587.77158593283775</v>
      </c>
      <c r="U349" s="59">
        <v>15.199450324026612</v>
      </c>
      <c r="V349" s="78">
        <v>803.59537272133548</v>
      </c>
      <c r="X349" s="134">
        <f t="shared" si="36"/>
        <v>1516945.7027771261</v>
      </c>
      <c r="Y349" s="134">
        <f t="shared" si="37"/>
        <v>1519837.138182245</v>
      </c>
      <c r="Z349" s="134">
        <f t="shared" si="38"/>
        <v>1519141.4370299398</v>
      </c>
      <c r="AB349" s="127">
        <f t="shared" si="39"/>
        <v>0</v>
      </c>
      <c r="AC349" s="127">
        <f t="shared" si="40"/>
        <v>1</v>
      </c>
      <c r="AD349" s="127">
        <f t="shared" si="41"/>
        <v>0</v>
      </c>
    </row>
    <row r="350" spans="1:30" x14ac:dyDescent="0.25">
      <c r="A350">
        <v>345</v>
      </c>
      <c r="C350" s="11">
        <v>4.2879104614257813E-2</v>
      </c>
      <c r="D350" s="11">
        <v>1.6321718692779541E-2</v>
      </c>
      <c r="E350" s="11">
        <v>0.44015809336623291</v>
      </c>
      <c r="F350" s="11">
        <v>0.24539751965733153</v>
      </c>
      <c r="G350" s="11">
        <v>8.7028026580810547E-2</v>
      </c>
      <c r="H350" s="40">
        <v>6.6367624528495151E-4</v>
      </c>
      <c r="I350" s="40">
        <v>1.3683291031330254</v>
      </c>
      <c r="J350" s="59">
        <v>0</v>
      </c>
      <c r="K350" s="59">
        <v>4964.0284851193428</v>
      </c>
      <c r="L350" s="59">
        <v>0</v>
      </c>
      <c r="M350" s="11">
        <v>0.81102514266967773</v>
      </c>
      <c r="N350" s="11">
        <v>0.71709591150283813</v>
      </c>
      <c r="O350" s="11">
        <v>0.28881055116653442</v>
      </c>
      <c r="Q350" s="59">
        <v>13.642597041248175</v>
      </c>
      <c r="R350" s="78">
        <v>545.5145171472326</v>
      </c>
      <c r="S350" s="78">
        <v>13.680697859560205</v>
      </c>
      <c r="T350" s="78">
        <v>646.39799660215658</v>
      </c>
      <c r="U350" s="59">
        <v>13.694179518597508</v>
      </c>
      <c r="V350" s="78">
        <v>825.71488976839896</v>
      </c>
      <c r="X350" s="134">
        <f t="shared" si="36"/>
        <v>1363714.1896076701</v>
      </c>
      <c r="Y350" s="134">
        <f t="shared" si="37"/>
        <v>1367423.3879594184</v>
      </c>
      <c r="Z350" s="134">
        <f t="shared" si="38"/>
        <v>1368592.2369699823</v>
      </c>
      <c r="AB350" s="127">
        <f t="shared" si="39"/>
        <v>0</v>
      </c>
      <c r="AC350" s="127">
        <f t="shared" si="40"/>
        <v>0</v>
      </c>
      <c r="AD350" s="127">
        <f t="shared" si="41"/>
        <v>1</v>
      </c>
    </row>
    <row r="351" spans="1:30" x14ac:dyDescent="0.25">
      <c r="A351">
        <v>346</v>
      </c>
      <c r="C351" s="11">
        <v>1.254686713218689E-2</v>
      </c>
      <c r="D351" s="11">
        <v>1.4375180006027222E-2</v>
      </c>
      <c r="E351" s="11">
        <v>0.22660286739490582</v>
      </c>
      <c r="F351" s="11">
        <v>0.14873396853743215</v>
      </c>
      <c r="G351" s="11">
        <v>2.929803729057312E-2</v>
      </c>
      <c r="H351" s="40">
        <v>6.1042676199674919E-4</v>
      </c>
      <c r="I351" s="40">
        <v>1.4850330614599223</v>
      </c>
      <c r="J351" s="59">
        <v>0</v>
      </c>
      <c r="K351" s="59">
        <v>7759.0066939592361</v>
      </c>
      <c r="L351" s="59">
        <v>0</v>
      </c>
      <c r="M351" s="11">
        <v>0.88423830270767212</v>
      </c>
      <c r="N351" s="11">
        <v>0.75463157892227173</v>
      </c>
      <c r="O351" s="11">
        <v>0.32009321451187134</v>
      </c>
      <c r="Q351" s="59">
        <v>15.324606200281202</v>
      </c>
      <c r="R351" s="78">
        <v>635.01670263393214</v>
      </c>
      <c r="S351" s="78">
        <v>15.400036732207667</v>
      </c>
      <c r="T351" s="78">
        <v>634.77994441960664</v>
      </c>
      <c r="U351" s="59">
        <v>15.407837388410355</v>
      </c>
      <c r="V351" s="78">
        <v>824.69062014788221</v>
      </c>
      <c r="X351" s="134">
        <f t="shared" si="36"/>
        <v>1531825.6033254864</v>
      </c>
      <c r="Y351" s="134">
        <f t="shared" si="37"/>
        <v>1539368.8932763471</v>
      </c>
      <c r="Z351" s="134">
        <f t="shared" si="38"/>
        <v>1539959.0482208878</v>
      </c>
      <c r="AB351" s="127">
        <f t="shared" si="39"/>
        <v>0</v>
      </c>
      <c r="AC351" s="127">
        <f t="shared" si="40"/>
        <v>0</v>
      </c>
      <c r="AD351" s="127">
        <f t="shared" si="41"/>
        <v>1</v>
      </c>
    </row>
    <row r="352" spans="1:30" x14ac:dyDescent="0.25">
      <c r="A352">
        <v>347</v>
      </c>
      <c r="C352" s="11">
        <v>2.0938470959663391E-2</v>
      </c>
      <c r="D352" s="11">
        <v>1.2051194906234741E-2</v>
      </c>
      <c r="E352" s="11">
        <v>0.34958515365840098</v>
      </c>
      <c r="F352" s="11">
        <v>0.13480689686440825</v>
      </c>
      <c r="G352" s="11">
        <v>1.5126705169677734E-2</v>
      </c>
      <c r="H352" s="40">
        <v>3.175072536978414E-4</v>
      </c>
      <c r="I352" s="40">
        <v>1.4551622847058108</v>
      </c>
      <c r="J352" s="59">
        <v>0</v>
      </c>
      <c r="K352" s="59">
        <v>3923.5223084688187</v>
      </c>
      <c r="L352" s="59">
        <v>0</v>
      </c>
      <c r="M352" s="11">
        <v>0.86754798889160156</v>
      </c>
      <c r="N352" s="11">
        <v>0.71724814176559448</v>
      </c>
      <c r="O352" s="11">
        <v>0.28647857904434204</v>
      </c>
      <c r="Q352" s="59">
        <v>14.953216655081521</v>
      </c>
      <c r="R352" s="78">
        <v>447.78589607745022</v>
      </c>
      <c r="S352" s="78">
        <v>14.985519449692797</v>
      </c>
      <c r="T352" s="78">
        <v>597.96359844283324</v>
      </c>
      <c r="U352" s="59">
        <v>14.99632367992537</v>
      </c>
      <c r="V352" s="78">
        <v>795.33343287733385</v>
      </c>
      <c r="X352" s="134">
        <f t="shared" si="36"/>
        <v>1494873.8796120745</v>
      </c>
      <c r="Y352" s="134">
        <f t="shared" si="37"/>
        <v>1497953.981370837</v>
      </c>
      <c r="Z352" s="134">
        <f t="shared" si="38"/>
        <v>1498837.0345596594</v>
      </c>
      <c r="AB352" s="127">
        <f t="shared" si="39"/>
        <v>0</v>
      </c>
      <c r="AC352" s="127">
        <f t="shared" si="40"/>
        <v>0</v>
      </c>
      <c r="AD352" s="127">
        <f t="shared" si="41"/>
        <v>1</v>
      </c>
    </row>
    <row r="353" spans="1:30" x14ac:dyDescent="0.25">
      <c r="A353">
        <v>348</v>
      </c>
      <c r="C353" s="11">
        <v>2.0197480916976929E-2</v>
      </c>
      <c r="D353" s="11">
        <v>2.0264089107513428E-2</v>
      </c>
      <c r="E353" s="11">
        <v>0.27810714180001445</v>
      </c>
      <c r="F353" s="11">
        <v>0.12235831848686347</v>
      </c>
      <c r="G353" s="11">
        <v>3.367692232131958E-2</v>
      </c>
      <c r="H353" s="40">
        <v>5.554776314255751E-4</v>
      </c>
      <c r="I353" s="40">
        <v>1.4992906859495685</v>
      </c>
      <c r="J353" s="59">
        <v>0</v>
      </c>
      <c r="K353" s="59">
        <v>6188.4801834821701</v>
      </c>
      <c r="L353" s="59">
        <v>0</v>
      </c>
      <c r="M353" s="11">
        <v>0.83952790498733521</v>
      </c>
      <c r="N353" s="11">
        <v>0.72231841087341309</v>
      </c>
      <c r="O353" s="11">
        <v>0.2929743230342865</v>
      </c>
      <c r="Q353" s="59">
        <v>14.440090916251711</v>
      </c>
      <c r="R353" s="78">
        <v>579.31587205261849</v>
      </c>
      <c r="S353" s="78">
        <v>14.50412957649189</v>
      </c>
      <c r="T353" s="78">
        <v>631.51369139458188</v>
      </c>
      <c r="U353" s="59">
        <v>14.518316450390108</v>
      </c>
      <c r="V353" s="78">
        <v>811.19901593834675</v>
      </c>
      <c r="X353" s="134">
        <f t="shared" si="36"/>
        <v>1443429.7757531183</v>
      </c>
      <c r="Y353" s="134">
        <f t="shared" si="37"/>
        <v>1449781.4439577945</v>
      </c>
      <c r="Z353" s="134">
        <f t="shared" si="38"/>
        <v>1451020.4460230723</v>
      </c>
      <c r="AB353" s="127">
        <f t="shared" si="39"/>
        <v>0</v>
      </c>
      <c r="AC353" s="127">
        <f t="shared" si="40"/>
        <v>0</v>
      </c>
      <c r="AD353" s="127">
        <f t="shared" si="41"/>
        <v>1</v>
      </c>
    </row>
    <row r="354" spans="1:30" x14ac:dyDescent="0.25">
      <c r="A354">
        <v>349</v>
      </c>
      <c r="C354" s="11">
        <v>1.3082236051559448E-2</v>
      </c>
      <c r="D354" s="11">
        <v>6.275177001953125E-4</v>
      </c>
      <c r="E354" s="11">
        <v>0.22194332222741944</v>
      </c>
      <c r="F354" s="11">
        <v>0.17455855701751652</v>
      </c>
      <c r="G354" s="11">
        <v>2.4648964405059814E-2</v>
      </c>
      <c r="H354" s="40">
        <v>4.8673892524942679E-4</v>
      </c>
      <c r="I354" s="40">
        <v>1.4845976506432035</v>
      </c>
      <c r="J354" s="59">
        <v>0</v>
      </c>
      <c r="K354" s="59">
        <v>2679.9924671649933</v>
      </c>
      <c r="L354" s="59">
        <v>0</v>
      </c>
      <c r="M354" s="11">
        <v>0.80835151672363281</v>
      </c>
      <c r="N354" s="11">
        <v>0.69853377342224121</v>
      </c>
      <c r="O354" s="11">
        <v>0.34979510307312012</v>
      </c>
      <c r="Q354" s="59">
        <v>14.030403221841979</v>
      </c>
      <c r="R354" s="78">
        <v>459.06832593712249</v>
      </c>
      <c r="S354" s="78">
        <v>14.077738869262898</v>
      </c>
      <c r="T354" s="78">
        <v>593.689646470615</v>
      </c>
      <c r="U354" s="59">
        <v>14.080682280018188</v>
      </c>
      <c r="V354" s="78">
        <v>799.56550484483341</v>
      </c>
      <c r="X354" s="134">
        <f t="shared" si="36"/>
        <v>1402581.2538582608</v>
      </c>
      <c r="Y354" s="134">
        <f t="shared" si="37"/>
        <v>1407180.1972798193</v>
      </c>
      <c r="Z354" s="134">
        <f t="shared" si="38"/>
        <v>1407268.662496974</v>
      </c>
      <c r="AB354" s="127">
        <f t="shared" si="39"/>
        <v>0</v>
      </c>
      <c r="AC354" s="127">
        <f t="shared" si="40"/>
        <v>0</v>
      </c>
      <c r="AD354" s="127">
        <f t="shared" si="41"/>
        <v>1</v>
      </c>
    </row>
    <row r="355" spans="1:30" x14ac:dyDescent="0.25">
      <c r="A355">
        <v>350</v>
      </c>
      <c r="C355" s="11">
        <v>1.1191725730895996E-2</v>
      </c>
      <c r="D355" s="11">
        <v>3.0447065830230713E-2</v>
      </c>
      <c r="E355" s="11">
        <v>0.51118358374739359</v>
      </c>
      <c r="F355" s="11">
        <v>0.17722655302028939</v>
      </c>
      <c r="G355" s="11">
        <v>2.3243695497512817E-2</v>
      </c>
      <c r="H355" s="40">
        <v>3.7695487195330614E-4</v>
      </c>
      <c r="I355" s="40">
        <v>1.4905095594532514</v>
      </c>
      <c r="J355" s="59">
        <v>0</v>
      </c>
      <c r="K355" s="59">
        <v>7135.7656270265579</v>
      </c>
      <c r="L355" s="59">
        <v>0</v>
      </c>
      <c r="M355" s="11">
        <v>0.86829191446304321</v>
      </c>
      <c r="N355" s="11">
        <v>0.71047830581665039</v>
      </c>
      <c r="O355" s="11">
        <v>0.32375568151473999</v>
      </c>
      <c r="Q355" s="59">
        <v>15.092806176961867</v>
      </c>
      <c r="R355" s="78">
        <v>529.64287657537614</v>
      </c>
      <c r="S355" s="78">
        <v>15.127980135698458</v>
      </c>
      <c r="T355" s="78">
        <v>648.92951909087844</v>
      </c>
      <c r="U355" s="59">
        <v>15.152401472610421</v>
      </c>
      <c r="V355" s="78">
        <v>812.38634992350762</v>
      </c>
      <c r="X355" s="134">
        <f t="shared" si="36"/>
        <v>1508750.9748196113</v>
      </c>
      <c r="Y355" s="134">
        <f t="shared" si="37"/>
        <v>1512149.084050755</v>
      </c>
      <c r="Z355" s="134">
        <f t="shared" si="38"/>
        <v>1514427.7609111187</v>
      </c>
      <c r="AB355" s="127">
        <f t="shared" si="39"/>
        <v>0</v>
      </c>
      <c r="AC355" s="127">
        <f t="shared" si="40"/>
        <v>0</v>
      </c>
      <c r="AD355" s="127">
        <f t="shared" si="41"/>
        <v>1</v>
      </c>
    </row>
    <row r="356" spans="1:30" x14ac:dyDescent="0.25">
      <c r="A356">
        <v>351</v>
      </c>
      <c r="C356" s="11">
        <v>4.5827507972717285E-2</v>
      </c>
      <c r="D356" s="11">
        <v>7.5255781412124634E-3</v>
      </c>
      <c r="E356" s="11">
        <v>0.19184108130557165</v>
      </c>
      <c r="F356" s="11">
        <v>0.208793092808707</v>
      </c>
      <c r="G356" s="11">
        <v>1.9007027149200439E-2</v>
      </c>
      <c r="H356" s="40">
        <v>5.7021611370813461E-4</v>
      </c>
      <c r="I356" s="40">
        <v>1.4449668926958936</v>
      </c>
      <c r="J356" s="59">
        <v>0</v>
      </c>
      <c r="K356" s="59">
        <v>5737.9435747861862</v>
      </c>
      <c r="L356" s="59">
        <v>0</v>
      </c>
      <c r="M356" s="11">
        <v>0.84078031778335571</v>
      </c>
      <c r="N356" s="11">
        <v>0.75788182020187378</v>
      </c>
      <c r="O356" s="11">
        <v>0.27418649196624756</v>
      </c>
      <c r="Q356" s="59">
        <v>14.112448336983492</v>
      </c>
      <c r="R356" s="78">
        <v>529.57886679442311</v>
      </c>
      <c r="S356" s="78">
        <v>14.159200101425599</v>
      </c>
      <c r="T356" s="78">
        <v>605.48660152294235</v>
      </c>
      <c r="U356" s="59">
        <v>14.15819873102151</v>
      </c>
      <c r="V356" s="78">
        <v>816.81601688586409</v>
      </c>
      <c r="X356" s="134">
        <f t="shared" si="36"/>
        <v>1410715.2548315548</v>
      </c>
      <c r="Y356" s="134">
        <f t="shared" si="37"/>
        <v>1415314.523541037</v>
      </c>
      <c r="Z356" s="134">
        <f t="shared" si="38"/>
        <v>1415003.0570852652</v>
      </c>
      <c r="AB356" s="127">
        <f t="shared" si="39"/>
        <v>0</v>
      </c>
      <c r="AC356" s="127">
        <f t="shared" si="40"/>
        <v>1</v>
      </c>
      <c r="AD356" s="127">
        <f t="shared" si="41"/>
        <v>0</v>
      </c>
    </row>
    <row r="357" spans="1:30" x14ac:dyDescent="0.25">
      <c r="A357">
        <v>352</v>
      </c>
      <c r="C357" s="11">
        <v>5.1185190677642822E-3</v>
      </c>
      <c r="D357" s="11">
        <v>2.6772409677505493E-2</v>
      </c>
      <c r="E357" s="11">
        <v>0.41041782910978136</v>
      </c>
      <c r="F357" s="11">
        <v>0.13507108307275412</v>
      </c>
      <c r="G357" s="11">
        <v>3.7946015596389771E-2</v>
      </c>
      <c r="H357" s="40">
        <v>4.7035814203739805E-4</v>
      </c>
      <c r="I357" s="40">
        <v>1.4053374770096001</v>
      </c>
      <c r="J357" s="59">
        <v>0</v>
      </c>
      <c r="K357" s="59">
        <v>4847.0403999090195</v>
      </c>
      <c r="L357" s="59">
        <v>0</v>
      </c>
      <c r="M357" s="11">
        <v>0.89833879470825195</v>
      </c>
      <c r="N357" s="11">
        <v>0.77996253967285156</v>
      </c>
      <c r="O357" s="11">
        <v>0.25838375091552734</v>
      </c>
      <c r="Q357" s="59">
        <v>15.721241004533185</v>
      </c>
      <c r="R357" s="78">
        <v>491.66503140561491</v>
      </c>
      <c r="S357" s="78">
        <v>15.759516979757084</v>
      </c>
      <c r="T357" s="78">
        <v>619.45962177419563</v>
      </c>
      <c r="U357" s="59">
        <v>15.777679628784153</v>
      </c>
      <c r="V357" s="78">
        <v>801.37406365332902</v>
      </c>
      <c r="X357" s="134">
        <f t="shared" si="36"/>
        <v>1571632.4354219129</v>
      </c>
      <c r="Y357" s="134">
        <f t="shared" si="37"/>
        <v>1575332.2383539341</v>
      </c>
      <c r="Z357" s="134">
        <f t="shared" si="38"/>
        <v>1576966.588814762</v>
      </c>
      <c r="AB357" s="127">
        <f t="shared" si="39"/>
        <v>0</v>
      </c>
      <c r="AC357" s="127">
        <f t="shared" si="40"/>
        <v>0</v>
      </c>
      <c r="AD357" s="127">
        <f t="shared" si="41"/>
        <v>1</v>
      </c>
    </row>
    <row r="358" spans="1:30" x14ac:dyDescent="0.25">
      <c r="A358">
        <v>353</v>
      </c>
      <c r="C358" s="11">
        <v>2.7611672878265381E-2</v>
      </c>
      <c r="D358" s="11">
        <v>3.97300124168396E-2</v>
      </c>
      <c r="E358" s="11">
        <v>0.34308529158235834</v>
      </c>
      <c r="F358" s="11">
        <v>0.16305198302463592</v>
      </c>
      <c r="G358" s="11">
        <v>6.3359916210174561E-2</v>
      </c>
      <c r="H358" s="40">
        <v>4.3289775613270681E-4</v>
      </c>
      <c r="I358" s="40">
        <v>1.4226460614783338</v>
      </c>
      <c r="J358" s="59">
        <v>0</v>
      </c>
      <c r="K358" s="59">
        <v>5126.79573148489</v>
      </c>
      <c r="L358" s="59">
        <v>0</v>
      </c>
      <c r="M358" s="11">
        <v>0.80386340618133545</v>
      </c>
      <c r="N358" s="11">
        <v>0.75557249784469604</v>
      </c>
      <c r="O358" s="11">
        <v>0.32089483737945557</v>
      </c>
      <c r="Q358" s="59">
        <v>13.762121455287589</v>
      </c>
      <c r="R358" s="78">
        <v>503.6057373966915</v>
      </c>
      <c r="S358" s="78">
        <v>13.791447759109557</v>
      </c>
      <c r="T358" s="78">
        <v>616.98093191572661</v>
      </c>
      <c r="U358" s="59">
        <v>13.799607065738957</v>
      </c>
      <c r="V358" s="78">
        <v>806.10017832665392</v>
      </c>
      <c r="X358" s="134">
        <f t="shared" si="36"/>
        <v>1375708.5397913621</v>
      </c>
      <c r="Y358" s="134">
        <f t="shared" si="37"/>
        <v>1378527.7949790398</v>
      </c>
      <c r="Z358" s="134">
        <f t="shared" si="38"/>
        <v>1379154.6063955689</v>
      </c>
      <c r="AB358" s="127">
        <f t="shared" si="39"/>
        <v>0</v>
      </c>
      <c r="AC358" s="127">
        <f t="shared" si="40"/>
        <v>0</v>
      </c>
      <c r="AD358" s="127">
        <f t="shared" si="41"/>
        <v>1</v>
      </c>
    </row>
    <row r="359" spans="1:30" x14ac:dyDescent="0.25">
      <c r="A359">
        <v>354</v>
      </c>
      <c r="C359" s="11">
        <v>4.7915875911712646E-3</v>
      </c>
      <c r="D359" s="11">
        <v>7.8665465116500854E-3</v>
      </c>
      <c r="E359" s="11">
        <v>0.47734038369310289</v>
      </c>
      <c r="F359" s="11">
        <v>0.50357647742351663</v>
      </c>
      <c r="G359" s="11">
        <v>2.7529060840606689E-2</v>
      </c>
      <c r="H359" s="40">
        <v>4.7073780648346377E-4</v>
      </c>
      <c r="I359" s="40">
        <v>1.4929046507871413</v>
      </c>
      <c r="J359" s="59">
        <v>0</v>
      </c>
      <c r="K359" s="59">
        <v>3452.4733200669289</v>
      </c>
      <c r="L359" s="59">
        <v>0</v>
      </c>
      <c r="M359" s="11">
        <v>0.83058953285217285</v>
      </c>
      <c r="N359" s="11">
        <v>0.76235771179199219</v>
      </c>
      <c r="O359" s="11">
        <v>0.27902168035507202</v>
      </c>
      <c r="Q359" s="59">
        <v>14.547172261756108</v>
      </c>
      <c r="R359" s="78">
        <v>479.0574642983027</v>
      </c>
      <c r="S359" s="78">
        <v>14.574895090095358</v>
      </c>
      <c r="T359" s="78">
        <v>620.06415840653324</v>
      </c>
      <c r="U359" s="59">
        <v>14.573485408010059</v>
      </c>
      <c r="V359" s="78">
        <v>831.29641467836802</v>
      </c>
      <c r="X359" s="134">
        <f t="shared" si="36"/>
        <v>1454238.1687113126</v>
      </c>
      <c r="Y359" s="134">
        <f t="shared" si="37"/>
        <v>1456869.4448511293</v>
      </c>
      <c r="Z359" s="134">
        <f t="shared" si="38"/>
        <v>1456517.2443863275</v>
      </c>
      <c r="AB359" s="127">
        <f t="shared" si="39"/>
        <v>0</v>
      </c>
      <c r="AC359" s="127">
        <f t="shared" si="40"/>
        <v>1</v>
      </c>
      <c r="AD359" s="127">
        <f t="shared" si="41"/>
        <v>0</v>
      </c>
    </row>
    <row r="360" spans="1:30" x14ac:dyDescent="0.25">
      <c r="A360">
        <v>355</v>
      </c>
      <c r="C360" s="11">
        <v>4.7316431999206543E-2</v>
      </c>
      <c r="D360" s="11">
        <v>1.9948065280914307E-2</v>
      </c>
      <c r="E360" s="11">
        <v>0.40349820436878975</v>
      </c>
      <c r="F360" s="11">
        <v>0.10712827753436718</v>
      </c>
      <c r="G360" s="11">
        <v>8.5611343383789063E-3</v>
      </c>
      <c r="H360" s="40">
        <v>5.5252560332583699E-4</v>
      </c>
      <c r="I360" s="40">
        <v>1.4711655900721521</v>
      </c>
      <c r="J360" s="59">
        <v>0</v>
      </c>
      <c r="K360" s="59">
        <v>4754.7556459903717</v>
      </c>
      <c r="L360" s="59">
        <v>0</v>
      </c>
      <c r="M360" s="11">
        <v>0.84087353944778442</v>
      </c>
      <c r="N360" s="11">
        <v>0.69625163078308105</v>
      </c>
      <c r="O360" s="11">
        <v>0.29724347591400146</v>
      </c>
      <c r="Q360" s="59">
        <v>14.065169053298671</v>
      </c>
      <c r="R360" s="78">
        <v>503.73254957554371</v>
      </c>
      <c r="S360" s="78">
        <v>14.115247539876369</v>
      </c>
      <c r="T360" s="78">
        <v>623.91983489893141</v>
      </c>
      <c r="U360" s="59">
        <v>14.140736715502516</v>
      </c>
      <c r="V360" s="78">
        <v>800.0126812961247</v>
      </c>
      <c r="X360" s="134">
        <f t="shared" si="36"/>
        <v>1406013.1727802914</v>
      </c>
      <c r="Y360" s="134">
        <f t="shared" si="37"/>
        <v>1410900.8341527379</v>
      </c>
      <c r="Z360" s="134">
        <f t="shared" si="38"/>
        <v>1413273.6588689554</v>
      </c>
      <c r="AB360" s="127">
        <f t="shared" si="39"/>
        <v>0</v>
      </c>
      <c r="AC360" s="127">
        <f t="shared" si="40"/>
        <v>0</v>
      </c>
      <c r="AD360" s="127">
        <f t="shared" si="41"/>
        <v>1</v>
      </c>
    </row>
    <row r="361" spans="1:30" x14ac:dyDescent="0.25">
      <c r="A361">
        <v>356</v>
      </c>
      <c r="C361" s="11">
        <v>3.2554715871810913E-3</v>
      </c>
      <c r="D361" s="11">
        <v>1.7012253403663635E-2</v>
      </c>
      <c r="E361" s="11">
        <v>0.24058263450150538</v>
      </c>
      <c r="F361" s="11">
        <v>7.158426325826632E-2</v>
      </c>
      <c r="G361" s="11">
        <v>5.1817446947097778E-2</v>
      </c>
      <c r="H361" s="40">
        <v>4.4289307596446457E-4</v>
      </c>
      <c r="I361" s="40">
        <v>1.4627878695735821</v>
      </c>
      <c r="J361" s="59">
        <v>0</v>
      </c>
      <c r="K361" s="59">
        <v>4503.6175288259983</v>
      </c>
      <c r="L361" s="59">
        <v>0</v>
      </c>
      <c r="M361" s="11">
        <v>0.84219086170196533</v>
      </c>
      <c r="N361" s="11">
        <v>0.74771755933761597</v>
      </c>
      <c r="O361" s="11">
        <v>0.29856324195861816</v>
      </c>
      <c r="Q361" s="59">
        <v>14.767215136797605</v>
      </c>
      <c r="R361" s="78">
        <v>502.48538807886956</v>
      </c>
      <c r="S361" s="78">
        <v>14.812892507544614</v>
      </c>
      <c r="T361" s="78">
        <v>605.45880211916335</v>
      </c>
      <c r="U361" s="59">
        <v>14.823260661115045</v>
      </c>
      <c r="V361" s="78">
        <v>795.89684918163482</v>
      </c>
      <c r="X361" s="134">
        <f t="shared" si="36"/>
        <v>1476219.0282916815</v>
      </c>
      <c r="Y361" s="134">
        <f t="shared" si="37"/>
        <v>1480683.7919523423</v>
      </c>
      <c r="Z361" s="134">
        <f t="shared" si="38"/>
        <v>1481530.1692623228</v>
      </c>
      <c r="AB361" s="127">
        <f t="shared" si="39"/>
        <v>0</v>
      </c>
      <c r="AC361" s="127">
        <f t="shared" si="40"/>
        <v>0</v>
      </c>
      <c r="AD361" s="127">
        <f t="shared" si="41"/>
        <v>1</v>
      </c>
    </row>
    <row r="362" spans="1:30" x14ac:dyDescent="0.25">
      <c r="A362">
        <v>357</v>
      </c>
      <c r="C362" s="11">
        <v>2.0510852336883545E-3</v>
      </c>
      <c r="D362" s="11">
        <v>7.7023208141326904E-3</v>
      </c>
      <c r="E362" s="11">
        <v>0.12727353912686931</v>
      </c>
      <c r="F362" s="11">
        <v>0.23722568494074101</v>
      </c>
      <c r="G362" s="11">
        <v>2.3863449692726135E-2</v>
      </c>
      <c r="H362" s="40">
        <v>5.0209233448197976E-4</v>
      </c>
      <c r="I362" s="40">
        <v>1.5021571690783702</v>
      </c>
      <c r="J362" s="59">
        <v>0</v>
      </c>
      <c r="K362" s="59">
        <v>7482.3945760726929</v>
      </c>
      <c r="L362" s="59">
        <v>0</v>
      </c>
      <c r="M362" s="11">
        <v>0.84387582540512085</v>
      </c>
      <c r="N362" s="11">
        <v>0.68214631080627441</v>
      </c>
      <c r="O362" s="11">
        <v>0.27800947427749634</v>
      </c>
      <c r="Q362" s="59">
        <v>14.779982377090592</v>
      </c>
      <c r="R362" s="78">
        <v>592.00369989572118</v>
      </c>
      <c r="S362" s="78">
        <v>14.862870140515042</v>
      </c>
      <c r="T362" s="78">
        <v>604.73521422871704</v>
      </c>
      <c r="U362" s="59">
        <v>14.852207886741015</v>
      </c>
      <c r="V362" s="78">
        <v>835.84026774527422</v>
      </c>
      <c r="X362" s="134">
        <f t="shared" si="36"/>
        <v>1477406.2340091635</v>
      </c>
      <c r="Y362" s="134">
        <f t="shared" si="37"/>
        <v>1485682.2788372755</v>
      </c>
      <c r="Z362" s="134">
        <f t="shared" si="38"/>
        <v>1484384.9484063562</v>
      </c>
      <c r="AB362" s="127">
        <f t="shared" si="39"/>
        <v>0</v>
      </c>
      <c r="AC362" s="127">
        <f t="shared" si="40"/>
        <v>1</v>
      </c>
      <c r="AD362" s="127">
        <f t="shared" si="41"/>
        <v>0</v>
      </c>
    </row>
    <row r="363" spans="1:30" x14ac:dyDescent="0.25">
      <c r="A363">
        <v>358</v>
      </c>
      <c r="C363" s="11">
        <v>2.074626088142395E-2</v>
      </c>
      <c r="D363" s="11">
        <v>1.5841275453567505E-2</v>
      </c>
      <c r="E363" s="11">
        <v>0.18600642248374594</v>
      </c>
      <c r="F363" s="11">
        <v>8.8726893811136603E-2</v>
      </c>
      <c r="G363" s="11">
        <v>2.4282753467559814E-2</v>
      </c>
      <c r="H363" s="40">
        <v>4.8859888903822078E-4</v>
      </c>
      <c r="I363" s="40">
        <v>1.5316804680322822</v>
      </c>
      <c r="J363" s="59">
        <v>0</v>
      </c>
      <c r="K363" s="59">
        <v>5954.1338123381138</v>
      </c>
      <c r="L363" s="59">
        <v>0</v>
      </c>
      <c r="M363" s="11">
        <v>0.86249539256095886</v>
      </c>
      <c r="N363" s="11">
        <v>0.73163950443267822</v>
      </c>
      <c r="O363" s="11">
        <v>0.31255447864532471</v>
      </c>
      <c r="Q363" s="59">
        <v>14.829577766983096</v>
      </c>
      <c r="R363" s="78">
        <v>558.01583154826938</v>
      </c>
      <c r="S363" s="78">
        <v>14.901708944992395</v>
      </c>
      <c r="T363" s="78">
        <v>610.15850622459959</v>
      </c>
      <c r="U363" s="59">
        <v>14.910566310567916</v>
      </c>
      <c r="V363" s="78">
        <v>802.90083372984225</v>
      </c>
      <c r="X363" s="134">
        <f t="shared" si="36"/>
        <v>1482399.7608667614</v>
      </c>
      <c r="Y363" s="134">
        <f t="shared" si="37"/>
        <v>1489560.7359930149</v>
      </c>
      <c r="Z363" s="134">
        <f t="shared" si="38"/>
        <v>1490253.7302230617</v>
      </c>
      <c r="AB363" s="127">
        <f t="shared" si="39"/>
        <v>0</v>
      </c>
      <c r="AC363" s="127">
        <f t="shared" si="40"/>
        <v>0</v>
      </c>
      <c r="AD363" s="127">
        <f t="shared" si="41"/>
        <v>1</v>
      </c>
    </row>
    <row r="364" spans="1:30" x14ac:dyDescent="0.25">
      <c r="A364">
        <v>359</v>
      </c>
      <c r="C364" s="11">
        <v>1.0169267654418945E-2</v>
      </c>
      <c r="D364" s="11">
        <v>2.0903676748275757E-2</v>
      </c>
      <c r="E364" s="11">
        <v>0.63800938764040349</v>
      </c>
      <c r="F364" s="11">
        <v>0.27065297717934239</v>
      </c>
      <c r="G364" s="11">
        <v>2.6147723197937012E-2</v>
      </c>
      <c r="H364" s="40">
        <v>3.8623152763928243E-4</v>
      </c>
      <c r="I364" s="40">
        <v>1.4188245960851289</v>
      </c>
      <c r="J364" s="59">
        <v>0</v>
      </c>
      <c r="K364" s="59">
        <v>6705.6342959403992</v>
      </c>
      <c r="L364" s="59">
        <v>0</v>
      </c>
      <c r="M364" s="11">
        <v>0.85819047689437866</v>
      </c>
      <c r="N364" s="11">
        <v>0.75043052434921265</v>
      </c>
      <c r="O364" s="11">
        <v>0.29957014322280884</v>
      </c>
      <c r="Q364" s="59">
        <v>14.95704764295979</v>
      </c>
      <c r="R364" s="78">
        <v>502.15718376584346</v>
      </c>
      <c r="S364" s="78">
        <v>14.974072367085112</v>
      </c>
      <c r="T364" s="78">
        <v>648.35105628559882</v>
      </c>
      <c r="U364" s="59">
        <v>14.991551400162445</v>
      </c>
      <c r="V364" s="78">
        <v>817.56997400224338</v>
      </c>
      <c r="X364" s="134">
        <f t="shared" si="36"/>
        <v>1495202.607112213</v>
      </c>
      <c r="Y364" s="134">
        <f t="shared" si="37"/>
        <v>1496758.8856522255</v>
      </c>
      <c r="Z364" s="134">
        <f t="shared" si="38"/>
        <v>1498337.5700422423</v>
      </c>
      <c r="AB364" s="127">
        <f t="shared" si="39"/>
        <v>0</v>
      </c>
      <c r="AC364" s="127">
        <f t="shared" si="40"/>
        <v>0</v>
      </c>
      <c r="AD364" s="127">
        <f t="shared" si="41"/>
        <v>1</v>
      </c>
    </row>
    <row r="365" spans="1:30" x14ac:dyDescent="0.25">
      <c r="A365">
        <v>360</v>
      </c>
      <c r="C365" s="11">
        <v>3.4105360507965088E-2</v>
      </c>
      <c r="D365" s="11">
        <v>1.8713146448135376E-2</v>
      </c>
      <c r="E365" s="11">
        <v>0.21650622254912072</v>
      </c>
      <c r="F365" s="11">
        <v>0.14811898586155642</v>
      </c>
      <c r="G365" s="11">
        <v>4.0815800428390503E-2</v>
      </c>
      <c r="H365" s="40">
        <v>3.9492705430346336E-4</v>
      </c>
      <c r="I365" s="40">
        <v>1.5149186892746116</v>
      </c>
      <c r="J365" s="59">
        <v>0</v>
      </c>
      <c r="K365" s="59">
        <v>7273.4616696834564</v>
      </c>
      <c r="L365" s="59">
        <v>0</v>
      </c>
      <c r="M365" s="11">
        <v>0.81660979986190796</v>
      </c>
      <c r="N365" s="11">
        <v>0.81116724014282227</v>
      </c>
      <c r="O365" s="11">
        <v>0.31079134345054626</v>
      </c>
      <c r="Q365" s="59">
        <v>13.900915626200669</v>
      </c>
      <c r="R365" s="78">
        <v>560.94230255888624</v>
      </c>
      <c r="S365" s="78">
        <v>13.925376533702371</v>
      </c>
      <c r="T365" s="78">
        <v>615.69926922357195</v>
      </c>
      <c r="U365" s="59">
        <v>13.927557356379737</v>
      </c>
      <c r="V365" s="78">
        <v>813.14084903566061</v>
      </c>
      <c r="X365" s="134">
        <f t="shared" si="36"/>
        <v>1389530.6203175082</v>
      </c>
      <c r="Y365" s="134">
        <f t="shared" si="37"/>
        <v>1391921.9541010137</v>
      </c>
      <c r="Z365" s="134">
        <f t="shared" si="38"/>
        <v>1391942.5947889381</v>
      </c>
      <c r="AB365" s="127">
        <f t="shared" si="39"/>
        <v>0</v>
      </c>
      <c r="AC365" s="127">
        <f t="shared" si="40"/>
        <v>0</v>
      </c>
      <c r="AD365" s="127">
        <f t="shared" si="41"/>
        <v>1</v>
      </c>
    </row>
    <row r="366" spans="1:30" x14ac:dyDescent="0.25">
      <c r="A366">
        <v>361</v>
      </c>
      <c r="C366" s="11">
        <v>7.5668245553970337E-3</v>
      </c>
      <c r="D366" s="11">
        <v>2.1049022674560547E-2</v>
      </c>
      <c r="E366" s="11">
        <v>0.12548265325792024</v>
      </c>
      <c r="F366" s="11">
        <v>0.18639946898607757</v>
      </c>
      <c r="G366" s="11">
        <v>3.3216357231140137E-2</v>
      </c>
      <c r="H366" s="40">
        <v>6.9281995751828093E-4</v>
      </c>
      <c r="I366" s="40">
        <v>1.3892316468188035</v>
      </c>
      <c r="J366" s="59">
        <v>0</v>
      </c>
      <c r="K366" s="59">
        <v>4599.4226820766926</v>
      </c>
      <c r="L366" s="59">
        <v>0</v>
      </c>
      <c r="M366" s="11">
        <v>0.84480768442153931</v>
      </c>
      <c r="N366" s="11">
        <v>0.6786811351776123</v>
      </c>
      <c r="O366" s="11">
        <v>0.25032544136047363</v>
      </c>
      <c r="Q366" s="59">
        <v>14.707045814945531</v>
      </c>
      <c r="R366" s="78">
        <v>520.09833699481828</v>
      </c>
      <c r="S366" s="78">
        <v>14.796281825312947</v>
      </c>
      <c r="T366" s="78">
        <v>595.13245122644548</v>
      </c>
      <c r="U366" s="59">
        <v>14.789937809896307</v>
      </c>
      <c r="V366" s="78">
        <v>811.93157703829411</v>
      </c>
      <c r="X366" s="134">
        <f t="shared" si="36"/>
        <v>1470184.4831575581</v>
      </c>
      <c r="Y366" s="134">
        <f t="shared" si="37"/>
        <v>1479033.0500800682</v>
      </c>
      <c r="Z366" s="134">
        <f t="shared" si="38"/>
        <v>1478181.8494125924</v>
      </c>
      <c r="AB366" s="127">
        <f t="shared" si="39"/>
        <v>0</v>
      </c>
      <c r="AC366" s="127">
        <f t="shared" si="40"/>
        <v>1</v>
      </c>
      <c r="AD366" s="127">
        <f t="shared" si="41"/>
        <v>0</v>
      </c>
    </row>
    <row r="367" spans="1:30" x14ac:dyDescent="0.25">
      <c r="A367">
        <v>362</v>
      </c>
      <c r="C367" s="11">
        <v>2.644115686416626E-2</v>
      </c>
      <c r="D367" s="11">
        <v>3.8599312305450439E-2</v>
      </c>
      <c r="E367" s="11">
        <v>0.33761559502472005</v>
      </c>
      <c r="F367" s="11">
        <v>0.22756096350050317</v>
      </c>
      <c r="G367" s="11">
        <v>2.8685927391052246E-2</v>
      </c>
      <c r="H367" s="40">
        <v>5.9761858461962567E-4</v>
      </c>
      <c r="I367" s="40">
        <v>1.3453521171347558</v>
      </c>
      <c r="J367" s="59">
        <v>0</v>
      </c>
      <c r="K367" s="59">
        <v>3629.615530371666</v>
      </c>
      <c r="L367" s="59">
        <v>0</v>
      </c>
      <c r="M367" s="11">
        <v>0.84331849217414856</v>
      </c>
      <c r="N367" s="11">
        <v>0.76699918508529663</v>
      </c>
      <c r="O367" s="11">
        <v>0.25391960144042969</v>
      </c>
      <c r="Q367" s="59">
        <v>14.446909229793084</v>
      </c>
      <c r="R367" s="78">
        <v>466.37415624108604</v>
      </c>
      <c r="S367" s="78">
        <v>14.483264869609608</v>
      </c>
      <c r="T367" s="78">
        <v>603.70305915649533</v>
      </c>
      <c r="U367" s="59">
        <v>14.489395263147061</v>
      </c>
      <c r="V367" s="78">
        <v>804.68085823579599</v>
      </c>
      <c r="X367" s="134">
        <f t="shared" si="36"/>
        <v>1444224.5488230672</v>
      </c>
      <c r="Y367" s="134">
        <f t="shared" si="37"/>
        <v>1447722.7839018044</v>
      </c>
      <c r="Z367" s="134">
        <f t="shared" si="38"/>
        <v>1448134.8454564703</v>
      </c>
      <c r="AB367" s="127">
        <f t="shared" si="39"/>
        <v>0</v>
      </c>
      <c r="AC367" s="127">
        <f t="shared" si="40"/>
        <v>0</v>
      </c>
      <c r="AD367" s="127">
        <f t="shared" si="41"/>
        <v>1</v>
      </c>
    </row>
    <row r="368" spans="1:30" x14ac:dyDescent="0.25">
      <c r="A368">
        <v>363</v>
      </c>
      <c r="C368" s="11">
        <v>1.0121986269950867E-2</v>
      </c>
      <c r="D368" s="11">
        <v>1.8225044012069702E-2</v>
      </c>
      <c r="E368" s="11">
        <v>0.30904739434443429</v>
      </c>
      <c r="F368" s="11">
        <v>0.56517850454068552</v>
      </c>
      <c r="G368" s="11">
        <v>5.1651537418365479E-2</v>
      </c>
      <c r="H368" s="40">
        <v>3.8876073582080195E-4</v>
      </c>
      <c r="I368" s="40">
        <v>1.4907708176076813</v>
      </c>
      <c r="J368" s="59">
        <v>0</v>
      </c>
      <c r="K368" s="59">
        <v>6709.1360688209534</v>
      </c>
      <c r="L368" s="59">
        <v>0</v>
      </c>
      <c r="M368" s="11">
        <v>0.82795232534408569</v>
      </c>
      <c r="N368" s="11">
        <v>0.76614564657211304</v>
      </c>
      <c r="O368" s="11">
        <v>0.29245054721832275</v>
      </c>
      <c r="Q368" s="59">
        <v>14.428382992670837</v>
      </c>
      <c r="R368" s="78">
        <v>546.81213092953612</v>
      </c>
      <c r="S368" s="78">
        <v>14.461460269015623</v>
      </c>
      <c r="T368" s="78">
        <v>626.79817441333535</v>
      </c>
      <c r="U368" s="59">
        <v>14.449086370691964</v>
      </c>
      <c r="V368" s="78">
        <v>875.02162852019626</v>
      </c>
      <c r="X368" s="134">
        <f t="shared" si="36"/>
        <v>1442291.4871361542</v>
      </c>
      <c r="Y368" s="134">
        <f t="shared" si="37"/>
        <v>1445519.2287271488</v>
      </c>
      <c r="Z368" s="134">
        <f t="shared" si="38"/>
        <v>1444033.6154406762</v>
      </c>
      <c r="AB368" s="127">
        <f t="shared" si="39"/>
        <v>0</v>
      </c>
      <c r="AC368" s="127">
        <f t="shared" si="40"/>
        <v>1</v>
      </c>
      <c r="AD368" s="127">
        <f t="shared" si="41"/>
        <v>0</v>
      </c>
    </row>
    <row r="369" spans="1:30" x14ac:dyDescent="0.25">
      <c r="A369">
        <v>364</v>
      </c>
      <c r="C369" s="11">
        <v>2.1540015935897827E-2</v>
      </c>
      <c r="D369" s="11">
        <v>6.3738077878952026E-3</v>
      </c>
      <c r="E369" s="11">
        <v>0.32758459404421508</v>
      </c>
      <c r="F369" s="11">
        <v>0.36327276379961815</v>
      </c>
      <c r="G369" s="11">
        <v>5.2067935466766357E-2</v>
      </c>
      <c r="H369" s="40">
        <v>4.7827040872768054E-4</v>
      </c>
      <c r="I369" s="40">
        <v>1.547093003264133</v>
      </c>
      <c r="J369" s="59">
        <v>0</v>
      </c>
      <c r="K369" s="59">
        <v>7297.8716343641281</v>
      </c>
      <c r="L369" s="59">
        <v>0</v>
      </c>
      <c r="M369" s="11">
        <v>0.87238073348999023</v>
      </c>
      <c r="N369" s="11">
        <v>0.74057579040527344</v>
      </c>
      <c r="O369" s="11">
        <v>0.30615711212158203</v>
      </c>
      <c r="Q369" s="59">
        <v>14.983377502054482</v>
      </c>
      <c r="R369" s="78">
        <v>631.80499173754833</v>
      </c>
      <c r="S369" s="78">
        <v>15.045989969858772</v>
      </c>
      <c r="T369" s="78">
        <v>658.27285685389199</v>
      </c>
      <c r="U369" s="59">
        <v>15.042601391417024</v>
      </c>
      <c r="V369" s="78">
        <v>875.8270925905133</v>
      </c>
      <c r="X369" s="134">
        <f t="shared" si="36"/>
        <v>1497705.9452137107</v>
      </c>
      <c r="Y369" s="134">
        <f t="shared" si="37"/>
        <v>1503940.7241290233</v>
      </c>
      <c r="Z369" s="134">
        <f t="shared" si="38"/>
        <v>1503384.312049112</v>
      </c>
      <c r="AB369" s="127">
        <f t="shared" si="39"/>
        <v>0</v>
      </c>
      <c r="AC369" s="127">
        <f t="shared" si="40"/>
        <v>1</v>
      </c>
      <c r="AD369" s="127">
        <f t="shared" si="41"/>
        <v>0</v>
      </c>
    </row>
    <row r="370" spans="1:30" x14ac:dyDescent="0.25">
      <c r="A370">
        <v>365</v>
      </c>
      <c r="C370" s="11">
        <v>3.5043895244598389E-2</v>
      </c>
      <c r="D370" s="11">
        <v>1.0977298021316528E-2</v>
      </c>
      <c r="E370" s="11">
        <v>0.34094613360270504</v>
      </c>
      <c r="F370" s="11">
        <v>0.23431216723769915</v>
      </c>
      <c r="G370" s="11">
        <v>1.6035556793212891E-2</v>
      </c>
      <c r="H370" s="40">
        <v>5.5128138258526602E-4</v>
      </c>
      <c r="I370" s="40">
        <v>1.4464364924347395</v>
      </c>
      <c r="J370" s="59">
        <v>0</v>
      </c>
      <c r="K370" s="59">
        <v>6270.9860503673553</v>
      </c>
      <c r="L370" s="59">
        <v>0</v>
      </c>
      <c r="M370" s="11">
        <v>0.81543797254562378</v>
      </c>
      <c r="N370" s="11">
        <v>0.757476806640625</v>
      </c>
      <c r="O370" s="11">
        <v>0.31686592102050781</v>
      </c>
      <c r="Q370" s="59">
        <v>13.852946802963443</v>
      </c>
      <c r="R370" s="78">
        <v>536.91606568977545</v>
      </c>
      <c r="S370" s="78">
        <v>13.882893888625514</v>
      </c>
      <c r="T370" s="78">
        <v>628.43561015404828</v>
      </c>
      <c r="U370" s="59">
        <v>13.887836739349561</v>
      </c>
      <c r="V370" s="78">
        <v>822.05423511194169</v>
      </c>
      <c r="X370" s="134">
        <f t="shared" si="36"/>
        <v>1384757.7642306543</v>
      </c>
      <c r="Y370" s="134">
        <f t="shared" si="37"/>
        <v>1387660.9532523975</v>
      </c>
      <c r="Z370" s="134">
        <f t="shared" si="38"/>
        <v>1387961.6196998442</v>
      </c>
      <c r="AB370" s="127">
        <f t="shared" si="39"/>
        <v>0</v>
      </c>
      <c r="AC370" s="127">
        <f t="shared" si="40"/>
        <v>0</v>
      </c>
      <c r="AD370" s="127">
        <f t="shared" si="41"/>
        <v>1</v>
      </c>
    </row>
    <row r="371" spans="1:30" x14ac:dyDescent="0.25">
      <c r="A371">
        <v>366</v>
      </c>
      <c r="C371" s="11">
        <v>2.5972068309783936E-2</v>
      </c>
      <c r="D371" s="11">
        <v>2.0349413156509399E-2</v>
      </c>
      <c r="E371" s="11">
        <v>0.33852829852098032</v>
      </c>
      <c r="F371" s="11">
        <v>0.19431692683543125</v>
      </c>
      <c r="G371" s="11">
        <v>0.10656547546386719</v>
      </c>
      <c r="H371" s="40">
        <v>4.769736302570113E-4</v>
      </c>
      <c r="I371" s="40">
        <v>1.3674479019540815</v>
      </c>
      <c r="J371" s="59">
        <v>0</v>
      </c>
      <c r="K371" s="59">
        <v>1988.7089729309082</v>
      </c>
      <c r="L371" s="59">
        <v>0</v>
      </c>
      <c r="M371" s="11">
        <v>0.81070876121520996</v>
      </c>
      <c r="N371" s="11">
        <v>0.77945601940155029</v>
      </c>
      <c r="O371" s="11">
        <v>0.32956898212432861</v>
      </c>
      <c r="Q371" s="59">
        <v>13.910234823758794</v>
      </c>
      <c r="R371" s="78">
        <v>441.65049573188998</v>
      </c>
      <c r="S371" s="78">
        <v>13.935139492587542</v>
      </c>
      <c r="T371" s="78">
        <v>595.27488344747314</v>
      </c>
      <c r="U371" s="59">
        <v>13.940641544495668</v>
      </c>
      <c r="V371" s="78">
        <v>797.36004604655011</v>
      </c>
      <c r="X371" s="134">
        <f t="shared" si="36"/>
        <v>1390581.8318801473</v>
      </c>
      <c r="Y371" s="134">
        <f t="shared" si="37"/>
        <v>1392918.6743753068</v>
      </c>
      <c r="Z371" s="134">
        <f t="shared" si="38"/>
        <v>1393266.7944035202</v>
      </c>
      <c r="AB371" s="127">
        <f t="shared" si="39"/>
        <v>0</v>
      </c>
      <c r="AC371" s="127">
        <f t="shared" si="40"/>
        <v>0</v>
      </c>
      <c r="AD371" s="127">
        <f t="shared" si="41"/>
        <v>1</v>
      </c>
    </row>
    <row r="372" spans="1:30" x14ac:dyDescent="0.25">
      <c r="A372">
        <v>367</v>
      </c>
      <c r="C372" s="11">
        <v>4.8148155212402344E-2</v>
      </c>
      <c r="D372" s="11">
        <v>9.8094046115875244E-3</v>
      </c>
      <c r="E372" s="11">
        <v>0.12689538757916113</v>
      </c>
      <c r="F372" s="11">
        <v>0.1557800470206048</v>
      </c>
      <c r="G372" s="11">
        <v>3.6512196063995361E-2</v>
      </c>
      <c r="H372" s="40">
        <v>5.5133551841734987E-4</v>
      </c>
      <c r="I372" s="40">
        <v>1.4277540782237605</v>
      </c>
      <c r="J372" s="59">
        <v>0</v>
      </c>
      <c r="K372" s="59">
        <v>4483.7081804871559</v>
      </c>
      <c r="L372" s="59">
        <v>0</v>
      </c>
      <c r="M372" s="11">
        <v>0.86584532260894775</v>
      </c>
      <c r="N372" s="11">
        <v>0.7606961727142334</v>
      </c>
      <c r="O372" s="11">
        <v>0.28594592213630676</v>
      </c>
      <c r="Q372" s="59">
        <v>14.492649290205222</v>
      </c>
      <c r="R372" s="78">
        <v>501.40857621334123</v>
      </c>
      <c r="S372" s="78">
        <v>14.549145111347627</v>
      </c>
      <c r="T372" s="78">
        <v>592.87089528370711</v>
      </c>
      <c r="U372" s="59">
        <v>14.547238567958416</v>
      </c>
      <c r="V372" s="78">
        <v>805.01831606431767</v>
      </c>
      <c r="X372" s="134">
        <f t="shared" si="36"/>
        <v>1448763.5204443089</v>
      </c>
      <c r="Y372" s="134">
        <f t="shared" si="37"/>
        <v>1454321.640239479</v>
      </c>
      <c r="Z372" s="134">
        <f t="shared" si="38"/>
        <v>1453918.8384797773</v>
      </c>
      <c r="AB372" s="127">
        <f t="shared" si="39"/>
        <v>0</v>
      </c>
      <c r="AC372" s="127">
        <f t="shared" si="40"/>
        <v>1</v>
      </c>
      <c r="AD372" s="127">
        <f t="shared" si="41"/>
        <v>0</v>
      </c>
    </row>
    <row r="373" spans="1:30" x14ac:dyDescent="0.25">
      <c r="A373">
        <v>368</v>
      </c>
      <c r="C373" s="11">
        <v>3.4026145935058594E-2</v>
      </c>
      <c r="D373" s="11">
        <v>9.5486491918563843E-3</v>
      </c>
      <c r="E373" s="11">
        <v>0.32417721121992921</v>
      </c>
      <c r="F373" s="11">
        <v>0.53594567352286271</v>
      </c>
      <c r="G373" s="11">
        <v>6.2829673290252686E-2</v>
      </c>
      <c r="H373" s="40">
        <v>3.4893005941255502E-4</v>
      </c>
      <c r="I373" s="40">
        <v>1.4918200101107846</v>
      </c>
      <c r="J373" s="59">
        <v>0</v>
      </c>
      <c r="K373" s="59">
        <v>9267.1066522598267</v>
      </c>
      <c r="L373" s="59">
        <v>0</v>
      </c>
      <c r="M373" s="11">
        <v>0.78174209594726563</v>
      </c>
      <c r="N373" s="11">
        <v>0.81009757518768311</v>
      </c>
      <c r="O373" s="11">
        <v>0.32648569345474243</v>
      </c>
      <c r="Q373" s="59">
        <v>13.322885240644098</v>
      </c>
      <c r="R373" s="78">
        <v>590.03930256092428</v>
      </c>
      <c r="S373" s="78">
        <v>13.33337388725583</v>
      </c>
      <c r="T373" s="78">
        <v>643.22308009720416</v>
      </c>
      <c r="U373" s="59">
        <v>13.330053680858416</v>
      </c>
      <c r="V373" s="78">
        <v>893.82644137055559</v>
      </c>
      <c r="X373" s="134">
        <f t="shared" si="36"/>
        <v>1331698.4847618488</v>
      </c>
      <c r="Y373" s="134">
        <f t="shared" si="37"/>
        <v>1332694.1656454857</v>
      </c>
      <c r="Z373" s="134">
        <f t="shared" si="38"/>
        <v>1332111.541644471</v>
      </c>
      <c r="AB373" s="127">
        <f t="shared" si="39"/>
        <v>0</v>
      </c>
      <c r="AC373" s="127">
        <f t="shared" si="40"/>
        <v>1</v>
      </c>
      <c r="AD373" s="127">
        <f t="shared" si="41"/>
        <v>0</v>
      </c>
    </row>
    <row r="374" spans="1:30" x14ac:dyDescent="0.25">
      <c r="A374">
        <v>369</v>
      </c>
      <c r="C374" s="11">
        <v>6.3031613826751709E-3</v>
      </c>
      <c r="D374" s="11">
        <v>1.9249796867370605E-2</v>
      </c>
      <c r="E374" s="11">
        <v>0.293422318046347</v>
      </c>
      <c r="F374" s="11">
        <v>0.17144834531180955</v>
      </c>
      <c r="G374" s="11">
        <v>5.8376312255859375E-2</v>
      </c>
      <c r="H374" s="40">
        <v>5.0707130438774309E-4</v>
      </c>
      <c r="I374" s="40">
        <v>1.4357287618708376</v>
      </c>
      <c r="J374" s="59">
        <v>0</v>
      </c>
      <c r="K374" s="59">
        <v>6156.6638760268688</v>
      </c>
      <c r="L374" s="59">
        <v>0</v>
      </c>
      <c r="M374" s="11">
        <v>0.83992016315460205</v>
      </c>
      <c r="N374" s="11">
        <v>0.75755941867828369</v>
      </c>
      <c r="O374" s="11">
        <v>0.32246112823486328</v>
      </c>
      <c r="Q374" s="59">
        <v>14.682257434302382</v>
      </c>
      <c r="R374" s="78">
        <v>554.93473004663554</v>
      </c>
      <c r="S374" s="78">
        <v>14.724532528809233</v>
      </c>
      <c r="T374" s="78">
        <v>626.84736727458039</v>
      </c>
      <c r="U374" s="59">
        <v>14.731965322217519</v>
      </c>
      <c r="V374" s="78">
        <v>816.02150160270958</v>
      </c>
      <c r="X374" s="134">
        <f t="shared" si="36"/>
        <v>1467670.8087001916</v>
      </c>
      <c r="Y374" s="134">
        <f t="shared" si="37"/>
        <v>1471826.4055136486</v>
      </c>
      <c r="Z374" s="134">
        <f t="shared" si="38"/>
        <v>1472380.5107201494</v>
      </c>
      <c r="AB374" s="127">
        <f t="shared" si="39"/>
        <v>0</v>
      </c>
      <c r="AC374" s="127">
        <f t="shared" si="40"/>
        <v>0</v>
      </c>
      <c r="AD374" s="127">
        <f t="shared" si="41"/>
        <v>1</v>
      </c>
    </row>
    <row r="375" spans="1:30" x14ac:dyDescent="0.25">
      <c r="A375">
        <v>370</v>
      </c>
      <c r="C375" s="11">
        <v>1.3470903038978577E-2</v>
      </c>
      <c r="D375" s="11">
        <v>2.1258428692817688E-2</v>
      </c>
      <c r="E375" s="11">
        <v>0.22134439717511306</v>
      </c>
      <c r="F375" s="11">
        <v>0.13576747533809713</v>
      </c>
      <c r="G375" s="11">
        <v>3.5609006881713867E-2</v>
      </c>
      <c r="H375" s="40">
        <v>4.8701340635073719E-4</v>
      </c>
      <c r="I375" s="40">
        <v>1.4902539744460717</v>
      </c>
      <c r="J375" s="59">
        <v>0</v>
      </c>
      <c r="K375" s="59">
        <v>5101.407878100872</v>
      </c>
      <c r="L375" s="59">
        <v>0</v>
      </c>
      <c r="M375" s="11">
        <v>0.88408255577087402</v>
      </c>
      <c r="N375" s="11">
        <v>0.73794287443161011</v>
      </c>
      <c r="O375" s="11">
        <v>0.2731090784072876</v>
      </c>
      <c r="Q375" s="59">
        <v>15.313913402125747</v>
      </c>
      <c r="R375" s="78">
        <v>527.13873364682672</v>
      </c>
      <c r="S375" s="78">
        <v>15.384975818788156</v>
      </c>
      <c r="T375" s="78">
        <v>608.98079704304359</v>
      </c>
      <c r="U375" s="59">
        <v>15.392959755758914</v>
      </c>
      <c r="V375" s="78">
        <v>806.4246096480324</v>
      </c>
      <c r="X375" s="134">
        <f t="shared" si="36"/>
        <v>1530864.2014789279</v>
      </c>
      <c r="Y375" s="134">
        <f t="shared" si="37"/>
        <v>1537888.6010817725</v>
      </c>
      <c r="Z375" s="134">
        <f t="shared" si="38"/>
        <v>1538489.5509662433</v>
      </c>
      <c r="AB375" s="127">
        <f t="shared" si="39"/>
        <v>0</v>
      </c>
      <c r="AC375" s="127">
        <f t="shared" si="40"/>
        <v>0</v>
      </c>
      <c r="AD375" s="127">
        <f t="shared" si="41"/>
        <v>1</v>
      </c>
    </row>
    <row r="376" spans="1:30" x14ac:dyDescent="0.25">
      <c r="A376">
        <v>371</v>
      </c>
      <c r="C376" s="11">
        <v>2.5628894567489624E-2</v>
      </c>
      <c r="D376" s="11">
        <v>1.5296876430511475E-2</v>
      </c>
      <c r="E376" s="11">
        <v>0.22453761694601987</v>
      </c>
      <c r="F376" s="11">
        <v>0.37116114880151019</v>
      </c>
      <c r="G376" s="11">
        <v>7.9012870788574219E-2</v>
      </c>
      <c r="H376" s="40">
        <v>3.7653408528077911E-4</v>
      </c>
      <c r="I376" s="40">
        <v>1.4559960940642103</v>
      </c>
      <c r="J376" s="59">
        <v>0</v>
      </c>
      <c r="K376" s="59">
        <v>3876.9259117543697</v>
      </c>
      <c r="L376" s="59">
        <v>0</v>
      </c>
      <c r="M376" s="11">
        <v>0.92376708984375</v>
      </c>
      <c r="N376" s="11">
        <v>0.76899129152297974</v>
      </c>
      <c r="O376" s="11">
        <v>0.32303863763809204</v>
      </c>
      <c r="Q376" s="59">
        <v>15.829458892108407</v>
      </c>
      <c r="R376" s="78">
        <v>479.87142157126812</v>
      </c>
      <c r="S376" s="78">
        <v>15.883054528184926</v>
      </c>
      <c r="T376" s="78">
        <v>598.50175232892741</v>
      </c>
      <c r="U376" s="59">
        <v>15.87281006215372</v>
      </c>
      <c r="V376" s="78">
        <v>820.16695500265462</v>
      </c>
      <c r="X376" s="134">
        <f t="shared" si="36"/>
        <v>1582466.0177892693</v>
      </c>
      <c r="Y376" s="134">
        <f t="shared" si="37"/>
        <v>1587706.9510661638</v>
      </c>
      <c r="Z376" s="134">
        <f t="shared" si="38"/>
        <v>1586460.8392603693</v>
      </c>
      <c r="AB376" s="127">
        <f t="shared" si="39"/>
        <v>0</v>
      </c>
      <c r="AC376" s="127">
        <f t="shared" si="40"/>
        <v>1</v>
      </c>
      <c r="AD376" s="127">
        <f t="shared" si="41"/>
        <v>0</v>
      </c>
    </row>
    <row r="377" spans="1:30" x14ac:dyDescent="0.25">
      <c r="A377">
        <v>372</v>
      </c>
      <c r="C377" s="11">
        <v>3.3235132694244385E-2</v>
      </c>
      <c r="D377" s="11">
        <v>1.2865439057350159E-2</v>
      </c>
      <c r="E377" s="11">
        <v>0.20282065358820583</v>
      </c>
      <c r="F377" s="11">
        <v>0.14744217628045952</v>
      </c>
      <c r="G377" s="11">
        <v>3.7231117486953735E-2</v>
      </c>
      <c r="H377" s="40">
        <v>3.9572126737521737E-4</v>
      </c>
      <c r="I377" s="40">
        <v>1.4765844957103478</v>
      </c>
      <c r="J377" s="59">
        <v>0</v>
      </c>
      <c r="K377" s="59">
        <v>3932.5235411524773</v>
      </c>
      <c r="L377" s="59">
        <v>0</v>
      </c>
      <c r="M377" s="11">
        <v>0.83003520965576172</v>
      </c>
      <c r="N377" s="11">
        <v>0.80555140972137451</v>
      </c>
      <c r="O377" s="11">
        <v>0.32760858535766602</v>
      </c>
      <c r="Q377" s="59">
        <v>14.143279481570586</v>
      </c>
      <c r="R377" s="78">
        <v>473.73025669869486</v>
      </c>
      <c r="S377" s="78">
        <v>14.167756085682411</v>
      </c>
      <c r="T377" s="78">
        <v>595.39315867099526</v>
      </c>
      <c r="U377" s="59">
        <v>14.169487714467822</v>
      </c>
      <c r="V377" s="78">
        <v>799.9285205950805</v>
      </c>
      <c r="X377" s="134">
        <f t="shared" si="36"/>
        <v>1413854.2179003598</v>
      </c>
      <c r="Y377" s="134">
        <f t="shared" si="37"/>
        <v>1416180.2154095701</v>
      </c>
      <c r="Z377" s="134">
        <f t="shared" si="38"/>
        <v>1416148.842926187</v>
      </c>
      <c r="AB377" s="127">
        <f t="shared" si="39"/>
        <v>0</v>
      </c>
      <c r="AC377" s="127">
        <f t="shared" si="40"/>
        <v>1</v>
      </c>
      <c r="AD377" s="127">
        <f t="shared" si="41"/>
        <v>0</v>
      </c>
    </row>
    <row r="378" spans="1:30" x14ac:dyDescent="0.25">
      <c r="A378">
        <v>373</v>
      </c>
      <c r="C378" s="11">
        <v>2.1851688623428345E-2</v>
      </c>
      <c r="D378" s="11">
        <v>1.7208069562911987E-2</v>
      </c>
      <c r="E378" s="11">
        <v>0.1579420586610592</v>
      </c>
      <c r="F378" s="11">
        <v>9.1829079114115419E-2</v>
      </c>
      <c r="G378" s="11">
        <v>4.2843401432037354E-2</v>
      </c>
      <c r="H378" s="40">
        <v>4.5570294159723957E-4</v>
      </c>
      <c r="I378" s="40">
        <v>1.545745923417283</v>
      </c>
      <c r="J378" s="59">
        <v>0</v>
      </c>
      <c r="K378" s="59">
        <v>5745.4407215118408</v>
      </c>
      <c r="L378" s="59">
        <v>0</v>
      </c>
      <c r="M378" s="11">
        <v>0.829822838306427</v>
      </c>
      <c r="N378" s="11">
        <v>0.72316962480545044</v>
      </c>
      <c r="O378" s="11">
        <v>0.30392652750015259</v>
      </c>
      <c r="Q378" s="59">
        <v>14.257619111044729</v>
      </c>
      <c r="R378" s="78">
        <v>563.55675507560807</v>
      </c>
      <c r="S378" s="78">
        <v>14.324439762558926</v>
      </c>
      <c r="T378" s="78">
        <v>606.34786368984237</v>
      </c>
      <c r="U378" s="59">
        <v>14.329827538874298</v>
      </c>
      <c r="V378" s="78">
        <v>803.92680079557488</v>
      </c>
      <c r="X378" s="134">
        <f t="shared" si="36"/>
        <v>1425198.3543493971</v>
      </c>
      <c r="Y378" s="134">
        <f t="shared" si="37"/>
        <v>1431837.6283922028</v>
      </c>
      <c r="Z378" s="134">
        <f t="shared" si="38"/>
        <v>1432178.8270866342</v>
      </c>
      <c r="AB378" s="127">
        <f t="shared" si="39"/>
        <v>0</v>
      </c>
      <c r="AC378" s="127">
        <f t="shared" si="40"/>
        <v>0</v>
      </c>
      <c r="AD378" s="127">
        <f t="shared" si="41"/>
        <v>1</v>
      </c>
    </row>
    <row r="379" spans="1:30" x14ac:dyDescent="0.25">
      <c r="A379">
        <v>374</v>
      </c>
      <c r="C379" s="11">
        <v>1.357501745223999E-2</v>
      </c>
      <c r="D379" s="11">
        <v>1.4681875705718994E-2</v>
      </c>
      <c r="E379" s="11">
        <v>0.22749959926066399</v>
      </c>
      <c r="F379" s="11">
        <v>0.15448168285629821</v>
      </c>
      <c r="G379" s="11">
        <v>0.11336898803710938</v>
      </c>
      <c r="H379" s="40">
        <v>4.3631836644509046E-4</v>
      </c>
      <c r="I379" s="40">
        <v>1.5411228418795226</v>
      </c>
      <c r="J379" s="59">
        <v>0</v>
      </c>
      <c r="K379" s="59">
        <v>4426.522646099329</v>
      </c>
      <c r="L379" s="59">
        <v>0</v>
      </c>
      <c r="M379" s="11">
        <v>0.86490964889526367</v>
      </c>
      <c r="N379" s="11">
        <v>0.75713056325912476</v>
      </c>
      <c r="O379" s="11">
        <v>0.34831714630126953</v>
      </c>
      <c r="Q379" s="59">
        <v>14.983608470126629</v>
      </c>
      <c r="R379" s="78">
        <v>559.38387015995761</v>
      </c>
      <c r="S379" s="78">
        <v>15.049936535649737</v>
      </c>
      <c r="T379" s="78">
        <v>617.27944749972437</v>
      </c>
      <c r="U379" s="59">
        <v>15.056351368849446</v>
      </c>
      <c r="V379" s="78">
        <v>814.03613434756517</v>
      </c>
      <c r="X379" s="134">
        <f t="shared" si="36"/>
        <v>1497801.4631425031</v>
      </c>
      <c r="Y379" s="134">
        <f t="shared" si="37"/>
        <v>1504376.3741174741</v>
      </c>
      <c r="Z379" s="134">
        <f t="shared" si="38"/>
        <v>1504821.1007505972</v>
      </c>
      <c r="AB379" s="127">
        <f t="shared" si="39"/>
        <v>0</v>
      </c>
      <c r="AC379" s="127">
        <f t="shared" si="40"/>
        <v>0</v>
      </c>
      <c r="AD379" s="127">
        <f t="shared" si="41"/>
        <v>1</v>
      </c>
    </row>
    <row r="380" spans="1:30" x14ac:dyDescent="0.25">
      <c r="A380">
        <v>375</v>
      </c>
      <c r="C380" s="11">
        <v>3.4035742282867432E-2</v>
      </c>
      <c r="D380" s="11">
        <v>1.4837056398391724E-2</v>
      </c>
      <c r="E380" s="11">
        <v>0.39835139781975337</v>
      </c>
      <c r="F380" s="11">
        <v>0.19622784023904336</v>
      </c>
      <c r="G380" s="11">
        <v>4.0837109088897705E-2</v>
      </c>
      <c r="H380" s="40">
        <v>4.484080339861415E-4</v>
      </c>
      <c r="I380" s="40">
        <v>1.451862207382669</v>
      </c>
      <c r="J380" s="59">
        <v>0</v>
      </c>
      <c r="K380" s="59">
        <v>3303.6479726433754</v>
      </c>
      <c r="L380" s="59">
        <v>0</v>
      </c>
      <c r="M380" s="11">
        <v>0.90842628479003906</v>
      </c>
      <c r="N380" s="11">
        <v>0.76348334550857544</v>
      </c>
      <c r="O380" s="11">
        <v>0.3302193284034729</v>
      </c>
      <c r="Q380" s="59">
        <v>15.428522873992158</v>
      </c>
      <c r="R380" s="78">
        <v>465.7619165637247</v>
      </c>
      <c r="S380" s="78">
        <v>15.471126952221612</v>
      </c>
      <c r="T380" s="78">
        <v>607.8923961250191</v>
      </c>
      <c r="U380" s="59">
        <v>15.485676976261015</v>
      </c>
      <c r="V380" s="78">
        <v>802.28369501890143</v>
      </c>
      <c r="X380" s="134">
        <f t="shared" si="36"/>
        <v>1542386.5254826522</v>
      </c>
      <c r="Y380" s="134">
        <f t="shared" si="37"/>
        <v>1546504.8028260362</v>
      </c>
      <c r="Z380" s="134">
        <f t="shared" si="38"/>
        <v>1547765.4139310827</v>
      </c>
      <c r="AB380" s="127">
        <f t="shared" si="39"/>
        <v>0</v>
      </c>
      <c r="AC380" s="127">
        <f t="shared" si="40"/>
        <v>0</v>
      </c>
      <c r="AD380" s="127">
        <f t="shared" si="41"/>
        <v>1</v>
      </c>
    </row>
    <row r="381" spans="1:30" x14ac:dyDescent="0.25">
      <c r="A381">
        <v>376</v>
      </c>
      <c r="C381" s="11">
        <v>3.7612259387969971E-2</v>
      </c>
      <c r="D381" s="11">
        <v>1.4792650938034058E-2</v>
      </c>
      <c r="E381" s="11">
        <v>0.69219053064958169</v>
      </c>
      <c r="F381" s="11">
        <v>0.68589590730914396</v>
      </c>
      <c r="G381" s="11">
        <v>5.9260845184326172E-2</v>
      </c>
      <c r="H381" s="40">
        <v>4.5300612925553471E-4</v>
      </c>
      <c r="I381" s="40">
        <v>1.4092170292635982</v>
      </c>
      <c r="J381" s="59">
        <v>0</v>
      </c>
      <c r="K381" s="59">
        <v>5390.3460502624512</v>
      </c>
      <c r="L381" s="59">
        <v>0</v>
      </c>
      <c r="M381" s="11">
        <v>0.81662607192993164</v>
      </c>
      <c r="N381" s="11">
        <v>0.74799734354019165</v>
      </c>
      <c r="O381" s="11">
        <v>0.29937475919723511</v>
      </c>
      <c r="Q381" s="59">
        <v>13.838426095793114</v>
      </c>
      <c r="R381" s="78">
        <v>507.87812146574782</v>
      </c>
      <c r="S381" s="78">
        <v>13.851669364422007</v>
      </c>
      <c r="T381" s="78">
        <v>658.1935642850874</v>
      </c>
      <c r="U381" s="59">
        <v>13.85194173435087</v>
      </c>
      <c r="V381" s="78">
        <v>866.48089024349247</v>
      </c>
      <c r="X381" s="134">
        <f t="shared" si="36"/>
        <v>1383334.7314578458</v>
      </c>
      <c r="Y381" s="134">
        <f t="shared" si="37"/>
        <v>1384508.7428779155</v>
      </c>
      <c r="Z381" s="134">
        <f t="shared" si="38"/>
        <v>1384327.6925448435</v>
      </c>
      <c r="AB381" s="127">
        <f t="shared" si="39"/>
        <v>0</v>
      </c>
      <c r="AC381" s="127">
        <f t="shared" si="40"/>
        <v>1</v>
      </c>
      <c r="AD381" s="127">
        <f t="shared" si="41"/>
        <v>0</v>
      </c>
    </row>
    <row r="382" spans="1:30" x14ac:dyDescent="0.25">
      <c r="A382">
        <v>377</v>
      </c>
      <c r="C382" s="11">
        <v>8.5127800703048706E-3</v>
      </c>
      <c r="D382" s="11">
        <v>2.0130664110183716E-2</v>
      </c>
      <c r="E382" s="11">
        <v>0.16665374610795047</v>
      </c>
      <c r="F382" s="11">
        <v>0.29179291610990404</v>
      </c>
      <c r="G382" s="11">
        <v>7.6187610626220703E-2</v>
      </c>
      <c r="H382" s="40">
        <v>4.5880414219154407E-4</v>
      </c>
      <c r="I382" s="40">
        <v>1.4854241268892372</v>
      </c>
      <c r="J382" s="59">
        <v>0</v>
      </c>
      <c r="K382" s="59">
        <v>4611.0013499855995</v>
      </c>
      <c r="L382" s="59">
        <v>0</v>
      </c>
      <c r="M382" s="11">
        <v>0.80583739280700684</v>
      </c>
      <c r="N382" s="11">
        <v>0.72779661417007446</v>
      </c>
      <c r="O382" s="11">
        <v>0.31429541110992432</v>
      </c>
      <c r="Q382" s="59">
        <v>14.049798750663532</v>
      </c>
      <c r="R382" s="78">
        <v>529.39856315369104</v>
      </c>
      <c r="S382" s="78">
        <v>14.102091572958654</v>
      </c>
      <c r="T382" s="78">
        <v>601.94005356148705</v>
      </c>
      <c r="U382" s="59">
        <v>14.094106055345222</v>
      </c>
      <c r="V382" s="78">
        <v>828.0655690391975</v>
      </c>
      <c r="X382" s="134">
        <f t="shared" si="36"/>
        <v>1404450.4765031997</v>
      </c>
      <c r="Y382" s="134">
        <f t="shared" si="37"/>
        <v>1409607.217242304</v>
      </c>
      <c r="Z382" s="134">
        <f t="shared" si="38"/>
        <v>1408582.5399654829</v>
      </c>
      <c r="AB382" s="127">
        <f t="shared" si="39"/>
        <v>0</v>
      </c>
      <c r="AC382" s="127">
        <f t="shared" si="40"/>
        <v>1</v>
      </c>
      <c r="AD382" s="127">
        <f t="shared" si="41"/>
        <v>0</v>
      </c>
    </row>
    <row r="383" spans="1:30" x14ac:dyDescent="0.25">
      <c r="A383">
        <v>378</v>
      </c>
      <c r="C383" s="11">
        <v>5.3649425506591797E-2</v>
      </c>
      <c r="D383" s="11">
        <v>2.5725245475769043E-2</v>
      </c>
      <c r="E383" s="11">
        <v>0.25410653267971417</v>
      </c>
      <c r="F383" s="11">
        <v>0.20271263843812184</v>
      </c>
      <c r="G383" s="11">
        <v>1.5994161367416382E-2</v>
      </c>
      <c r="H383" s="40">
        <v>3.8018476561606885E-4</v>
      </c>
      <c r="I383" s="40">
        <v>1.5054283061011364</v>
      </c>
      <c r="J383" s="59">
        <v>0</v>
      </c>
      <c r="K383" s="59">
        <v>6092.5958678126335</v>
      </c>
      <c r="L383" s="59">
        <v>0</v>
      </c>
      <c r="M383" s="11">
        <v>0.89585006237030029</v>
      </c>
      <c r="N383" s="11">
        <v>0.73413580656051636</v>
      </c>
      <c r="O383" s="11">
        <v>0.29970347881317139</v>
      </c>
      <c r="Q383" s="59">
        <v>14.900701218498204</v>
      </c>
      <c r="R383" s="78">
        <v>505.95345626198218</v>
      </c>
      <c r="S383" s="78">
        <v>14.955802829463401</v>
      </c>
      <c r="T383" s="78">
        <v>607.84660675141185</v>
      </c>
      <c r="U383" s="59">
        <v>14.959663506386336</v>
      </c>
      <c r="V383" s="78">
        <v>811.03449457521458</v>
      </c>
      <c r="X383" s="134">
        <f t="shared" si="36"/>
        <v>1489564.1683935586</v>
      </c>
      <c r="Y383" s="134">
        <f t="shared" si="37"/>
        <v>1494972.4363395886</v>
      </c>
      <c r="Z383" s="134">
        <f t="shared" si="38"/>
        <v>1495155.3161440585</v>
      </c>
      <c r="AB383" s="127">
        <f t="shared" si="39"/>
        <v>0</v>
      </c>
      <c r="AC383" s="127">
        <f t="shared" si="40"/>
        <v>0</v>
      </c>
      <c r="AD383" s="127">
        <f t="shared" si="41"/>
        <v>1</v>
      </c>
    </row>
    <row r="384" spans="1:30" x14ac:dyDescent="0.25">
      <c r="A384">
        <v>379</v>
      </c>
      <c r="C384" s="11">
        <v>2.2434160113334656E-2</v>
      </c>
      <c r="D384" s="11">
        <v>7.9079568386077881E-3</v>
      </c>
      <c r="E384" s="11">
        <v>0.1857537619299135</v>
      </c>
      <c r="F384" s="11">
        <v>0.30597692090517697</v>
      </c>
      <c r="G384" s="11">
        <v>4.9462974071502686E-2</v>
      </c>
      <c r="H384" s="40">
        <v>3.3047552003743791E-4</v>
      </c>
      <c r="I384" s="40">
        <v>1.4848620377546093</v>
      </c>
      <c r="J384" s="59">
        <v>0</v>
      </c>
      <c r="K384" s="59">
        <v>5897.73990213871</v>
      </c>
      <c r="L384" s="59">
        <v>0</v>
      </c>
      <c r="M384" s="11">
        <v>0.86104327440261841</v>
      </c>
      <c r="N384" s="11">
        <v>0.80023384094238281</v>
      </c>
      <c r="O384" s="11">
        <v>0.31186401844024658</v>
      </c>
      <c r="Q384" s="59">
        <v>14.830591704052631</v>
      </c>
      <c r="R384" s="78">
        <v>504.39694442697788</v>
      </c>
      <c r="S384" s="78">
        <v>14.860870045464361</v>
      </c>
      <c r="T384" s="78">
        <v>599.75124388963934</v>
      </c>
      <c r="U384" s="59">
        <v>14.856344033934041</v>
      </c>
      <c r="V384" s="78">
        <v>822.12176327849295</v>
      </c>
      <c r="X384" s="134">
        <f t="shared" si="36"/>
        <v>1482554.7734608361</v>
      </c>
      <c r="Y384" s="134">
        <f t="shared" si="37"/>
        <v>1485487.2533025467</v>
      </c>
      <c r="Z384" s="134">
        <f t="shared" si="38"/>
        <v>1484812.2816301256</v>
      </c>
      <c r="AB384" s="127">
        <f t="shared" si="39"/>
        <v>0</v>
      </c>
      <c r="AC384" s="127">
        <f t="shared" si="40"/>
        <v>1</v>
      </c>
      <c r="AD384" s="127">
        <f t="shared" si="41"/>
        <v>0</v>
      </c>
    </row>
    <row r="385" spans="1:30" x14ac:dyDescent="0.25">
      <c r="A385">
        <v>380</v>
      </c>
      <c r="C385" s="11">
        <v>1.8042832612991333E-2</v>
      </c>
      <c r="D385" s="11">
        <v>1.6974598169326782E-2</v>
      </c>
      <c r="E385" s="11">
        <v>0.33104699970957713</v>
      </c>
      <c r="F385" s="11">
        <v>0.13107062195591701</v>
      </c>
      <c r="G385" s="11">
        <v>2.3092389106750488E-2</v>
      </c>
      <c r="H385" s="40">
        <v>6.0719497568661562E-4</v>
      </c>
      <c r="I385" s="40">
        <v>1.4027299037608301</v>
      </c>
      <c r="J385" s="59">
        <v>0</v>
      </c>
      <c r="K385" s="59">
        <v>4816.8539069592953</v>
      </c>
      <c r="L385" s="59">
        <v>0</v>
      </c>
      <c r="M385" s="11">
        <v>0.83879715204238892</v>
      </c>
      <c r="N385" s="11">
        <v>0.78063046932220459</v>
      </c>
      <c r="O385" s="11">
        <v>0.30865907669067383</v>
      </c>
      <c r="Q385" s="59">
        <v>14.499027238070708</v>
      </c>
      <c r="R385" s="78">
        <v>506.8797855381016</v>
      </c>
      <c r="S385" s="78">
        <v>14.532074642592409</v>
      </c>
      <c r="T385" s="78">
        <v>616.88573203717681</v>
      </c>
      <c r="U385" s="59">
        <v>14.542165479559586</v>
      </c>
      <c r="V385" s="78">
        <v>803.06222920909465</v>
      </c>
      <c r="X385" s="134">
        <f t="shared" si="36"/>
        <v>1449395.8440215327</v>
      </c>
      <c r="Y385" s="134">
        <f t="shared" si="37"/>
        <v>1452590.5785272038</v>
      </c>
      <c r="Z385" s="134">
        <f t="shared" si="38"/>
        <v>1453413.4857267495</v>
      </c>
      <c r="AB385" s="127">
        <f t="shared" si="39"/>
        <v>0</v>
      </c>
      <c r="AC385" s="127">
        <f t="shared" si="40"/>
        <v>0</v>
      </c>
      <c r="AD385" s="127">
        <f t="shared" si="41"/>
        <v>1</v>
      </c>
    </row>
    <row r="386" spans="1:30" x14ac:dyDescent="0.25">
      <c r="A386">
        <v>381</v>
      </c>
      <c r="C386" s="11">
        <v>3.811192512512207E-2</v>
      </c>
      <c r="D386" s="11">
        <v>1.4307707548141479E-2</v>
      </c>
      <c r="E386" s="11">
        <v>0.40437877042045806</v>
      </c>
      <c r="F386" s="11">
        <v>0.34682927581453599</v>
      </c>
      <c r="G386" s="11">
        <v>4.3275684118270874E-2</v>
      </c>
      <c r="H386" s="40">
        <v>5.4049877960846843E-4</v>
      </c>
      <c r="I386" s="40">
        <v>1.4430880863621713</v>
      </c>
      <c r="J386" s="59">
        <v>0</v>
      </c>
      <c r="K386" s="59">
        <v>4089.0672244131565</v>
      </c>
      <c r="L386" s="59">
        <v>0</v>
      </c>
      <c r="M386" s="11">
        <v>0.80082440376281738</v>
      </c>
      <c r="N386" s="11">
        <v>0.72521704435348511</v>
      </c>
      <c r="O386" s="11">
        <v>0.34035789966583252</v>
      </c>
      <c r="Q386" s="59">
        <v>13.552537668025153</v>
      </c>
      <c r="R386" s="78">
        <v>498.89525854050703</v>
      </c>
      <c r="S386" s="78">
        <v>13.584251878438069</v>
      </c>
      <c r="T386" s="78">
        <v>621.94093329226394</v>
      </c>
      <c r="U386" s="59">
        <v>13.587365163355415</v>
      </c>
      <c r="V386" s="78">
        <v>824.87368984233058</v>
      </c>
      <c r="X386" s="134">
        <f t="shared" si="36"/>
        <v>1354754.8715439748</v>
      </c>
      <c r="Y386" s="134">
        <f t="shared" si="37"/>
        <v>1357803.2469105145</v>
      </c>
      <c r="Z386" s="134">
        <f t="shared" si="38"/>
        <v>1357911.642645699</v>
      </c>
      <c r="AB386" s="127">
        <f t="shared" si="39"/>
        <v>0</v>
      </c>
      <c r="AC386" s="127">
        <f t="shared" si="40"/>
        <v>0</v>
      </c>
      <c r="AD386" s="127">
        <f t="shared" si="41"/>
        <v>1</v>
      </c>
    </row>
    <row r="387" spans="1:30" x14ac:dyDescent="0.25">
      <c r="A387">
        <v>382</v>
      </c>
      <c r="C387" s="11">
        <v>3.5578012466430664E-3</v>
      </c>
      <c r="D387" s="11">
        <v>2.691805362701416E-2</v>
      </c>
      <c r="E387" s="11">
        <v>0.1844063366601767</v>
      </c>
      <c r="F387" s="11">
        <v>0.12177464243592834</v>
      </c>
      <c r="G387" s="11">
        <v>1.8771588802337646E-2</v>
      </c>
      <c r="H387" s="40">
        <v>4.4015066507367326E-4</v>
      </c>
      <c r="I387" s="40">
        <v>1.533406500543842</v>
      </c>
      <c r="J387" s="59">
        <v>0</v>
      </c>
      <c r="K387" s="59">
        <v>6404.3398015201092</v>
      </c>
      <c r="L387" s="59">
        <v>0</v>
      </c>
      <c r="M387" s="11">
        <v>0.85468325018882751</v>
      </c>
      <c r="N387" s="11">
        <v>0.74976098537445068</v>
      </c>
      <c r="O387" s="11">
        <v>0.29080995917320251</v>
      </c>
      <c r="Q387" s="59">
        <v>14.967002201632218</v>
      </c>
      <c r="R387" s="78">
        <v>551.58805623033538</v>
      </c>
      <c r="S387" s="78">
        <v>15.028712776454263</v>
      </c>
      <c r="T387" s="78">
        <v>608.62721738449511</v>
      </c>
      <c r="U387" s="59">
        <v>15.033566854541661</v>
      </c>
      <c r="V387" s="78">
        <v>807.5939618125268</v>
      </c>
      <c r="X387" s="134">
        <f t="shared" si="36"/>
        <v>1496148.6321069915</v>
      </c>
      <c r="Y387" s="134">
        <f t="shared" si="37"/>
        <v>1502262.6504280418</v>
      </c>
      <c r="Z387" s="134">
        <f t="shared" si="38"/>
        <v>1502549.0914923535</v>
      </c>
      <c r="AB387" s="127">
        <f t="shared" si="39"/>
        <v>0</v>
      </c>
      <c r="AC387" s="127">
        <f t="shared" si="40"/>
        <v>0</v>
      </c>
      <c r="AD387" s="127">
        <f t="shared" si="41"/>
        <v>1</v>
      </c>
    </row>
    <row r="388" spans="1:30" x14ac:dyDescent="0.25">
      <c r="A388">
        <v>383</v>
      </c>
      <c r="C388" s="11">
        <v>2.12973952293396E-2</v>
      </c>
      <c r="D388" s="11">
        <v>1.298011839389801E-2</v>
      </c>
      <c r="E388" s="11">
        <v>0.31969868149676101</v>
      </c>
      <c r="F388" s="11">
        <v>0.252336678169374</v>
      </c>
      <c r="G388" s="11">
        <v>3.6474823951721191E-2</v>
      </c>
      <c r="H388" s="40">
        <v>2.9788925269735574E-4</v>
      </c>
      <c r="I388" s="40">
        <v>1.5421886700842498</v>
      </c>
      <c r="J388" s="59">
        <v>0</v>
      </c>
      <c r="K388" s="59">
        <v>4344.3986214697361</v>
      </c>
      <c r="L388" s="59">
        <v>0</v>
      </c>
      <c r="M388" s="11">
        <v>0.84642395377159119</v>
      </c>
      <c r="N388" s="11">
        <v>0.81225454807281494</v>
      </c>
      <c r="O388" s="11">
        <v>0.29717493057250977</v>
      </c>
      <c r="Q388" s="59">
        <v>14.599451080932754</v>
      </c>
      <c r="R388" s="78">
        <v>475.15876185838255</v>
      </c>
      <c r="S388" s="78">
        <v>14.621761388289944</v>
      </c>
      <c r="T388" s="78">
        <v>605.23456836895434</v>
      </c>
      <c r="U388" s="59">
        <v>14.624004201861002</v>
      </c>
      <c r="V388" s="78">
        <v>808.72960973792385</v>
      </c>
      <c r="X388" s="134">
        <f t="shared" si="36"/>
        <v>1459469.949331417</v>
      </c>
      <c r="Y388" s="134">
        <f t="shared" si="37"/>
        <v>1461570.9042606254</v>
      </c>
      <c r="Z388" s="134">
        <f t="shared" si="38"/>
        <v>1461591.6905763624</v>
      </c>
      <c r="AB388" s="127">
        <f t="shared" si="39"/>
        <v>0</v>
      </c>
      <c r="AC388" s="127">
        <f t="shared" si="40"/>
        <v>0</v>
      </c>
      <c r="AD388" s="127">
        <f t="shared" si="41"/>
        <v>1</v>
      </c>
    </row>
    <row r="389" spans="1:30" x14ac:dyDescent="0.25">
      <c r="A389">
        <v>384</v>
      </c>
      <c r="C389" s="11">
        <v>2.1377593278884888E-2</v>
      </c>
      <c r="D389" s="11">
        <v>2.7678549289703369E-2</v>
      </c>
      <c r="E389" s="11">
        <v>0.14534297568005311</v>
      </c>
      <c r="F389" s="11">
        <v>0.2433595128460421</v>
      </c>
      <c r="G389" s="11">
        <v>1.8249183893203735E-2</v>
      </c>
      <c r="H389" s="40">
        <v>3.8766170574267451E-4</v>
      </c>
      <c r="I389" s="40">
        <v>1.5278489540619151</v>
      </c>
      <c r="J389" s="59">
        <v>0</v>
      </c>
      <c r="K389" s="59">
        <v>4798.9527229219675</v>
      </c>
      <c r="L389" s="59">
        <v>0</v>
      </c>
      <c r="M389" s="11">
        <v>0.8703291118144989</v>
      </c>
      <c r="N389" s="11">
        <v>0.74928039312362671</v>
      </c>
      <c r="O389" s="11">
        <v>0.3177761435508728</v>
      </c>
      <c r="Q389" s="59">
        <v>14.974687549765498</v>
      </c>
      <c r="R389" s="78">
        <v>494.48249454653006</v>
      </c>
      <c r="S389" s="78">
        <v>15.03413597287946</v>
      </c>
      <c r="T389" s="78">
        <v>593.86277902306597</v>
      </c>
      <c r="U389" s="59">
        <v>15.027196398626945</v>
      </c>
      <c r="V389" s="78">
        <v>812.83561575034503</v>
      </c>
      <c r="X389" s="134">
        <f t="shared" si="36"/>
        <v>1496974.2724820033</v>
      </c>
      <c r="Y389" s="134">
        <f t="shared" si="37"/>
        <v>1502819.7345089228</v>
      </c>
      <c r="Z389" s="134">
        <f t="shared" si="38"/>
        <v>1501906.8042469441</v>
      </c>
      <c r="AB389" s="127">
        <f t="shared" si="39"/>
        <v>0</v>
      </c>
      <c r="AC389" s="127">
        <f t="shared" si="40"/>
        <v>1</v>
      </c>
      <c r="AD389" s="127">
        <f t="shared" si="41"/>
        <v>0</v>
      </c>
    </row>
    <row r="390" spans="1:30" x14ac:dyDescent="0.25">
      <c r="A390">
        <v>385</v>
      </c>
      <c r="C390" s="11">
        <v>8.8000595569610596E-3</v>
      </c>
      <c r="D390" s="11">
        <v>1.9037574529647827E-2</v>
      </c>
      <c r="E390" s="11">
        <v>0.26098471238877685</v>
      </c>
      <c r="F390" s="11">
        <v>0.1926465116500409</v>
      </c>
      <c r="G390" s="11">
        <v>3.5339444875717163E-2</v>
      </c>
      <c r="H390" s="40">
        <v>4.502296021821767E-4</v>
      </c>
      <c r="I390" s="40">
        <v>1.5288378083207839</v>
      </c>
      <c r="J390" s="59">
        <v>0</v>
      </c>
      <c r="K390" s="59">
        <v>4433.144349604845</v>
      </c>
      <c r="L390" s="59">
        <v>0</v>
      </c>
      <c r="M390" s="11">
        <v>0.81291866302490234</v>
      </c>
      <c r="N390" s="11">
        <v>0.77371269464492798</v>
      </c>
      <c r="O390" s="11">
        <v>0.33180457353591919</v>
      </c>
      <c r="Q390" s="59">
        <v>14.184606808798467</v>
      </c>
      <c r="R390" s="78">
        <v>514.12645687632926</v>
      </c>
      <c r="S390" s="78">
        <v>14.219875647691154</v>
      </c>
      <c r="T390" s="78">
        <v>610.89723666858436</v>
      </c>
      <c r="U390" s="59">
        <v>14.223212883767124</v>
      </c>
      <c r="V390" s="78">
        <v>811.58297044853009</v>
      </c>
      <c r="X390" s="134">
        <f t="shared" si="36"/>
        <v>1417946.5544229704</v>
      </c>
      <c r="Y390" s="134">
        <f t="shared" si="37"/>
        <v>1421376.6675324468</v>
      </c>
      <c r="Z390" s="134">
        <f t="shared" si="38"/>
        <v>1421509.7054062639</v>
      </c>
      <c r="AB390" s="127">
        <f t="shared" si="39"/>
        <v>0</v>
      </c>
      <c r="AC390" s="127">
        <f t="shared" si="40"/>
        <v>0</v>
      </c>
      <c r="AD390" s="127">
        <f t="shared" si="41"/>
        <v>1</v>
      </c>
    </row>
    <row r="391" spans="1:30" x14ac:dyDescent="0.25">
      <c r="A391">
        <v>386</v>
      </c>
      <c r="C391" s="11">
        <v>1.1410325765609741E-2</v>
      </c>
      <c r="D391" s="11">
        <v>1.5341490507125854E-2</v>
      </c>
      <c r="E391" s="11">
        <v>0.29627552038483423</v>
      </c>
      <c r="F391" s="11">
        <v>0.16385427862622493</v>
      </c>
      <c r="G391" s="11">
        <v>3.8365453481674194E-2</v>
      </c>
      <c r="H391" s="40">
        <v>4.4863132001883045E-4</v>
      </c>
      <c r="I391" s="40">
        <v>1.5762077074917851</v>
      </c>
      <c r="J391" s="59">
        <v>0</v>
      </c>
      <c r="K391" s="59">
        <v>3109.6301972866058</v>
      </c>
      <c r="L391" s="59">
        <v>0</v>
      </c>
      <c r="M391" s="11">
        <v>0.81762063503265381</v>
      </c>
      <c r="N391" s="11">
        <v>0.73923677206039429</v>
      </c>
      <c r="O391" s="11">
        <v>0.30856806039810181</v>
      </c>
      <c r="Q391" s="59">
        <v>14.205152827476041</v>
      </c>
      <c r="R391" s="78">
        <v>491.48364149773784</v>
      </c>
      <c r="S391" s="78">
        <v>14.255440306076649</v>
      </c>
      <c r="T391" s="78">
        <v>608.44312252137797</v>
      </c>
      <c r="U391" s="59">
        <v>14.265165010638468</v>
      </c>
      <c r="V391" s="78">
        <v>804.34312099468093</v>
      </c>
      <c r="X391" s="134">
        <f t="shared" si="36"/>
        <v>1420023.7991061064</v>
      </c>
      <c r="Y391" s="134">
        <f t="shared" si="37"/>
        <v>1424935.5874851437</v>
      </c>
      <c r="Z391" s="134">
        <f t="shared" si="38"/>
        <v>1425712.157942852</v>
      </c>
      <c r="AB391" s="127">
        <f t="shared" si="39"/>
        <v>0</v>
      </c>
      <c r="AC391" s="127">
        <f t="shared" si="40"/>
        <v>0</v>
      </c>
      <c r="AD391" s="127">
        <f t="shared" si="41"/>
        <v>1</v>
      </c>
    </row>
    <row r="392" spans="1:30" x14ac:dyDescent="0.25">
      <c r="A392">
        <v>387</v>
      </c>
      <c r="C392" s="11">
        <v>1.1360481381416321E-2</v>
      </c>
      <c r="D392" s="11">
        <v>4.9822628498077393E-3</v>
      </c>
      <c r="E392" s="11">
        <v>0.23081646305364939</v>
      </c>
      <c r="F392" s="11">
        <v>0.18070794096539766</v>
      </c>
      <c r="G392" s="11">
        <v>2.7587801218032837E-2</v>
      </c>
      <c r="H392" s="40">
        <v>3.4260727740917385E-4</v>
      </c>
      <c r="I392" s="40">
        <v>1.5347275934233457</v>
      </c>
      <c r="J392" s="59">
        <v>0</v>
      </c>
      <c r="K392" s="59">
        <v>4192.7257552742958</v>
      </c>
      <c r="L392" s="59">
        <v>0</v>
      </c>
      <c r="M392" s="11">
        <v>0.82704663276672363</v>
      </c>
      <c r="N392" s="11">
        <v>0.7426375150680542</v>
      </c>
      <c r="O392" s="11">
        <v>0.30227890610694885</v>
      </c>
      <c r="Q392" s="59">
        <v>14.395489708020902</v>
      </c>
      <c r="R392" s="78">
        <v>478.84643641797436</v>
      </c>
      <c r="S392" s="78">
        <v>14.431574584817966</v>
      </c>
      <c r="T392" s="78">
        <v>598.8624493841362</v>
      </c>
      <c r="U392" s="59">
        <v>14.433967675013347</v>
      </c>
      <c r="V392" s="78">
        <v>803.56486811954824</v>
      </c>
      <c r="X392" s="134">
        <f t="shared" si="36"/>
        <v>1439070.1243656722</v>
      </c>
      <c r="Y392" s="134">
        <f t="shared" si="37"/>
        <v>1442558.5960324125</v>
      </c>
      <c r="Z392" s="134">
        <f t="shared" si="38"/>
        <v>1442593.2026332151</v>
      </c>
      <c r="AB392" s="127">
        <f t="shared" si="39"/>
        <v>0</v>
      </c>
      <c r="AC392" s="127">
        <f t="shared" si="40"/>
        <v>0</v>
      </c>
      <c r="AD392" s="127">
        <f t="shared" si="41"/>
        <v>1</v>
      </c>
    </row>
    <row r="393" spans="1:30" x14ac:dyDescent="0.25">
      <c r="A393">
        <v>388</v>
      </c>
      <c r="C393" s="11">
        <v>1.6889572143554688E-2</v>
      </c>
      <c r="D393" s="11">
        <v>3.434288501739502E-2</v>
      </c>
      <c r="E393" s="11">
        <v>0.4031271244600057</v>
      </c>
      <c r="F393" s="11">
        <v>0.15558777542520499</v>
      </c>
      <c r="G393" s="11">
        <v>2.9199898242950439E-2</v>
      </c>
      <c r="H393" s="40">
        <v>6.1774112152419229E-4</v>
      </c>
      <c r="I393" s="40">
        <v>1.4329047837860274</v>
      </c>
      <c r="J393" s="59">
        <v>0</v>
      </c>
      <c r="K393" s="59">
        <v>2738.3491396903992</v>
      </c>
      <c r="L393" s="59">
        <v>0</v>
      </c>
      <c r="M393" s="11">
        <v>0.86286431550979614</v>
      </c>
      <c r="N393" s="11">
        <v>0.68338346481323242</v>
      </c>
      <c r="O393" s="11">
        <v>0.30668914318084717</v>
      </c>
      <c r="Q393" s="59">
        <v>14.873933055602508</v>
      </c>
      <c r="R393" s="78">
        <v>467.49095958878706</v>
      </c>
      <c r="S393" s="78">
        <v>14.938854025111068</v>
      </c>
      <c r="T393" s="78">
        <v>609.0363538514755</v>
      </c>
      <c r="U393" s="59">
        <v>14.96637301061584</v>
      </c>
      <c r="V393" s="78">
        <v>799.65943743053322</v>
      </c>
      <c r="X393" s="134">
        <f t="shared" si="36"/>
        <v>1486925.8146006621</v>
      </c>
      <c r="Y393" s="134">
        <f t="shared" si="37"/>
        <v>1493276.3661572554</v>
      </c>
      <c r="Z393" s="134">
        <f t="shared" si="38"/>
        <v>1495837.6416241534</v>
      </c>
      <c r="AB393" s="127">
        <f t="shared" si="39"/>
        <v>0</v>
      </c>
      <c r="AC393" s="127">
        <f t="shared" si="40"/>
        <v>0</v>
      </c>
      <c r="AD393" s="127">
        <f t="shared" si="41"/>
        <v>1</v>
      </c>
    </row>
    <row r="394" spans="1:30" x14ac:dyDescent="0.25">
      <c r="A394">
        <v>389</v>
      </c>
      <c r="C394" s="11">
        <v>1.3728976249694824E-2</v>
      </c>
      <c r="D394" s="11">
        <v>1.5376448631286621E-2</v>
      </c>
      <c r="E394" s="11">
        <v>0.2960277589469309</v>
      </c>
      <c r="F394" s="11">
        <v>0.15023712227078168</v>
      </c>
      <c r="G394" s="11">
        <v>7.038271427154541E-2</v>
      </c>
      <c r="H394" s="40">
        <v>3.6260574907686998E-4</v>
      </c>
      <c r="I394" s="40">
        <v>1.532866276037145</v>
      </c>
      <c r="J394" s="59">
        <v>0</v>
      </c>
      <c r="K394" s="59">
        <v>3415.7605841755867</v>
      </c>
      <c r="L394" s="59">
        <v>0</v>
      </c>
      <c r="M394" s="11">
        <v>0.87669074535369873</v>
      </c>
      <c r="N394" s="11">
        <v>0.74550819396972656</v>
      </c>
      <c r="O394" s="11">
        <v>0.28877595067024231</v>
      </c>
      <c r="Q394" s="59">
        <v>15.196983649856467</v>
      </c>
      <c r="R394" s="78">
        <v>482.7660194749418</v>
      </c>
      <c r="S394" s="78">
        <v>15.250071731594206</v>
      </c>
      <c r="T394" s="78">
        <v>605.62246198977323</v>
      </c>
      <c r="U394" s="59">
        <v>15.261274466779282</v>
      </c>
      <c r="V394" s="78">
        <v>801.54801383606878</v>
      </c>
      <c r="X394" s="134">
        <f t="shared" si="36"/>
        <v>1519215.5989661717</v>
      </c>
      <c r="Y394" s="134">
        <f t="shared" si="37"/>
        <v>1524401.5506974307</v>
      </c>
      <c r="Z394" s="134">
        <f t="shared" si="38"/>
        <v>1525325.8986640922</v>
      </c>
      <c r="AB394" s="127">
        <f t="shared" si="39"/>
        <v>0</v>
      </c>
      <c r="AC394" s="127">
        <f t="shared" si="40"/>
        <v>0</v>
      </c>
      <c r="AD394" s="127">
        <f t="shared" si="41"/>
        <v>1</v>
      </c>
    </row>
    <row r="395" spans="1:30" x14ac:dyDescent="0.25">
      <c r="A395">
        <v>390</v>
      </c>
      <c r="C395" s="11">
        <v>1.0685205459594727E-2</v>
      </c>
      <c r="D395" s="11">
        <v>3.4591853618621826E-2</v>
      </c>
      <c r="E395" s="11">
        <v>0.42062692998188184</v>
      </c>
      <c r="F395" s="11">
        <v>0.18262216467088291</v>
      </c>
      <c r="G395" s="11">
        <v>3.9508432149887085E-2</v>
      </c>
      <c r="H395" s="40">
        <v>3.7810396743905532E-4</v>
      </c>
      <c r="I395" s="40">
        <v>1.6437635400670554</v>
      </c>
      <c r="J395" s="59">
        <v>0</v>
      </c>
      <c r="K395" s="59">
        <v>4249.0777559578419</v>
      </c>
      <c r="L395" s="59">
        <v>0</v>
      </c>
      <c r="M395" s="11">
        <v>0.87487047910690308</v>
      </c>
      <c r="N395" s="11">
        <v>0.78230375051498413</v>
      </c>
      <c r="O395" s="11">
        <v>0.30243045091629028</v>
      </c>
      <c r="Q395" s="59">
        <v>15.193706305478441</v>
      </c>
      <c r="R395" s="78">
        <v>530.98016560769065</v>
      </c>
      <c r="S395" s="78">
        <v>15.247663034765079</v>
      </c>
      <c r="T395" s="78">
        <v>637.59938998521875</v>
      </c>
      <c r="U395" s="59">
        <v>15.270464748087512</v>
      </c>
      <c r="V395" s="78">
        <v>813.621155420371</v>
      </c>
      <c r="X395" s="134">
        <f t="shared" si="36"/>
        <v>1518839.6503822363</v>
      </c>
      <c r="Y395" s="134">
        <f t="shared" si="37"/>
        <v>1524128.7040865228</v>
      </c>
      <c r="Z395" s="134">
        <f t="shared" si="38"/>
        <v>1526232.8536533308</v>
      </c>
      <c r="AB395" s="127">
        <f t="shared" si="39"/>
        <v>0</v>
      </c>
      <c r="AC395" s="127">
        <f t="shared" si="40"/>
        <v>0</v>
      </c>
      <c r="AD395" s="127">
        <f t="shared" si="41"/>
        <v>1</v>
      </c>
    </row>
    <row r="396" spans="1:30" x14ac:dyDescent="0.25">
      <c r="A396">
        <v>391</v>
      </c>
      <c r="C396" s="11">
        <v>1.6909241676330566E-2</v>
      </c>
      <c r="D396" s="11">
        <v>1.0350540280342102E-2</v>
      </c>
      <c r="E396" s="11">
        <v>0.22010723323102668</v>
      </c>
      <c r="F396" s="11">
        <v>0.23972602431600123</v>
      </c>
      <c r="G396" s="11">
        <v>4.6377182006835938E-3</v>
      </c>
      <c r="H396" s="40">
        <v>4.218255660734195E-4</v>
      </c>
      <c r="I396" s="40">
        <v>1.3924484042194778</v>
      </c>
      <c r="J396" s="59">
        <v>0</v>
      </c>
      <c r="K396" s="59">
        <v>3386.1026167869568</v>
      </c>
      <c r="L396" s="59">
        <v>0</v>
      </c>
      <c r="M396" s="11">
        <v>0.88254767656326294</v>
      </c>
      <c r="N396" s="11">
        <v>0.71953481435775757</v>
      </c>
      <c r="O396" s="11">
        <v>0.34128546714782715</v>
      </c>
      <c r="Q396" s="59">
        <v>15.269808194763666</v>
      </c>
      <c r="R396" s="78">
        <v>442.01226495923027</v>
      </c>
      <c r="S396" s="78">
        <v>15.312977395180672</v>
      </c>
      <c r="T396" s="78">
        <v>589.68536995892828</v>
      </c>
      <c r="U396" s="59">
        <v>15.311878516854364</v>
      </c>
      <c r="V396" s="78">
        <v>799.63453640719865</v>
      </c>
      <c r="X396" s="134">
        <f t="shared" si="36"/>
        <v>1526538.8072114072</v>
      </c>
      <c r="Y396" s="134">
        <f t="shared" si="37"/>
        <v>1530708.0541481085</v>
      </c>
      <c r="Z396" s="134">
        <f t="shared" si="38"/>
        <v>1530388.2171490293</v>
      </c>
      <c r="AB396" s="127">
        <f t="shared" si="39"/>
        <v>0</v>
      </c>
      <c r="AC396" s="127">
        <f t="shared" si="40"/>
        <v>1</v>
      </c>
      <c r="AD396" s="127">
        <f t="shared" si="41"/>
        <v>0</v>
      </c>
    </row>
    <row r="397" spans="1:30" x14ac:dyDescent="0.25">
      <c r="A397">
        <v>392</v>
      </c>
      <c r="C397" s="11">
        <v>1.8921419978141785E-2</v>
      </c>
      <c r="D397" s="11">
        <v>2.4637818336486816E-2</v>
      </c>
      <c r="E397" s="11">
        <v>0.11783061447042392</v>
      </c>
      <c r="F397" s="11">
        <v>0.22587414268680633</v>
      </c>
      <c r="G397" s="11">
        <v>2.4026244878768921E-2</v>
      </c>
      <c r="H397" s="40">
        <v>3.5636884004404688E-4</v>
      </c>
      <c r="I397" s="40">
        <v>1.4094824384458007</v>
      </c>
      <c r="J397" s="59">
        <v>0</v>
      </c>
      <c r="K397" s="59">
        <v>6085.0777663290501</v>
      </c>
      <c r="L397" s="59">
        <v>0</v>
      </c>
      <c r="M397" s="11">
        <v>0.84194546937942505</v>
      </c>
      <c r="N397" s="11">
        <v>0.68829584121704102</v>
      </c>
      <c r="O397" s="11">
        <v>0.28749710321426392</v>
      </c>
      <c r="Q397" s="59">
        <v>14.538418580740055</v>
      </c>
      <c r="R397" s="78">
        <v>480.35080570424094</v>
      </c>
      <c r="S397" s="78">
        <v>14.584176578471904</v>
      </c>
      <c r="T397" s="78">
        <v>589.28674873659224</v>
      </c>
      <c r="U397" s="59">
        <v>14.578511540722181</v>
      </c>
      <c r="V397" s="78">
        <v>807.69255141649376</v>
      </c>
      <c r="X397" s="134">
        <f t="shared" si="36"/>
        <v>1453361.5072683012</v>
      </c>
      <c r="Y397" s="134">
        <f t="shared" si="37"/>
        <v>1457828.3710984539</v>
      </c>
      <c r="Z397" s="134">
        <f t="shared" si="38"/>
        <v>1457043.4615208015</v>
      </c>
      <c r="AB397" s="127">
        <f t="shared" si="39"/>
        <v>0</v>
      </c>
      <c r="AC397" s="127">
        <f t="shared" si="40"/>
        <v>1</v>
      </c>
      <c r="AD397" s="127">
        <f t="shared" si="41"/>
        <v>0</v>
      </c>
    </row>
    <row r="398" spans="1:30" x14ac:dyDescent="0.25">
      <c r="A398">
        <v>393</v>
      </c>
      <c r="C398" s="11">
        <v>8.040308952331543E-3</v>
      </c>
      <c r="D398" s="11">
        <v>1.2472882866859436E-2</v>
      </c>
      <c r="E398" s="11">
        <v>0.24825601876860223</v>
      </c>
      <c r="F398" s="11">
        <v>0.25764588814275441</v>
      </c>
      <c r="G398" s="11">
        <v>7.1924924850463867E-2</v>
      </c>
      <c r="H398" s="40">
        <v>3.4334814322491863E-4</v>
      </c>
      <c r="I398" s="40">
        <v>1.5535587187291608</v>
      </c>
      <c r="J398" s="59">
        <v>0</v>
      </c>
      <c r="K398" s="59">
        <v>8987.2628450393677</v>
      </c>
      <c r="L398" s="59">
        <v>0</v>
      </c>
      <c r="M398" s="11">
        <v>0.90862560272216797</v>
      </c>
      <c r="N398" s="11">
        <v>0.81284666061401367</v>
      </c>
      <c r="O398" s="11">
        <v>0.27805376052856445</v>
      </c>
      <c r="Q398" s="59">
        <v>15.852202964210555</v>
      </c>
      <c r="R398" s="78">
        <v>632.03722795094097</v>
      </c>
      <c r="S398" s="78">
        <v>15.903276454822439</v>
      </c>
      <c r="T398" s="78">
        <v>638.93802254600996</v>
      </c>
      <c r="U398" s="59">
        <v>15.902627547459716</v>
      </c>
      <c r="V398" s="78">
        <v>850.19399028001567</v>
      </c>
      <c r="X398" s="134">
        <f t="shared" si="36"/>
        <v>1584588.2591931045</v>
      </c>
      <c r="Y398" s="134">
        <f t="shared" si="37"/>
        <v>1589688.707459698</v>
      </c>
      <c r="Z398" s="134">
        <f t="shared" si="38"/>
        <v>1589412.5607556917</v>
      </c>
      <c r="AB398" s="127">
        <f t="shared" si="39"/>
        <v>0</v>
      </c>
      <c r="AC398" s="127">
        <f t="shared" si="40"/>
        <v>1</v>
      </c>
      <c r="AD398" s="127">
        <f t="shared" si="41"/>
        <v>0</v>
      </c>
    </row>
    <row r="399" spans="1:30" x14ac:dyDescent="0.25">
      <c r="A399">
        <v>394</v>
      </c>
      <c r="C399" s="11">
        <v>1.9622683525085449E-2</v>
      </c>
      <c r="D399" s="11">
        <v>8.5111260414123535E-3</v>
      </c>
      <c r="E399" s="11">
        <v>0.30017366817841806</v>
      </c>
      <c r="F399" s="11">
        <v>0.14030063364419323</v>
      </c>
      <c r="G399" s="11">
        <v>5.2030324935913086E-2</v>
      </c>
      <c r="H399" s="40">
        <v>6.1768126741639786E-4</v>
      </c>
      <c r="I399" s="40">
        <v>1.3316035285096977</v>
      </c>
      <c r="J399" s="59">
        <v>0</v>
      </c>
      <c r="K399" s="59">
        <v>6079.8414051532745</v>
      </c>
      <c r="L399" s="59">
        <v>0</v>
      </c>
      <c r="M399" s="11">
        <v>0.87280136346817017</v>
      </c>
      <c r="N399" s="11">
        <v>0.71105837821960449</v>
      </c>
      <c r="O399" s="11">
        <v>0.31190764904022217</v>
      </c>
      <c r="Q399" s="59">
        <v>15.041390560651857</v>
      </c>
      <c r="R399" s="78">
        <v>531.80727904357911</v>
      </c>
      <c r="S399" s="78">
        <v>15.092117095887534</v>
      </c>
      <c r="T399" s="78">
        <v>620.82813160077581</v>
      </c>
      <c r="U399" s="59">
        <v>15.103888570696219</v>
      </c>
      <c r="V399" s="78">
        <v>807.60034050478805</v>
      </c>
      <c r="X399" s="134">
        <f t="shared" si="36"/>
        <v>1503607.2487861421</v>
      </c>
      <c r="Y399" s="134">
        <f t="shared" si="37"/>
        <v>1508590.8814571528</v>
      </c>
      <c r="Z399" s="134">
        <f t="shared" si="38"/>
        <v>1509581.2567291169</v>
      </c>
      <c r="AB399" s="127">
        <f t="shared" si="39"/>
        <v>0</v>
      </c>
      <c r="AC399" s="127">
        <f t="shared" si="40"/>
        <v>0</v>
      </c>
      <c r="AD399" s="127">
        <f t="shared" si="41"/>
        <v>1</v>
      </c>
    </row>
    <row r="400" spans="1:30" x14ac:dyDescent="0.25">
      <c r="A400">
        <v>395</v>
      </c>
      <c r="C400" s="11">
        <v>2.2334367036819458E-2</v>
      </c>
      <c r="D400" s="11">
        <v>1.584140956401825E-2</v>
      </c>
      <c r="E400" s="11">
        <v>0.14545900755150226</v>
      </c>
      <c r="F400" s="11">
        <v>0.12346567134765121</v>
      </c>
      <c r="G400" s="11">
        <v>2.6155918836593628E-2</v>
      </c>
      <c r="H400" s="40">
        <v>5.4068977284878119E-4</v>
      </c>
      <c r="I400" s="40">
        <v>1.4656623605829362</v>
      </c>
      <c r="J400" s="59">
        <v>0</v>
      </c>
      <c r="K400" s="59">
        <v>2406.0904979705811</v>
      </c>
      <c r="L400" s="59">
        <v>0</v>
      </c>
      <c r="M400" s="11">
        <v>0.89139652252197266</v>
      </c>
      <c r="N400" s="11">
        <v>0.7009207010269165</v>
      </c>
      <c r="O400" s="11">
        <v>0.29079717397689819</v>
      </c>
      <c r="Q400" s="59">
        <v>15.287953430244555</v>
      </c>
      <c r="R400" s="78">
        <v>455.1044877839862</v>
      </c>
      <c r="S400" s="78">
        <v>15.377885892751721</v>
      </c>
      <c r="T400" s="78">
        <v>588.06260272077679</v>
      </c>
      <c r="U400" s="59">
        <v>15.38025301958651</v>
      </c>
      <c r="V400" s="78">
        <v>795.69622242584444</v>
      </c>
      <c r="X400" s="134">
        <f t="shared" si="36"/>
        <v>1528340.2385366715</v>
      </c>
      <c r="Y400" s="134">
        <f t="shared" si="37"/>
        <v>1537200.5266724513</v>
      </c>
      <c r="Z400" s="134">
        <f t="shared" si="38"/>
        <v>1537229.6057362251</v>
      </c>
      <c r="AB400" s="127">
        <f t="shared" si="39"/>
        <v>0</v>
      </c>
      <c r="AC400" s="127">
        <f t="shared" si="40"/>
        <v>0</v>
      </c>
      <c r="AD400" s="127">
        <f t="shared" si="41"/>
        <v>1</v>
      </c>
    </row>
    <row r="401" spans="1:30" x14ac:dyDescent="0.25">
      <c r="A401">
        <v>396</v>
      </c>
      <c r="C401" s="11">
        <v>1.2220755219459534E-2</v>
      </c>
      <c r="D401" s="11">
        <v>2.2584110498428345E-2</v>
      </c>
      <c r="E401" s="11">
        <v>0.21684248127790354</v>
      </c>
      <c r="F401" s="11">
        <v>0.13835408676110927</v>
      </c>
      <c r="G401" s="11">
        <v>1.1152744293212891E-2</v>
      </c>
      <c r="H401" s="40">
        <v>4.8151950365978437E-4</v>
      </c>
      <c r="I401" s="40">
        <v>1.4637247449793174</v>
      </c>
      <c r="J401" s="59">
        <v>0</v>
      </c>
      <c r="K401" s="59">
        <v>3090.207464993</v>
      </c>
      <c r="L401" s="59">
        <v>0</v>
      </c>
      <c r="M401" s="11">
        <v>0.86536133289337158</v>
      </c>
      <c r="N401" s="11">
        <v>0.73105376958847046</v>
      </c>
      <c r="O401" s="11">
        <v>0.31613701581954956</v>
      </c>
      <c r="Q401" s="59">
        <v>15.025121583832171</v>
      </c>
      <c r="R401" s="78">
        <v>458.31102788489</v>
      </c>
      <c r="S401" s="78">
        <v>15.082360084196605</v>
      </c>
      <c r="T401" s="78">
        <v>593.17129807055642</v>
      </c>
      <c r="U401" s="59">
        <v>15.088211614205084</v>
      </c>
      <c r="V401" s="78">
        <v>797.05653370097423</v>
      </c>
      <c r="X401" s="134">
        <f t="shared" si="36"/>
        <v>1502053.847355332</v>
      </c>
      <c r="Y401" s="134">
        <f t="shared" si="37"/>
        <v>1507642.8371215898</v>
      </c>
      <c r="Z401" s="134">
        <f t="shared" si="38"/>
        <v>1508024.1048868075</v>
      </c>
      <c r="AB401" s="127">
        <f t="shared" si="39"/>
        <v>0</v>
      </c>
      <c r="AC401" s="127">
        <f t="shared" si="40"/>
        <v>0</v>
      </c>
      <c r="AD401" s="127">
        <f t="shared" si="41"/>
        <v>1</v>
      </c>
    </row>
    <row r="402" spans="1:30" x14ac:dyDescent="0.25">
      <c r="A402">
        <v>397</v>
      </c>
      <c r="C402" s="11">
        <v>1.7986297607421875E-3</v>
      </c>
      <c r="D402" s="11">
        <v>9.9767297506332397E-3</v>
      </c>
      <c r="E402" s="11">
        <v>0.1502650810542327</v>
      </c>
      <c r="F402" s="11">
        <v>0.29464262366152494</v>
      </c>
      <c r="G402" s="11">
        <v>4.2763054370880127E-2</v>
      </c>
      <c r="H402" s="40">
        <v>3.947960380944229E-4</v>
      </c>
      <c r="I402" s="40">
        <v>1.412589712356854</v>
      </c>
      <c r="J402" s="59">
        <v>0</v>
      </c>
      <c r="K402" s="59">
        <v>5213.8045430183411</v>
      </c>
      <c r="L402" s="59">
        <v>0</v>
      </c>
      <c r="M402" s="11">
        <v>0.85401326417922974</v>
      </c>
      <c r="N402" s="11">
        <v>0.78962332010269165</v>
      </c>
      <c r="O402" s="11">
        <v>0.27529144287109375</v>
      </c>
      <c r="Q402" s="59">
        <v>15.019660990071097</v>
      </c>
      <c r="R402" s="78">
        <v>487.25508882542795</v>
      </c>
      <c r="S402" s="78">
        <v>15.051986556059022</v>
      </c>
      <c r="T402" s="78">
        <v>593.17587442941272</v>
      </c>
      <c r="U402" s="59">
        <v>15.046430268220407</v>
      </c>
      <c r="V402" s="78">
        <v>815.7415728724186</v>
      </c>
      <c r="X402" s="134">
        <f t="shared" si="36"/>
        <v>1501478.8439182842</v>
      </c>
      <c r="Y402" s="134">
        <f t="shared" si="37"/>
        <v>1504605.4797314727</v>
      </c>
      <c r="Z402" s="134">
        <f t="shared" si="38"/>
        <v>1503827.2852491683</v>
      </c>
      <c r="AB402" s="127">
        <f t="shared" si="39"/>
        <v>0</v>
      </c>
      <c r="AC402" s="127">
        <f t="shared" si="40"/>
        <v>1</v>
      </c>
      <c r="AD402" s="127">
        <f t="shared" si="41"/>
        <v>0</v>
      </c>
    </row>
    <row r="403" spans="1:30" x14ac:dyDescent="0.25">
      <c r="A403">
        <v>398</v>
      </c>
      <c r="C403" s="11">
        <v>1.2721925973892212E-2</v>
      </c>
      <c r="D403" s="11">
        <v>1.1279746890068054E-2</v>
      </c>
      <c r="E403" s="11">
        <v>0.40646836047854373</v>
      </c>
      <c r="F403" s="11">
        <v>0.33738167234365513</v>
      </c>
      <c r="G403" s="11">
        <v>3.1601071357727051E-2</v>
      </c>
      <c r="H403" s="40">
        <v>3.3217379249921041E-4</v>
      </c>
      <c r="I403" s="40">
        <v>1.4165275678613813</v>
      </c>
      <c r="J403" s="59">
        <v>0</v>
      </c>
      <c r="K403" s="59">
        <v>4541.8110676109791</v>
      </c>
      <c r="L403" s="59">
        <v>0</v>
      </c>
      <c r="M403" s="11">
        <v>0.79388880729675293</v>
      </c>
      <c r="N403" s="11">
        <v>0.70720756053924561</v>
      </c>
      <c r="O403" s="11">
        <v>0.23902678489685059</v>
      </c>
      <c r="Q403" s="59">
        <v>13.809688633748021</v>
      </c>
      <c r="R403" s="78">
        <v>458.59303162348539</v>
      </c>
      <c r="S403" s="78">
        <v>13.830244716330187</v>
      </c>
      <c r="T403" s="78">
        <v>605.43849954654377</v>
      </c>
      <c r="U403" s="59">
        <v>13.832659425994976</v>
      </c>
      <c r="V403" s="78">
        <v>809.962649604175</v>
      </c>
      <c r="X403" s="134">
        <f t="shared" si="36"/>
        <v>1380510.2703431787</v>
      </c>
      <c r="Y403" s="134">
        <f t="shared" si="37"/>
        <v>1382419.0331334721</v>
      </c>
      <c r="Z403" s="134">
        <f t="shared" si="38"/>
        <v>1382455.9799498934</v>
      </c>
      <c r="AB403" s="127">
        <f t="shared" si="39"/>
        <v>0</v>
      </c>
      <c r="AC403" s="127">
        <f t="shared" si="40"/>
        <v>0</v>
      </c>
      <c r="AD403" s="127">
        <f t="shared" si="41"/>
        <v>1</v>
      </c>
    </row>
    <row r="404" spans="1:30" x14ac:dyDescent="0.25">
      <c r="A404">
        <v>399</v>
      </c>
      <c r="C404" s="11">
        <v>6.0923993587493896E-3</v>
      </c>
      <c r="D404" s="11">
        <v>7.0374488830566406E-2</v>
      </c>
      <c r="E404" s="11">
        <v>0.34473823737521375</v>
      </c>
      <c r="F404" s="11">
        <v>0.12964622142918802</v>
      </c>
      <c r="G404" s="11">
        <v>3.3527255058288574E-2</v>
      </c>
      <c r="H404" s="40">
        <v>4.611594141040522E-4</v>
      </c>
      <c r="I404" s="40">
        <v>1.4761833348336817</v>
      </c>
      <c r="J404" s="59">
        <v>0</v>
      </c>
      <c r="K404" s="59">
        <v>5695.8524510264397</v>
      </c>
      <c r="L404" s="59">
        <v>0</v>
      </c>
      <c r="M404" s="11">
        <v>0.86551350355148315</v>
      </c>
      <c r="N404" s="11">
        <v>0.779491126537323</v>
      </c>
      <c r="O404" s="11">
        <v>0.31003963947296143</v>
      </c>
      <c r="Q404" s="59">
        <v>15.117027583846109</v>
      </c>
      <c r="R404" s="78">
        <v>527.36718100319047</v>
      </c>
      <c r="S404" s="78">
        <v>15.167664098505327</v>
      </c>
      <c r="T404" s="78">
        <v>625.58324730410789</v>
      </c>
      <c r="U404" s="59">
        <v>15.184621353199894</v>
      </c>
      <c r="V404" s="78">
        <v>805.59472720391091</v>
      </c>
      <c r="X404" s="134">
        <f t="shared" ref="X404:X467" si="42">Q404*cRatio-R404</f>
        <v>1511175.3912036079</v>
      </c>
      <c r="Y404" s="134">
        <f t="shared" ref="Y404:Y467" si="43">S404*cRatio-T404</f>
        <v>1516140.8266032285</v>
      </c>
      <c r="Z404" s="134">
        <f t="shared" ref="Z404:Z467" si="44">U404*cRatio-V404</f>
        <v>1517656.5405927855</v>
      </c>
      <c r="AB404" s="127">
        <f t="shared" ref="AB404:AB467" si="45">IF(X404=MAX($X404:$Z404),1,0)</f>
        <v>0</v>
      </c>
      <c r="AC404" s="127">
        <f t="shared" ref="AC404:AC467" si="46">IF(Y404=MAX($X404:$Z404),1,0)</f>
        <v>0</v>
      </c>
      <c r="AD404" s="127">
        <f t="shared" ref="AD404:AD467" si="47">IF(Z404=MAX($X404:$Z404),1,0)</f>
        <v>1</v>
      </c>
    </row>
    <row r="405" spans="1:30" x14ac:dyDescent="0.25">
      <c r="A405">
        <v>400</v>
      </c>
      <c r="C405" s="11">
        <v>1.5884459018707275E-2</v>
      </c>
      <c r="D405" s="11">
        <v>2.8560459613800049E-3</v>
      </c>
      <c r="E405" s="11">
        <v>0.21825554151712689</v>
      </c>
      <c r="F405" s="11">
        <v>0.1313301046389736</v>
      </c>
      <c r="G405" s="11">
        <v>7.0560455322265625E-2</v>
      </c>
      <c r="H405" s="40">
        <v>6.7641528180668669E-4</v>
      </c>
      <c r="I405" s="40">
        <v>1.3175683498109876</v>
      </c>
      <c r="J405" s="59">
        <v>0</v>
      </c>
      <c r="K405" s="59">
        <v>3178.3757731318474</v>
      </c>
      <c r="L405" s="59">
        <v>0</v>
      </c>
      <c r="M405" s="11">
        <v>0.79064655303955078</v>
      </c>
      <c r="N405" s="11">
        <v>0.7452540397644043</v>
      </c>
      <c r="O405" s="11">
        <v>0.26350945234298706</v>
      </c>
      <c r="Q405" s="59">
        <v>13.702311247792109</v>
      </c>
      <c r="R405" s="78">
        <v>476.86222091096022</v>
      </c>
      <c r="S405" s="78">
        <v>13.734609424226782</v>
      </c>
      <c r="T405" s="78">
        <v>597.31723011455244</v>
      </c>
      <c r="U405" s="59">
        <v>13.738264118572776</v>
      </c>
      <c r="V405" s="78">
        <v>799.03768969797795</v>
      </c>
      <c r="X405" s="134">
        <f t="shared" si="42"/>
        <v>1369754.2625582998</v>
      </c>
      <c r="Y405" s="134">
        <f t="shared" si="43"/>
        <v>1372863.6251925637</v>
      </c>
      <c r="Z405" s="134">
        <f t="shared" si="44"/>
        <v>1373027.3741675797</v>
      </c>
      <c r="AB405" s="127">
        <f t="shared" si="45"/>
        <v>0</v>
      </c>
      <c r="AC405" s="127">
        <f t="shared" si="46"/>
        <v>0</v>
      </c>
      <c r="AD405" s="127">
        <f t="shared" si="47"/>
        <v>1</v>
      </c>
    </row>
    <row r="406" spans="1:30" x14ac:dyDescent="0.25">
      <c r="A406">
        <v>401</v>
      </c>
      <c r="C406" s="11">
        <v>6.8769007921218872E-3</v>
      </c>
      <c r="D406" s="11">
        <v>3.2227814197540283E-2</v>
      </c>
      <c r="E406" s="11">
        <v>0.31647407055664478</v>
      </c>
      <c r="F406" s="11">
        <v>0.17054784372910287</v>
      </c>
      <c r="G406" s="11">
        <v>4.4658243656158447E-2</v>
      </c>
      <c r="H406" s="40">
        <v>4.4517933258061818E-4</v>
      </c>
      <c r="I406" s="40">
        <v>1.5378239178897284</v>
      </c>
      <c r="J406" s="59">
        <v>0</v>
      </c>
      <c r="K406" s="59">
        <v>4770.670784637332</v>
      </c>
      <c r="L406" s="59">
        <v>0</v>
      </c>
      <c r="M406" s="11">
        <v>0.80544710159301758</v>
      </c>
      <c r="N406" s="11">
        <v>0.74921619892120361</v>
      </c>
      <c r="O406" s="11">
        <v>0.2992745041847229</v>
      </c>
      <c r="Q406" s="59">
        <v>14.065725822553535</v>
      </c>
      <c r="R406" s="78">
        <v>531.20187571080953</v>
      </c>
      <c r="S406" s="78">
        <v>14.108747588142542</v>
      </c>
      <c r="T406" s="78">
        <v>623.12762438521725</v>
      </c>
      <c r="U406" s="59">
        <v>14.118150320876941</v>
      </c>
      <c r="V406" s="78">
        <v>811.86322273606766</v>
      </c>
      <c r="X406" s="134">
        <f t="shared" si="42"/>
        <v>1406041.3803796426</v>
      </c>
      <c r="Y406" s="134">
        <f t="shared" si="43"/>
        <v>1410251.6311898688</v>
      </c>
      <c r="Z406" s="134">
        <f t="shared" si="44"/>
        <v>1411003.168864958</v>
      </c>
      <c r="AB406" s="127">
        <f t="shared" si="45"/>
        <v>0</v>
      </c>
      <c r="AC406" s="127">
        <f t="shared" si="46"/>
        <v>0</v>
      </c>
      <c r="AD406" s="127">
        <f t="shared" si="47"/>
        <v>1</v>
      </c>
    </row>
    <row r="407" spans="1:30" x14ac:dyDescent="0.25">
      <c r="A407">
        <v>402</v>
      </c>
      <c r="C407" s="11">
        <v>6.1928927898406982E-3</v>
      </c>
      <c r="D407" s="11">
        <v>1.9634276628494263E-2</v>
      </c>
      <c r="E407" s="11">
        <v>0.88414331662575474</v>
      </c>
      <c r="F407" s="11">
        <v>0.31523662516852213</v>
      </c>
      <c r="G407" s="11">
        <v>6.5401077270507813E-2</v>
      </c>
      <c r="H407" s="40">
        <v>3.1935487294030266E-4</v>
      </c>
      <c r="I407" s="40">
        <v>1.4466236140499771</v>
      </c>
      <c r="J407" s="59">
        <v>0</v>
      </c>
      <c r="K407" s="59">
        <v>10486.54317855835</v>
      </c>
      <c r="L407" s="59">
        <v>0</v>
      </c>
      <c r="M407" s="11">
        <v>0.87991631031036377</v>
      </c>
      <c r="N407" s="11">
        <v>0.7667841911315918</v>
      </c>
      <c r="O407" s="11">
        <v>0.25083684921264648</v>
      </c>
      <c r="Q407" s="59">
        <v>15.395533507937539</v>
      </c>
      <c r="R407" s="78">
        <v>578.96515566450489</v>
      </c>
      <c r="S407" s="78">
        <v>15.401330800771932</v>
      </c>
      <c r="T407" s="78">
        <v>742.76559747346073</v>
      </c>
      <c r="U407" s="59">
        <v>15.430081206361811</v>
      </c>
      <c r="V407" s="78">
        <v>846.79540306889407</v>
      </c>
      <c r="X407" s="134">
        <f t="shared" si="42"/>
        <v>1538974.3856380894</v>
      </c>
      <c r="Y407" s="134">
        <f t="shared" si="43"/>
        <v>1539390.3144797198</v>
      </c>
      <c r="Z407" s="134">
        <f t="shared" si="44"/>
        <v>1542161.3252331121</v>
      </c>
      <c r="AB407" s="127">
        <f t="shared" si="45"/>
        <v>0</v>
      </c>
      <c r="AC407" s="127">
        <f t="shared" si="46"/>
        <v>0</v>
      </c>
      <c r="AD407" s="127">
        <f t="shared" si="47"/>
        <v>1</v>
      </c>
    </row>
    <row r="408" spans="1:30" x14ac:dyDescent="0.25">
      <c r="A408">
        <v>403</v>
      </c>
      <c r="C408" s="11">
        <v>5.1759004592895508E-2</v>
      </c>
      <c r="D408" s="11">
        <v>9.9375098943710327E-3</v>
      </c>
      <c r="E408" s="11">
        <v>0.54769039350006199</v>
      </c>
      <c r="F408" s="11">
        <v>0.33530149587452973</v>
      </c>
      <c r="G408" s="11">
        <v>3.8101136684417725E-2</v>
      </c>
      <c r="H408" s="40">
        <v>3.3763807011038139E-4</v>
      </c>
      <c r="I408" s="40">
        <v>1.4487566990731318</v>
      </c>
      <c r="J408" s="59">
        <v>0</v>
      </c>
      <c r="K408" s="59">
        <v>8149.2029130458832</v>
      </c>
      <c r="L408" s="59">
        <v>0</v>
      </c>
      <c r="M408" s="11">
        <v>0.85970014333724976</v>
      </c>
      <c r="N408" s="11">
        <v>0.74412107467651367</v>
      </c>
      <c r="O408" s="11">
        <v>0.29292181134223938</v>
      </c>
      <c r="Q408" s="59">
        <v>14.354888091334379</v>
      </c>
      <c r="R408" s="78">
        <v>522.59395427205084</v>
      </c>
      <c r="S408" s="78">
        <v>14.374850476007696</v>
      </c>
      <c r="T408" s="78">
        <v>649.85258310774282</v>
      </c>
      <c r="U408" s="59">
        <v>14.384321040903641</v>
      </c>
      <c r="V408" s="78">
        <v>831.49922908283065</v>
      </c>
      <c r="X408" s="134">
        <f t="shared" si="42"/>
        <v>1434966.2151791658</v>
      </c>
      <c r="Y408" s="134">
        <f t="shared" si="43"/>
        <v>1436835.1950176619</v>
      </c>
      <c r="Z408" s="134">
        <f t="shared" si="44"/>
        <v>1437600.6048612813</v>
      </c>
      <c r="AB408" s="127">
        <f t="shared" si="45"/>
        <v>0</v>
      </c>
      <c r="AC408" s="127">
        <f t="shared" si="46"/>
        <v>0</v>
      </c>
      <c r="AD408" s="127">
        <f t="shared" si="47"/>
        <v>1</v>
      </c>
    </row>
    <row r="409" spans="1:30" x14ac:dyDescent="0.25">
      <c r="A409">
        <v>404</v>
      </c>
      <c r="C409" s="11">
        <v>3.6559224128723145E-2</v>
      </c>
      <c r="D409" s="11">
        <v>6.3237190246582031E-2</v>
      </c>
      <c r="E409" s="11">
        <v>0.25804784369415751</v>
      </c>
      <c r="F409" s="11">
        <v>0.25670469584003369</v>
      </c>
      <c r="G409" s="11">
        <v>9.3061923980712891E-2</v>
      </c>
      <c r="H409" s="40">
        <v>5.9457011760535991E-4</v>
      </c>
      <c r="I409" s="40">
        <v>1.344089045456939</v>
      </c>
      <c r="J409" s="59">
        <v>0</v>
      </c>
      <c r="K409" s="59">
        <v>4556.7750930786133</v>
      </c>
      <c r="L409" s="59">
        <v>0</v>
      </c>
      <c r="M409" s="11">
        <v>0.90584158897399902</v>
      </c>
      <c r="N409" s="11">
        <v>0.7678147554397583</v>
      </c>
      <c r="O409" s="11">
        <v>0.31179922819137573</v>
      </c>
      <c r="Q409" s="59">
        <v>15.324735718787386</v>
      </c>
      <c r="R409" s="78">
        <v>510.72814119261517</v>
      </c>
      <c r="S409" s="78">
        <v>15.391720983628675</v>
      </c>
      <c r="T409" s="78">
        <v>609.47203629181513</v>
      </c>
      <c r="U409" s="59">
        <v>15.39184387571019</v>
      </c>
      <c r="V409" s="78">
        <v>818.31406641269814</v>
      </c>
      <c r="X409" s="134">
        <f t="shared" si="42"/>
        <v>1531962.8437375459</v>
      </c>
      <c r="Y409" s="134">
        <f t="shared" si="43"/>
        <v>1538562.6263265756</v>
      </c>
      <c r="Z409" s="134">
        <f t="shared" si="44"/>
        <v>1538366.0735046065</v>
      </c>
      <c r="AB409" s="127">
        <f t="shared" si="45"/>
        <v>0</v>
      </c>
      <c r="AC409" s="127">
        <f t="shared" si="46"/>
        <v>1</v>
      </c>
      <c r="AD409" s="127">
        <f t="shared" si="47"/>
        <v>0</v>
      </c>
    </row>
    <row r="410" spans="1:30" x14ac:dyDescent="0.25">
      <c r="A410">
        <v>405</v>
      </c>
      <c r="C410" s="11">
        <v>2.0064711570739746E-2</v>
      </c>
      <c r="D410" s="11">
        <v>5.3415000438690186E-3</v>
      </c>
      <c r="E410" s="11">
        <v>0.51214641436509989</v>
      </c>
      <c r="F410" s="11">
        <v>0.29906450580036842</v>
      </c>
      <c r="G410" s="11">
        <v>2.4727910757064819E-2</v>
      </c>
      <c r="H410" s="40">
        <v>7.2672137188535069E-4</v>
      </c>
      <c r="I410" s="40">
        <v>1.4675917741586793</v>
      </c>
      <c r="J410" s="59">
        <v>0</v>
      </c>
      <c r="K410" s="59">
        <v>4518.6537317931652</v>
      </c>
      <c r="L410" s="59">
        <v>0</v>
      </c>
      <c r="M410" s="11">
        <v>0.86045372486114502</v>
      </c>
      <c r="N410" s="11">
        <v>0.75010085105895996</v>
      </c>
      <c r="O410" s="11">
        <v>0.29400968551635742</v>
      </c>
      <c r="Q410" s="59">
        <v>14.798875309444183</v>
      </c>
      <c r="R410" s="78">
        <v>547.28065770685146</v>
      </c>
      <c r="S410" s="78">
        <v>14.844305699633015</v>
      </c>
      <c r="T410" s="78">
        <v>658.68061210077644</v>
      </c>
      <c r="U410" s="59">
        <v>14.864649620316534</v>
      </c>
      <c r="V410" s="78">
        <v>834.83559198184651</v>
      </c>
      <c r="X410" s="134">
        <f t="shared" si="42"/>
        <v>1479340.2502867116</v>
      </c>
      <c r="Y410" s="134">
        <f t="shared" si="43"/>
        <v>1483771.8893512008</v>
      </c>
      <c r="Z410" s="134">
        <f t="shared" si="44"/>
        <v>1485630.1264396715</v>
      </c>
      <c r="AB410" s="127">
        <f t="shared" si="45"/>
        <v>0</v>
      </c>
      <c r="AC410" s="127">
        <f t="shared" si="46"/>
        <v>0</v>
      </c>
      <c r="AD410" s="127">
        <f t="shared" si="47"/>
        <v>1</v>
      </c>
    </row>
    <row r="411" spans="1:30" x14ac:dyDescent="0.25">
      <c r="A411">
        <v>406</v>
      </c>
      <c r="C411" s="11">
        <v>3.1190097332000732E-2</v>
      </c>
      <c r="D411" s="11">
        <v>1.8118366599082947E-2</v>
      </c>
      <c r="E411" s="11">
        <v>0.34287062651126171</v>
      </c>
      <c r="F411" s="11">
        <v>0.18775662644200919</v>
      </c>
      <c r="G411" s="11">
        <v>4.0647804737091064E-2</v>
      </c>
      <c r="H411" s="40">
        <v>5.5350991266723952E-4</v>
      </c>
      <c r="I411" s="40">
        <v>1.3412639853086441</v>
      </c>
      <c r="J411" s="59">
        <v>0</v>
      </c>
      <c r="K411" s="59">
        <v>8042.2498285770416</v>
      </c>
      <c r="L411" s="59">
        <v>0</v>
      </c>
      <c r="M411" s="11">
        <v>0.83898299932479858</v>
      </c>
      <c r="N411" s="11">
        <v>0.76384514570236206</v>
      </c>
      <c r="O411" s="11">
        <v>0.28240889310836792</v>
      </c>
      <c r="Q411" s="59">
        <v>14.311789320411084</v>
      </c>
      <c r="R411" s="78">
        <v>550.60354195322634</v>
      </c>
      <c r="S411" s="78">
        <v>14.341463967217393</v>
      </c>
      <c r="T411" s="78">
        <v>633.22218086963449</v>
      </c>
      <c r="U411" s="59">
        <v>14.348569142719734</v>
      </c>
      <c r="V411" s="78">
        <v>817.76109844636483</v>
      </c>
      <c r="X411" s="134">
        <f t="shared" si="42"/>
        <v>1430628.3284991551</v>
      </c>
      <c r="Y411" s="134">
        <f t="shared" si="43"/>
        <v>1433513.1745408697</v>
      </c>
      <c r="Z411" s="134">
        <f t="shared" si="44"/>
        <v>1434039.153173527</v>
      </c>
      <c r="AB411" s="127">
        <f t="shared" si="45"/>
        <v>0</v>
      </c>
      <c r="AC411" s="127">
        <f t="shared" si="46"/>
        <v>0</v>
      </c>
      <c r="AD411" s="127">
        <f t="shared" si="47"/>
        <v>1</v>
      </c>
    </row>
    <row r="412" spans="1:30" x14ac:dyDescent="0.25">
      <c r="A412">
        <v>407</v>
      </c>
      <c r="C412" s="11">
        <v>1.6168117523193359E-2</v>
      </c>
      <c r="D412" s="11">
        <v>2.3506790399551392E-2</v>
      </c>
      <c r="E412" s="11">
        <v>0.24130736939320269</v>
      </c>
      <c r="F412" s="11">
        <v>0.22999699689370379</v>
      </c>
      <c r="G412" s="11">
        <v>1.9068002700805664E-2</v>
      </c>
      <c r="H412" s="40">
        <v>3.1743534138633264E-4</v>
      </c>
      <c r="I412" s="40">
        <v>1.5297201878517686</v>
      </c>
      <c r="J412" s="59">
        <v>0</v>
      </c>
      <c r="K412" s="59">
        <v>4896.9127237796783</v>
      </c>
      <c r="L412" s="59">
        <v>0</v>
      </c>
      <c r="M412" s="11">
        <v>0.8921501636505127</v>
      </c>
      <c r="N412" s="11">
        <v>0.71303772926330566</v>
      </c>
      <c r="O412" s="11">
        <v>0.28622299432754517</v>
      </c>
      <c r="Q412" s="59">
        <v>15.42947359455351</v>
      </c>
      <c r="R412" s="78">
        <v>479.63519321540787</v>
      </c>
      <c r="S412" s="78">
        <v>15.485586725131297</v>
      </c>
      <c r="T412" s="78">
        <v>599.93123648433436</v>
      </c>
      <c r="U412" s="59">
        <v>15.486435595871752</v>
      </c>
      <c r="V412" s="78">
        <v>807.95400185540154</v>
      </c>
      <c r="X412" s="134">
        <f t="shared" si="42"/>
        <v>1542467.7242621356</v>
      </c>
      <c r="Y412" s="134">
        <f t="shared" si="43"/>
        <v>1547958.7412766453</v>
      </c>
      <c r="Z412" s="134">
        <f t="shared" si="44"/>
        <v>1547835.6055853199</v>
      </c>
      <c r="AB412" s="127">
        <f t="shared" si="45"/>
        <v>0</v>
      </c>
      <c r="AC412" s="127">
        <f t="shared" si="46"/>
        <v>1</v>
      </c>
      <c r="AD412" s="127">
        <f t="shared" si="47"/>
        <v>0</v>
      </c>
    </row>
    <row r="413" spans="1:30" x14ac:dyDescent="0.25">
      <c r="A413">
        <v>408</v>
      </c>
      <c r="C413" s="11">
        <v>6.1182975769042969E-2</v>
      </c>
      <c r="D413" s="11">
        <v>1.9446402788162231E-2</v>
      </c>
      <c r="E413" s="11">
        <v>0.39300267236008851</v>
      </c>
      <c r="F413" s="11">
        <v>0.16729646035943663</v>
      </c>
      <c r="G413" s="11">
        <v>2.8523862361907959E-2</v>
      </c>
      <c r="H413" s="40">
        <v>4.3499767686985309E-4</v>
      </c>
      <c r="I413" s="40">
        <v>1.4090674307623892</v>
      </c>
      <c r="J413" s="59">
        <v>0</v>
      </c>
      <c r="K413" s="59">
        <v>8614.1005158424377</v>
      </c>
      <c r="L413" s="59">
        <v>0</v>
      </c>
      <c r="M413" s="11">
        <v>0.85324373841285706</v>
      </c>
      <c r="N413" s="11">
        <v>0.64399433135986328</v>
      </c>
      <c r="O413" s="11">
        <v>0.25514626502990723</v>
      </c>
      <c r="Q413" s="59">
        <v>14.074620012235727</v>
      </c>
      <c r="R413" s="78">
        <v>540.01503348600079</v>
      </c>
      <c r="S413" s="78">
        <v>14.119607053289487</v>
      </c>
      <c r="T413" s="78">
        <v>636.90908337675774</v>
      </c>
      <c r="U413" s="59">
        <v>14.136570635859096</v>
      </c>
      <c r="V413" s="78">
        <v>812.73521753852663</v>
      </c>
      <c r="X413" s="134">
        <f t="shared" si="42"/>
        <v>1406921.9861900867</v>
      </c>
      <c r="Y413" s="134">
        <f t="shared" si="43"/>
        <v>1411323.7962455719</v>
      </c>
      <c r="Z413" s="134">
        <f t="shared" si="44"/>
        <v>1412844.3283683711</v>
      </c>
      <c r="AB413" s="127">
        <f t="shared" si="45"/>
        <v>0</v>
      </c>
      <c r="AC413" s="127">
        <f t="shared" si="46"/>
        <v>0</v>
      </c>
      <c r="AD413" s="127">
        <f t="shared" si="47"/>
        <v>1</v>
      </c>
    </row>
    <row r="414" spans="1:30" x14ac:dyDescent="0.25">
      <c r="A414">
        <v>409</v>
      </c>
      <c r="C414" s="11">
        <v>2.4611532688140869E-2</v>
      </c>
      <c r="D414" s="11">
        <v>1.0219350457191467E-2</v>
      </c>
      <c r="E414" s="11">
        <v>0.19556439338059203</v>
      </c>
      <c r="F414" s="11">
        <v>0.39843815190507953</v>
      </c>
      <c r="G414" s="11">
        <v>5.8679699897766113E-2</v>
      </c>
      <c r="H414" s="40">
        <v>5.5194699005324402E-4</v>
      </c>
      <c r="I414" s="40">
        <v>1.3666107630586584</v>
      </c>
      <c r="J414" s="59">
        <v>0</v>
      </c>
      <c r="K414" s="59">
        <v>6060.5281032621861</v>
      </c>
      <c r="L414" s="59">
        <v>0</v>
      </c>
      <c r="M414" s="11">
        <v>0.81715244054794312</v>
      </c>
      <c r="N414" s="11">
        <v>0.75213944911956787</v>
      </c>
      <c r="O414" s="11">
        <v>0.26697635650634766</v>
      </c>
      <c r="Q414" s="59">
        <v>14.032327035101929</v>
      </c>
      <c r="R414" s="78">
        <v>533.42237638472091</v>
      </c>
      <c r="S414" s="78">
        <v>14.069407188491326</v>
      </c>
      <c r="T414" s="78">
        <v>606.61805042077799</v>
      </c>
      <c r="U414" s="59">
        <v>14.059947156954266</v>
      </c>
      <c r="V414" s="78">
        <v>844.08588954691629</v>
      </c>
      <c r="X414" s="134">
        <f t="shared" si="42"/>
        <v>1402699.2811338082</v>
      </c>
      <c r="Y414" s="134">
        <f t="shared" si="43"/>
        <v>1406334.1007987116</v>
      </c>
      <c r="Z414" s="134">
        <f t="shared" si="44"/>
        <v>1405150.6298058797</v>
      </c>
      <c r="AB414" s="127">
        <f t="shared" si="45"/>
        <v>0</v>
      </c>
      <c r="AC414" s="127">
        <f t="shared" si="46"/>
        <v>1</v>
      </c>
      <c r="AD414" s="127">
        <f t="shared" si="47"/>
        <v>0</v>
      </c>
    </row>
    <row r="415" spans="1:30" x14ac:dyDescent="0.25">
      <c r="A415">
        <v>410</v>
      </c>
      <c r="C415" s="11">
        <v>2.2487819194793701E-2</v>
      </c>
      <c r="D415" s="11">
        <v>5.1160812377929688E-2</v>
      </c>
      <c r="E415" s="11">
        <v>0.22437122882225319</v>
      </c>
      <c r="F415" s="11">
        <v>0.12312157217991418</v>
      </c>
      <c r="G415" s="11">
        <v>3.7541568279266357E-2</v>
      </c>
      <c r="H415" s="40">
        <v>4.3247189459458323E-4</v>
      </c>
      <c r="I415" s="40">
        <v>1.5528528975674756</v>
      </c>
      <c r="J415" s="59">
        <v>0</v>
      </c>
      <c r="K415" s="59">
        <v>4670.3033149242401</v>
      </c>
      <c r="L415" s="59">
        <v>0</v>
      </c>
      <c r="M415" s="11">
        <v>0.8415449857711792</v>
      </c>
      <c r="N415" s="11">
        <v>0.76557332277297974</v>
      </c>
      <c r="O415" s="11">
        <v>0.31654572486877441</v>
      </c>
      <c r="Q415" s="59">
        <v>14.452368309670209</v>
      </c>
      <c r="R415" s="78">
        <v>522.94723316084094</v>
      </c>
      <c r="S415" s="78">
        <v>14.512517058569035</v>
      </c>
      <c r="T415" s="78">
        <v>608.48488066421044</v>
      </c>
      <c r="U415" s="59">
        <v>14.520567611052174</v>
      </c>
      <c r="V415" s="78">
        <v>804.21996441817635</v>
      </c>
      <c r="X415" s="134">
        <f t="shared" si="42"/>
        <v>1444713.8837338602</v>
      </c>
      <c r="Y415" s="134">
        <f t="shared" si="43"/>
        <v>1450643.2209762393</v>
      </c>
      <c r="Z415" s="134">
        <f t="shared" si="44"/>
        <v>1451252.5411407994</v>
      </c>
      <c r="AB415" s="127">
        <f t="shared" si="45"/>
        <v>0</v>
      </c>
      <c r="AC415" s="127">
        <f t="shared" si="46"/>
        <v>0</v>
      </c>
      <c r="AD415" s="127">
        <f t="shared" si="47"/>
        <v>1</v>
      </c>
    </row>
    <row r="416" spans="1:30" x14ac:dyDescent="0.25">
      <c r="A416">
        <v>411</v>
      </c>
      <c r="C416" s="11">
        <v>4.4076323509216309E-2</v>
      </c>
      <c r="D416" s="11">
        <v>2.2013753652572632E-2</v>
      </c>
      <c r="E416" s="11">
        <v>0.30093171625695131</v>
      </c>
      <c r="F416" s="11">
        <v>0.19973212348844865</v>
      </c>
      <c r="G416" s="11">
        <v>1.4418244361877441E-2</v>
      </c>
      <c r="H416" s="40">
        <v>5.5150913622139966E-4</v>
      </c>
      <c r="I416" s="40">
        <v>1.3889236716761066</v>
      </c>
      <c r="J416" s="59">
        <v>0</v>
      </c>
      <c r="K416" s="59">
        <v>8796.30446434021</v>
      </c>
      <c r="L416" s="59">
        <v>0</v>
      </c>
      <c r="M416" s="11">
        <v>0.84372860193252563</v>
      </c>
      <c r="N416" s="11">
        <v>0.81491875648498535</v>
      </c>
      <c r="O416" s="11">
        <v>0.33123010396957397</v>
      </c>
      <c r="Q416" s="59">
        <v>14.213250612250885</v>
      </c>
      <c r="R416" s="78">
        <v>560.44710871909183</v>
      </c>
      <c r="S416" s="78">
        <v>14.236260660192908</v>
      </c>
      <c r="T416" s="78">
        <v>629.7239701456939</v>
      </c>
      <c r="U416" s="59">
        <v>14.239650327830816</v>
      </c>
      <c r="V416" s="78">
        <v>821.727920310983</v>
      </c>
      <c r="X416" s="134">
        <f t="shared" si="42"/>
        <v>1420764.6141163695</v>
      </c>
      <c r="Y416" s="134">
        <f t="shared" si="43"/>
        <v>1422996.3420491451</v>
      </c>
      <c r="Z416" s="134">
        <f t="shared" si="44"/>
        <v>1423143.3048627705</v>
      </c>
      <c r="AB416" s="127">
        <f t="shared" si="45"/>
        <v>0</v>
      </c>
      <c r="AC416" s="127">
        <f t="shared" si="46"/>
        <v>0</v>
      </c>
      <c r="AD416" s="127">
        <f t="shared" si="47"/>
        <v>1</v>
      </c>
    </row>
    <row r="417" spans="1:30" x14ac:dyDescent="0.25">
      <c r="A417">
        <v>412</v>
      </c>
      <c r="C417" s="11">
        <v>5.6473612785339355E-3</v>
      </c>
      <c r="D417" s="11">
        <v>1.2565240263938904E-2</v>
      </c>
      <c r="E417" s="11">
        <v>0.32630627149369579</v>
      </c>
      <c r="F417" s="11">
        <v>0.43218756998646185</v>
      </c>
      <c r="G417" s="11">
        <v>3.1944453716278076E-2</v>
      </c>
      <c r="H417" s="40">
        <v>3.6235750571696635E-4</v>
      </c>
      <c r="I417" s="40">
        <v>1.472339812337216</v>
      </c>
      <c r="J417" s="59">
        <v>0</v>
      </c>
      <c r="K417" s="59">
        <v>3153.1183049082756</v>
      </c>
      <c r="L417" s="59">
        <v>0</v>
      </c>
      <c r="M417" s="11">
        <v>0.85134196281433105</v>
      </c>
      <c r="N417" s="11">
        <v>0.70031642913818359</v>
      </c>
      <c r="O417" s="11">
        <v>0.28277134895324707</v>
      </c>
      <c r="Q417" s="59">
        <v>14.890200616758991</v>
      </c>
      <c r="R417" s="78">
        <v>451.91903443720048</v>
      </c>
      <c r="S417" s="78">
        <v>14.932141664573216</v>
      </c>
      <c r="T417" s="78">
        <v>598.09814964038117</v>
      </c>
      <c r="U417" s="59">
        <v>14.925483130768312</v>
      </c>
      <c r="V417" s="78">
        <v>813.25347605127081</v>
      </c>
      <c r="X417" s="134">
        <f t="shared" si="42"/>
        <v>1488568.1426414617</v>
      </c>
      <c r="Y417" s="134">
        <f t="shared" si="43"/>
        <v>1492616.068307681</v>
      </c>
      <c r="Z417" s="134">
        <f t="shared" si="44"/>
        <v>1491735.0596007798</v>
      </c>
      <c r="AB417" s="127">
        <f t="shared" si="45"/>
        <v>0</v>
      </c>
      <c r="AC417" s="127">
        <f t="shared" si="46"/>
        <v>1</v>
      </c>
      <c r="AD417" s="127">
        <f t="shared" si="47"/>
        <v>0</v>
      </c>
    </row>
    <row r="418" spans="1:30" x14ac:dyDescent="0.25">
      <c r="A418">
        <v>413</v>
      </c>
      <c r="C418" s="11">
        <v>3.1918048858642578E-2</v>
      </c>
      <c r="D418" s="11">
        <v>1.5136495232582092E-2</v>
      </c>
      <c r="E418" s="11">
        <v>0.14148619523546108</v>
      </c>
      <c r="F418" s="11">
        <v>0.24744138318926764</v>
      </c>
      <c r="G418" s="11">
        <v>3.3105239272117615E-2</v>
      </c>
      <c r="H418" s="40">
        <v>4.1171576370980346E-4</v>
      </c>
      <c r="I418" s="40">
        <v>1.4415911707767874</v>
      </c>
      <c r="J418" s="59">
        <v>0</v>
      </c>
      <c r="K418" s="59">
        <v>5420.0761951506138</v>
      </c>
      <c r="L418" s="59">
        <v>0</v>
      </c>
      <c r="M418" s="11">
        <v>0.84832686185836792</v>
      </c>
      <c r="N418" s="11">
        <v>0.82465338706970215</v>
      </c>
      <c r="O418" s="11">
        <v>0.34191274642944336</v>
      </c>
      <c r="Q418" s="59">
        <v>14.477225902286847</v>
      </c>
      <c r="R418" s="78">
        <v>495.15909624618104</v>
      </c>
      <c r="S418" s="78">
        <v>14.502041100815473</v>
      </c>
      <c r="T418" s="78">
        <v>593.50861997658922</v>
      </c>
      <c r="U418" s="59">
        <v>14.498932887549476</v>
      </c>
      <c r="V418" s="78">
        <v>813.33095857486455</v>
      </c>
      <c r="X418" s="134">
        <f t="shared" si="42"/>
        <v>1447227.4311324386</v>
      </c>
      <c r="Y418" s="134">
        <f t="shared" si="43"/>
        <v>1449610.6014615707</v>
      </c>
      <c r="Z418" s="134">
        <f t="shared" si="44"/>
        <v>1449079.9577963727</v>
      </c>
      <c r="AB418" s="127">
        <f t="shared" si="45"/>
        <v>0</v>
      </c>
      <c r="AC418" s="127">
        <f t="shared" si="46"/>
        <v>1</v>
      </c>
      <c r="AD418" s="127">
        <f t="shared" si="47"/>
        <v>0</v>
      </c>
    </row>
    <row r="419" spans="1:30" x14ac:dyDescent="0.25">
      <c r="A419">
        <v>414</v>
      </c>
      <c r="C419" s="11">
        <v>9.1358721256256104E-3</v>
      </c>
      <c r="D419" s="11">
        <v>2.3705750703811646E-2</v>
      </c>
      <c r="E419" s="11">
        <v>0.34989966927056554</v>
      </c>
      <c r="F419" s="11">
        <v>0.49062005068896025</v>
      </c>
      <c r="G419" s="11">
        <v>2.4401575326919556E-2</v>
      </c>
      <c r="H419" s="40">
        <v>4.0655932711598954E-4</v>
      </c>
      <c r="I419" s="40">
        <v>1.4931799414532163</v>
      </c>
      <c r="J419" s="59">
        <v>0</v>
      </c>
      <c r="K419" s="59">
        <v>3128.9923936128616</v>
      </c>
      <c r="L419" s="59">
        <v>0</v>
      </c>
      <c r="M419" s="11">
        <v>0.83832913637161255</v>
      </c>
      <c r="N419" s="11">
        <v>0.67265939712524414</v>
      </c>
      <c r="O419" s="11">
        <v>0.32308483123779297</v>
      </c>
      <c r="Q419" s="59">
        <v>14.594296966136307</v>
      </c>
      <c r="R419" s="78">
        <v>459.18930933567304</v>
      </c>
      <c r="S419" s="78">
        <v>14.644827588853516</v>
      </c>
      <c r="T419" s="78">
        <v>602.09143999909611</v>
      </c>
      <c r="U419" s="59">
        <v>14.633771186749854</v>
      </c>
      <c r="V419" s="78">
        <v>820.29192845573164</v>
      </c>
      <c r="X419" s="134">
        <f t="shared" si="42"/>
        <v>1458970.507304295</v>
      </c>
      <c r="Y419" s="134">
        <f t="shared" si="43"/>
        <v>1463880.6674453525</v>
      </c>
      <c r="Z419" s="134">
        <f t="shared" si="44"/>
        <v>1462556.8267465297</v>
      </c>
      <c r="AB419" s="127">
        <f t="shared" si="45"/>
        <v>0</v>
      </c>
      <c r="AC419" s="127">
        <f t="shared" si="46"/>
        <v>1</v>
      </c>
      <c r="AD419" s="127">
        <f t="shared" si="47"/>
        <v>0</v>
      </c>
    </row>
    <row r="420" spans="1:30" x14ac:dyDescent="0.25">
      <c r="A420">
        <v>415</v>
      </c>
      <c r="C420" s="11">
        <v>4.3771266937255859E-2</v>
      </c>
      <c r="D420" s="11">
        <v>2.8471916913986206E-2</v>
      </c>
      <c r="E420" s="11">
        <v>0.3256620146874864</v>
      </c>
      <c r="F420" s="11">
        <v>0.12200137429355831</v>
      </c>
      <c r="G420" s="11">
        <v>2.0178020000457764E-2</v>
      </c>
      <c r="H420" s="40">
        <v>5.5942204977111546E-4</v>
      </c>
      <c r="I420" s="40">
        <v>1.4883125104953334</v>
      </c>
      <c r="J420" s="59">
        <v>0</v>
      </c>
      <c r="K420" s="59">
        <v>5606.8738922476768</v>
      </c>
      <c r="L420" s="59">
        <v>0</v>
      </c>
      <c r="M420" s="11">
        <v>0.8808441162109375</v>
      </c>
      <c r="N420" s="11">
        <v>0.73165857791900635</v>
      </c>
      <c r="O420" s="11">
        <v>0.28076270222663879</v>
      </c>
      <c r="Q420" s="59">
        <v>14.776805358544241</v>
      </c>
      <c r="R420" s="78">
        <v>542.15759922596555</v>
      </c>
      <c r="S420" s="78">
        <v>14.844280246692405</v>
      </c>
      <c r="T420" s="78">
        <v>628.0889304385953</v>
      </c>
      <c r="U420" s="59">
        <v>14.865184818432047</v>
      </c>
      <c r="V420" s="78">
        <v>806.48698682531699</v>
      </c>
      <c r="X420" s="134">
        <f t="shared" si="42"/>
        <v>1477138.3782551982</v>
      </c>
      <c r="Y420" s="134">
        <f t="shared" si="43"/>
        <v>1483799.935738802</v>
      </c>
      <c r="Z420" s="134">
        <f t="shared" si="44"/>
        <v>1485711.9948563795</v>
      </c>
      <c r="AB420" s="127">
        <f t="shared" si="45"/>
        <v>0</v>
      </c>
      <c r="AC420" s="127">
        <f t="shared" si="46"/>
        <v>0</v>
      </c>
      <c r="AD420" s="127">
        <f t="shared" si="47"/>
        <v>1</v>
      </c>
    </row>
    <row r="421" spans="1:30" x14ac:dyDescent="0.25">
      <c r="A421">
        <v>416</v>
      </c>
      <c r="C421" s="11">
        <v>6.7983567714691162E-3</v>
      </c>
      <c r="D421" s="11">
        <v>2.326279878616333E-2</v>
      </c>
      <c r="E421" s="11">
        <v>0.35838145333600357</v>
      </c>
      <c r="F421" s="11">
        <v>0.10428988617544289</v>
      </c>
      <c r="G421" s="11">
        <v>3.065645694732666E-2</v>
      </c>
      <c r="H421" s="40">
        <v>4.3837417384565977E-4</v>
      </c>
      <c r="I421" s="40">
        <v>1.5789779628842688</v>
      </c>
      <c r="J421" s="59">
        <v>0</v>
      </c>
      <c r="K421" s="59">
        <v>3422.2798421978951</v>
      </c>
      <c r="L421" s="59">
        <v>0</v>
      </c>
      <c r="M421" s="11">
        <v>0.9024655818939209</v>
      </c>
      <c r="N421" s="11">
        <v>0.75077497959136963</v>
      </c>
      <c r="O421" s="11">
        <v>0.25037193298339844</v>
      </c>
      <c r="Q421" s="59">
        <v>15.719534196918074</v>
      </c>
      <c r="R421" s="78">
        <v>495.86426619515834</v>
      </c>
      <c r="S421" s="78">
        <v>15.791126621107555</v>
      </c>
      <c r="T421" s="78">
        <v>616.14890415285322</v>
      </c>
      <c r="U421" s="59">
        <v>15.820291727984804</v>
      </c>
      <c r="V421" s="78">
        <v>798.88623490673433</v>
      </c>
      <c r="X421" s="134">
        <f t="shared" si="42"/>
        <v>1571457.5554256123</v>
      </c>
      <c r="Y421" s="134">
        <f t="shared" si="43"/>
        <v>1578496.5132066025</v>
      </c>
      <c r="Z421" s="134">
        <f t="shared" si="44"/>
        <v>1581230.2865635736</v>
      </c>
      <c r="AB421" s="127">
        <f t="shared" si="45"/>
        <v>0</v>
      </c>
      <c r="AC421" s="127">
        <f t="shared" si="46"/>
        <v>0</v>
      </c>
      <c r="AD421" s="127">
        <f t="shared" si="47"/>
        <v>1</v>
      </c>
    </row>
    <row r="422" spans="1:30" x14ac:dyDescent="0.25">
      <c r="A422">
        <v>417</v>
      </c>
      <c r="C422" s="11">
        <v>1.7682194709777832E-2</v>
      </c>
      <c r="D422" s="11">
        <v>2.5530159473419189E-3</v>
      </c>
      <c r="E422" s="11">
        <v>0.4125222102149716</v>
      </c>
      <c r="F422" s="11">
        <v>0.20846200591836478</v>
      </c>
      <c r="G422" s="11">
        <v>6.4794600009918213E-2</v>
      </c>
      <c r="H422" s="40">
        <v>4.0310654505401313E-4</v>
      </c>
      <c r="I422" s="40">
        <v>1.5033978123718028</v>
      </c>
      <c r="J422" s="59">
        <v>0</v>
      </c>
      <c r="K422" s="59">
        <v>5396.0387594997883</v>
      </c>
      <c r="L422" s="59">
        <v>0</v>
      </c>
      <c r="M422" s="11">
        <v>0.83549284934997559</v>
      </c>
      <c r="N422" s="11">
        <v>0.80664050579071045</v>
      </c>
      <c r="O422" s="11">
        <v>0.2839084267616272</v>
      </c>
      <c r="Q422" s="59">
        <v>14.457880376644361</v>
      </c>
      <c r="R422" s="78">
        <v>533.88664487136236</v>
      </c>
      <c r="S422" s="78">
        <v>14.480543816540656</v>
      </c>
      <c r="T422" s="78">
        <v>637.34129471938172</v>
      </c>
      <c r="U422" s="59">
        <v>14.488565983698024</v>
      </c>
      <c r="V422" s="78">
        <v>817.59493977126772</v>
      </c>
      <c r="X422" s="134">
        <f t="shared" si="42"/>
        <v>1445254.1510195646</v>
      </c>
      <c r="Y422" s="134">
        <f t="shared" si="43"/>
        <v>1447417.0403593462</v>
      </c>
      <c r="Z422" s="134">
        <f t="shared" si="44"/>
        <v>1448039.003430031</v>
      </c>
      <c r="AB422" s="127">
        <f t="shared" si="45"/>
        <v>0</v>
      </c>
      <c r="AC422" s="127">
        <f t="shared" si="46"/>
        <v>0</v>
      </c>
      <c r="AD422" s="127">
        <f t="shared" si="47"/>
        <v>1</v>
      </c>
    </row>
    <row r="423" spans="1:30" x14ac:dyDescent="0.25">
      <c r="A423">
        <v>418</v>
      </c>
      <c r="C423" s="11">
        <v>5.3554624319076538E-3</v>
      </c>
      <c r="D423" s="11">
        <v>5.6004524230957031E-3</v>
      </c>
      <c r="E423" s="11">
        <v>0.20945582270462793</v>
      </c>
      <c r="F423" s="11">
        <v>0.30511178518717086</v>
      </c>
      <c r="G423" s="11">
        <v>3.7301003932952881E-2</v>
      </c>
      <c r="H423" s="40">
        <v>4.7967739762114079E-4</v>
      </c>
      <c r="I423" s="40">
        <v>1.3826367662517869</v>
      </c>
      <c r="J423" s="59">
        <v>0</v>
      </c>
      <c r="K423" s="59">
        <v>4995.5234862864017</v>
      </c>
      <c r="L423" s="59">
        <v>0</v>
      </c>
      <c r="M423" s="11">
        <v>0.83614414930343628</v>
      </c>
      <c r="N423" s="11">
        <v>0.7347182035446167</v>
      </c>
      <c r="O423" s="11">
        <v>0.26104640960693359</v>
      </c>
      <c r="Q423" s="59">
        <v>14.640658653082983</v>
      </c>
      <c r="R423" s="78">
        <v>490.31714985200273</v>
      </c>
      <c r="S423" s="78">
        <v>14.679679159871656</v>
      </c>
      <c r="T423" s="78">
        <v>599.41394999683223</v>
      </c>
      <c r="U423" s="59">
        <v>14.674899819335561</v>
      </c>
      <c r="V423" s="78">
        <v>817.694093057749</v>
      </c>
      <c r="X423" s="134">
        <f t="shared" si="42"/>
        <v>1463575.5481584463</v>
      </c>
      <c r="Y423" s="134">
        <f t="shared" si="43"/>
        <v>1467368.5020371687</v>
      </c>
      <c r="Z423" s="134">
        <f t="shared" si="44"/>
        <v>1466672.2878404984</v>
      </c>
      <c r="AB423" s="127">
        <f t="shared" si="45"/>
        <v>0</v>
      </c>
      <c r="AC423" s="127">
        <f t="shared" si="46"/>
        <v>1</v>
      </c>
      <c r="AD423" s="127">
        <f t="shared" si="47"/>
        <v>0</v>
      </c>
    </row>
    <row r="424" spans="1:30" x14ac:dyDescent="0.25">
      <c r="A424">
        <v>419</v>
      </c>
      <c r="C424" s="11">
        <v>4.9807906150817871E-2</v>
      </c>
      <c r="D424" s="11">
        <v>5.0129413604736328E-2</v>
      </c>
      <c r="E424" s="11">
        <v>0.15652060774342078</v>
      </c>
      <c r="F424" s="11">
        <v>0.15569844382097475</v>
      </c>
      <c r="G424" s="11">
        <v>2.9109477996826172E-2</v>
      </c>
      <c r="H424" s="40">
        <v>3.8268030367856335E-4</v>
      </c>
      <c r="I424" s="40">
        <v>1.435900478115542</v>
      </c>
      <c r="J424" s="59">
        <v>0</v>
      </c>
      <c r="K424" s="59">
        <v>6062.8470964729786</v>
      </c>
      <c r="L424" s="59">
        <v>0</v>
      </c>
      <c r="M424" s="11">
        <v>0.83710616827011108</v>
      </c>
      <c r="N424" s="11">
        <v>0.75386983156204224</v>
      </c>
      <c r="O424" s="11">
        <v>0.27986550331115723</v>
      </c>
      <c r="Q424" s="59">
        <v>14.001167409630693</v>
      </c>
      <c r="R424" s="78">
        <v>492.76858710049419</v>
      </c>
      <c r="S424" s="78">
        <v>14.042093066160453</v>
      </c>
      <c r="T424" s="78">
        <v>594.64991397972631</v>
      </c>
      <c r="U424" s="59">
        <v>14.042133525714323</v>
      </c>
      <c r="V424" s="78">
        <v>803.56789576823678</v>
      </c>
      <c r="X424" s="134">
        <f t="shared" si="42"/>
        <v>1399623.9723759687</v>
      </c>
      <c r="Y424" s="134">
        <f t="shared" si="43"/>
        <v>1403614.6567020656</v>
      </c>
      <c r="Z424" s="134">
        <f t="shared" si="44"/>
        <v>1403409.784675664</v>
      </c>
      <c r="AB424" s="127">
        <f t="shared" si="45"/>
        <v>0</v>
      </c>
      <c r="AC424" s="127">
        <f t="shared" si="46"/>
        <v>1</v>
      </c>
      <c r="AD424" s="127">
        <f t="shared" si="47"/>
        <v>0</v>
      </c>
    </row>
    <row r="425" spans="1:30" x14ac:dyDescent="0.25">
      <c r="A425">
        <v>420</v>
      </c>
      <c r="C425" s="11">
        <v>3.2181859016418457E-2</v>
      </c>
      <c r="D425" s="11">
        <v>7.2801589965820313E-2</v>
      </c>
      <c r="E425" s="11">
        <v>0.23561111000389176</v>
      </c>
      <c r="F425" s="11">
        <v>0.17523997444100886</v>
      </c>
      <c r="G425" s="11">
        <v>5.0873875617980957E-2</v>
      </c>
      <c r="H425" s="40">
        <v>4.6856971706079828E-4</v>
      </c>
      <c r="I425" s="40">
        <v>1.5619727466765021</v>
      </c>
      <c r="J425" s="59">
        <v>0</v>
      </c>
      <c r="K425" s="59">
        <v>6236.57600954175</v>
      </c>
      <c r="L425" s="59">
        <v>0</v>
      </c>
      <c r="M425" s="11">
        <v>0.82436090707778931</v>
      </c>
      <c r="N425" s="11">
        <v>0.73964673280715942</v>
      </c>
      <c r="O425" s="11">
        <v>0.26462697982788086</v>
      </c>
      <c r="Q425" s="59">
        <v>13.988976984863031</v>
      </c>
      <c r="R425" s="78">
        <v>593.9128804398822</v>
      </c>
      <c r="S425" s="78">
        <v>14.067560947430469</v>
      </c>
      <c r="T425" s="78">
        <v>627.08243282946898</v>
      </c>
      <c r="U425" s="59">
        <v>14.07393027633788</v>
      </c>
      <c r="V425" s="78">
        <v>823.82102326945073</v>
      </c>
      <c r="X425" s="134">
        <f t="shared" si="42"/>
        <v>1398303.7856058634</v>
      </c>
      <c r="Y425" s="134">
        <f t="shared" si="43"/>
        <v>1406129.0123102174</v>
      </c>
      <c r="Z425" s="134">
        <f t="shared" si="44"/>
        <v>1406569.2066105185</v>
      </c>
      <c r="AB425" s="127">
        <f t="shared" si="45"/>
        <v>0</v>
      </c>
      <c r="AC425" s="127">
        <f t="shared" si="46"/>
        <v>0</v>
      </c>
      <c r="AD425" s="127">
        <f t="shared" si="47"/>
        <v>1</v>
      </c>
    </row>
    <row r="426" spans="1:30" x14ac:dyDescent="0.25">
      <c r="A426">
        <v>421</v>
      </c>
      <c r="C426" s="11">
        <v>9.832039475440979E-3</v>
      </c>
      <c r="D426" s="11">
        <v>3.8798689842224121E-2</v>
      </c>
      <c r="E426" s="11">
        <v>0.32416784319846648</v>
      </c>
      <c r="F426" s="11">
        <v>0.37545675015204555</v>
      </c>
      <c r="G426" s="11">
        <v>2.8034001588821411E-2</v>
      </c>
      <c r="H426" s="40">
        <v>4.0798862637811769E-4</v>
      </c>
      <c r="I426" s="40">
        <v>1.4432975870147289</v>
      </c>
      <c r="J426" s="59">
        <v>0</v>
      </c>
      <c r="K426" s="59">
        <v>5635.5725973844528</v>
      </c>
      <c r="L426" s="59">
        <v>0</v>
      </c>
      <c r="M426" s="11">
        <v>0.75268936157226563</v>
      </c>
      <c r="N426" s="11">
        <v>0.72581773996353149</v>
      </c>
      <c r="O426" s="11">
        <v>0.34268593788146973</v>
      </c>
      <c r="Q426" s="59">
        <v>13.133020131150266</v>
      </c>
      <c r="R426" s="78">
        <v>497.73395340708436</v>
      </c>
      <c r="S426" s="78">
        <v>13.154143187445353</v>
      </c>
      <c r="T426" s="78">
        <v>612.99000183547014</v>
      </c>
      <c r="U426" s="59">
        <v>13.152521178332272</v>
      </c>
      <c r="V426" s="78">
        <v>827.33562099042535</v>
      </c>
      <c r="X426" s="134">
        <f t="shared" si="42"/>
        <v>1312804.2791616195</v>
      </c>
      <c r="Y426" s="134">
        <f t="shared" si="43"/>
        <v>1314801.3287426999</v>
      </c>
      <c r="Z426" s="134">
        <f t="shared" si="44"/>
        <v>1314424.7822122367</v>
      </c>
      <c r="AB426" s="127">
        <f t="shared" si="45"/>
        <v>0</v>
      </c>
      <c r="AC426" s="127">
        <f t="shared" si="46"/>
        <v>1</v>
      </c>
      <c r="AD426" s="127">
        <f t="shared" si="47"/>
        <v>0</v>
      </c>
    </row>
    <row r="427" spans="1:30" x14ac:dyDescent="0.25">
      <c r="A427">
        <v>422</v>
      </c>
      <c r="C427" s="11">
        <v>2.3154705762863159E-2</v>
      </c>
      <c r="D427" s="11">
        <v>4.0393948554992676E-2</v>
      </c>
      <c r="E427" s="11">
        <v>0.12876391203411419</v>
      </c>
      <c r="F427" s="11">
        <v>0.15825373892041608</v>
      </c>
      <c r="G427" s="11">
        <v>6.7567706108093262E-2</v>
      </c>
      <c r="H427" s="40">
        <v>4.0887096451719222E-4</v>
      </c>
      <c r="I427" s="40">
        <v>1.500176081732526</v>
      </c>
      <c r="J427" s="59">
        <v>0</v>
      </c>
      <c r="K427" s="59">
        <v>6859.0231239795685</v>
      </c>
      <c r="L427" s="59">
        <v>0</v>
      </c>
      <c r="M427" s="11">
        <v>0.83027380704879761</v>
      </c>
      <c r="N427" s="11">
        <v>0.82943534851074219</v>
      </c>
      <c r="O427" s="11">
        <v>0.34363746643066406</v>
      </c>
      <c r="Q427" s="59">
        <v>14.284058972322537</v>
      </c>
      <c r="R427" s="78">
        <v>570.8593815671245</v>
      </c>
      <c r="S427" s="78">
        <v>14.320514382075544</v>
      </c>
      <c r="T427" s="78">
        <v>602.14805483539794</v>
      </c>
      <c r="U427" s="59">
        <v>14.319256226832344</v>
      </c>
      <c r="V427" s="78">
        <v>816.43364566112859</v>
      </c>
      <c r="X427" s="134">
        <f t="shared" si="42"/>
        <v>1427835.0378506866</v>
      </c>
      <c r="Y427" s="134">
        <f t="shared" si="43"/>
        <v>1431449.290152719</v>
      </c>
      <c r="Z427" s="134">
        <f t="shared" si="44"/>
        <v>1431109.1890375733</v>
      </c>
      <c r="AB427" s="127">
        <f t="shared" si="45"/>
        <v>0</v>
      </c>
      <c r="AC427" s="127">
        <f t="shared" si="46"/>
        <v>1</v>
      </c>
      <c r="AD427" s="127">
        <f t="shared" si="47"/>
        <v>0</v>
      </c>
    </row>
    <row r="428" spans="1:30" x14ac:dyDescent="0.25">
      <c r="A428">
        <v>423</v>
      </c>
      <c r="C428" s="11">
        <v>1.0753393173217773E-2</v>
      </c>
      <c r="D428" s="11">
        <v>4.7515779733657837E-3</v>
      </c>
      <c r="E428" s="11">
        <v>0.27098365050894074</v>
      </c>
      <c r="F428" s="11">
        <v>8.2089197874512992E-2</v>
      </c>
      <c r="G428" s="11">
        <v>4.4805258512496948E-2</v>
      </c>
      <c r="H428" s="40">
        <v>7.7682371438996195E-4</v>
      </c>
      <c r="I428" s="40">
        <v>1.37525866758393</v>
      </c>
      <c r="J428" s="59">
        <v>0</v>
      </c>
      <c r="K428" s="59">
        <v>6174.5941638946533</v>
      </c>
      <c r="L428" s="59">
        <v>0</v>
      </c>
      <c r="M428" s="11">
        <v>0.8792879581451416</v>
      </c>
      <c r="N428" s="11">
        <v>0.75711333751678467</v>
      </c>
      <c r="O428" s="11">
        <v>0.28045165538787842</v>
      </c>
      <c r="Q428" s="59">
        <v>15.276078083471079</v>
      </c>
      <c r="R428" s="78">
        <v>587.49248335459879</v>
      </c>
      <c r="S428" s="78">
        <v>15.339954897443057</v>
      </c>
      <c r="T428" s="78">
        <v>632.33152285395704</v>
      </c>
      <c r="U428" s="59">
        <v>15.356925934862094</v>
      </c>
      <c r="V428" s="78">
        <v>804.22764114025802</v>
      </c>
      <c r="X428" s="134">
        <f t="shared" si="42"/>
        <v>1527020.3158637532</v>
      </c>
      <c r="Y428" s="134">
        <f t="shared" si="43"/>
        <v>1533363.1582214518</v>
      </c>
      <c r="Z428" s="134">
        <f t="shared" si="44"/>
        <v>1534888.3658450691</v>
      </c>
      <c r="AB428" s="127">
        <f t="shared" si="45"/>
        <v>0</v>
      </c>
      <c r="AC428" s="127">
        <f t="shared" si="46"/>
        <v>0</v>
      </c>
      <c r="AD428" s="127">
        <f t="shared" si="47"/>
        <v>1</v>
      </c>
    </row>
    <row r="429" spans="1:30" x14ac:dyDescent="0.25">
      <c r="A429">
        <v>424</v>
      </c>
      <c r="C429" s="11">
        <v>1.2050926685333252E-2</v>
      </c>
      <c r="D429" s="11">
        <v>3.5771489143371582E-2</v>
      </c>
      <c r="E429" s="11">
        <v>0.19295505128466092</v>
      </c>
      <c r="F429" s="11">
        <v>0.17114424825835203</v>
      </c>
      <c r="G429" s="11">
        <v>1.9791007041931152E-2</v>
      </c>
      <c r="H429" s="40">
        <v>3.6546929301910496E-4</v>
      </c>
      <c r="I429" s="40">
        <v>1.4782575320011957</v>
      </c>
      <c r="J429" s="59">
        <v>0</v>
      </c>
      <c r="K429" s="59">
        <v>8428.0595183372498</v>
      </c>
      <c r="L429" s="59">
        <v>0</v>
      </c>
      <c r="M429" s="11">
        <v>0.8775516152381897</v>
      </c>
      <c r="N429" s="11">
        <v>0.74577140808105469</v>
      </c>
      <c r="O429" s="11">
        <v>0.3003479540348053</v>
      </c>
      <c r="Q429" s="59">
        <v>15.250667083378863</v>
      </c>
      <c r="R429" s="78">
        <v>540.82230197192666</v>
      </c>
      <c r="S429" s="78">
        <v>15.301519056528045</v>
      </c>
      <c r="T429" s="78">
        <v>607.70402377326968</v>
      </c>
      <c r="U429" s="59">
        <v>15.302914498598264</v>
      </c>
      <c r="V429" s="78">
        <v>813.46852109488054</v>
      </c>
      <c r="X429" s="134">
        <f t="shared" si="42"/>
        <v>1524525.8860359143</v>
      </c>
      <c r="Y429" s="134">
        <f t="shared" si="43"/>
        <v>1529544.2016290312</v>
      </c>
      <c r="Z429" s="134">
        <f t="shared" si="44"/>
        <v>1529477.9813387315</v>
      </c>
      <c r="AB429" s="127">
        <f t="shared" si="45"/>
        <v>0</v>
      </c>
      <c r="AC429" s="127">
        <f t="shared" si="46"/>
        <v>1</v>
      </c>
      <c r="AD429" s="127">
        <f t="shared" si="47"/>
        <v>0</v>
      </c>
    </row>
    <row r="430" spans="1:30" x14ac:dyDescent="0.25">
      <c r="A430">
        <v>425</v>
      </c>
      <c r="C430" s="11">
        <v>8.7746679782867432E-3</v>
      </c>
      <c r="D430" s="11">
        <v>9.6186250448226929E-3</v>
      </c>
      <c r="E430" s="11">
        <v>0.29715883441064006</v>
      </c>
      <c r="F430" s="11">
        <v>0.47295807184402777</v>
      </c>
      <c r="G430" s="11">
        <v>9.4185829162597656E-2</v>
      </c>
      <c r="H430" s="40">
        <v>4.2959758869984938E-4</v>
      </c>
      <c r="I430" s="40">
        <v>1.5235754138953916</v>
      </c>
      <c r="J430" s="59">
        <v>0</v>
      </c>
      <c r="K430" s="59">
        <v>4296.1537837982178</v>
      </c>
      <c r="L430" s="59">
        <v>0</v>
      </c>
      <c r="M430" s="11">
        <v>0.85783073306083679</v>
      </c>
      <c r="N430" s="11">
        <v>0.75332653522491455</v>
      </c>
      <c r="O430" s="11">
        <v>0.26628679037094116</v>
      </c>
      <c r="Q430" s="59">
        <v>14.93905172377946</v>
      </c>
      <c r="R430" s="78">
        <v>535.94748835841517</v>
      </c>
      <c r="S430" s="78">
        <v>14.995095179501876</v>
      </c>
      <c r="T430" s="78">
        <v>621.80470757232706</v>
      </c>
      <c r="U430" s="59">
        <v>14.980888334422399</v>
      </c>
      <c r="V430" s="78">
        <v>855.87702113400007</v>
      </c>
      <c r="X430" s="134">
        <f t="shared" si="42"/>
        <v>1493369.2248895876</v>
      </c>
      <c r="Y430" s="134">
        <f t="shared" si="43"/>
        <v>1498887.7132426153</v>
      </c>
      <c r="Z430" s="134">
        <f t="shared" si="44"/>
        <v>1497232.9564211061</v>
      </c>
      <c r="AB430" s="127">
        <f t="shared" si="45"/>
        <v>0</v>
      </c>
      <c r="AC430" s="127">
        <f t="shared" si="46"/>
        <v>1</v>
      </c>
      <c r="AD430" s="127">
        <f t="shared" si="47"/>
        <v>0</v>
      </c>
    </row>
    <row r="431" spans="1:30" x14ac:dyDescent="0.25">
      <c r="A431">
        <v>426</v>
      </c>
      <c r="C431" s="11">
        <v>9.3127936124801636E-3</v>
      </c>
      <c r="D431" s="11">
        <v>6.2387943267822266E-2</v>
      </c>
      <c r="E431" s="11">
        <v>0.48829491330297642</v>
      </c>
      <c r="F431" s="11">
        <v>0.21216827201498822</v>
      </c>
      <c r="G431" s="11">
        <v>4.0759116411209106E-2</v>
      </c>
      <c r="H431" s="40">
        <v>4.6620729631538906E-4</v>
      </c>
      <c r="I431" s="40">
        <v>1.4672145845872899</v>
      </c>
      <c r="J431" s="59">
        <v>0</v>
      </c>
      <c r="K431" s="59">
        <v>4594.696220010519</v>
      </c>
      <c r="L431" s="59">
        <v>0</v>
      </c>
      <c r="M431" s="11">
        <v>0.88908600807189941</v>
      </c>
      <c r="N431" s="11">
        <v>0.71848785877227783</v>
      </c>
      <c r="O431" s="11">
        <v>0.31608444452285767</v>
      </c>
      <c r="Q431" s="59">
        <v>15.456116057055725</v>
      </c>
      <c r="R431" s="78">
        <v>503.64065550187127</v>
      </c>
      <c r="S431" s="78">
        <v>15.507784958186747</v>
      </c>
      <c r="T431" s="78">
        <v>633.07188258439737</v>
      </c>
      <c r="U431" s="59">
        <v>15.536153424478226</v>
      </c>
      <c r="V431" s="78">
        <v>811.62192001373592</v>
      </c>
      <c r="X431" s="134">
        <f t="shared" si="42"/>
        <v>1545107.9650500705</v>
      </c>
      <c r="Y431" s="134">
        <f t="shared" si="43"/>
        <v>1550145.4239360904</v>
      </c>
      <c r="Z431" s="134">
        <f t="shared" si="44"/>
        <v>1552803.7205278086</v>
      </c>
      <c r="AB431" s="127">
        <f t="shared" si="45"/>
        <v>0</v>
      </c>
      <c r="AC431" s="127">
        <f t="shared" si="46"/>
        <v>0</v>
      </c>
      <c r="AD431" s="127">
        <f t="shared" si="47"/>
        <v>1</v>
      </c>
    </row>
    <row r="432" spans="1:30" x14ac:dyDescent="0.25">
      <c r="A432">
        <v>427</v>
      </c>
      <c r="C432" s="11">
        <v>5.9531480073928833E-3</v>
      </c>
      <c r="D432" s="11">
        <v>6.8481564521789551E-3</v>
      </c>
      <c r="E432" s="11">
        <v>0.45648772216874844</v>
      </c>
      <c r="F432" s="11">
        <v>0.14003914020607056</v>
      </c>
      <c r="G432" s="11">
        <v>5.1597028970718384E-2</v>
      </c>
      <c r="H432" s="40">
        <v>3.6873860499464023E-4</v>
      </c>
      <c r="I432" s="40">
        <v>1.4143872285419814</v>
      </c>
      <c r="J432" s="59">
        <v>0</v>
      </c>
      <c r="K432" s="59">
        <v>3875.314723700285</v>
      </c>
      <c r="L432" s="59">
        <v>0</v>
      </c>
      <c r="M432" s="11">
        <v>0.88290011882781982</v>
      </c>
      <c r="N432" s="11">
        <v>0.75594967603683472</v>
      </c>
      <c r="O432" s="11">
        <v>0.30886700749397278</v>
      </c>
      <c r="Q432" s="59">
        <v>15.45295898200826</v>
      </c>
      <c r="R432" s="78">
        <v>461.81212881823205</v>
      </c>
      <c r="S432" s="78">
        <v>15.479612796209054</v>
      </c>
      <c r="T432" s="78">
        <v>610.16917154232715</v>
      </c>
      <c r="U432" s="59">
        <v>15.495331163993409</v>
      </c>
      <c r="V432" s="78">
        <v>797.60050001009495</v>
      </c>
      <c r="X432" s="134">
        <f t="shared" si="42"/>
        <v>1544834.0860720079</v>
      </c>
      <c r="Y432" s="134">
        <f t="shared" si="43"/>
        <v>1547351.110449363</v>
      </c>
      <c r="Z432" s="134">
        <f t="shared" si="44"/>
        <v>1548735.5158993308</v>
      </c>
      <c r="AB432" s="127">
        <f t="shared" si="45"/>
        <v>0</v>
      </c>
      <c r="AC432" s="127">
        <f t="shared" si="46"/>
        <v>0</v>
      </c>
      <c r="AD432" s="127">
        <f t="shared" si="47"/>
        <v>1</v>
      </c>
    </row>
    <row r="433" spans="1:30" x14ac:dyDescent="0.25">
      <c r="A433">
        <v>428</v>
      </c>
      <c r="C433" s="11">
        <v>3.2232105731964111E-3</v>
      </c>
      <c r="D433" s="11">
        <v>2.6276767253875732E-2</v>
      </c>
      <c r="E433" s="11">
        <v>0.44874475422904964</v>
      </c>
      <c r="F433" s="11">
        <v>0.21977125329740502</v>
      </c>
      <c r="G433" s="11">
        <v>2.2544115781784058E-2</v>
      </c>
      <c r="H433" s="40">
        <v>4.5896808990292633E-4</v>
      </c>
      <c r="I433" s="40">
        <v>1.4888135010309929</v>
      </c>
      <c r="J433" s="59">
        <v>0</v>
      </c>
      <c r="K433" s="59">
        <v>3139.8981809616089</v>
      </c>
      <c r="L433" s="59">
        <v>0</v>
      </c>
      <c r="M433" s="11">
        <v>0.88436508178710938</v>
      </c>
      <c r="N433" s="11">
        <v>0.71821951866149902</v>
      </c>
      <c r="O433" s="11">
        <v>0.31529814004898071</v>
      </c>
      <c r="Q433" s="59">
        <v>15.479604681320358</v>
      </c>
      <c r="R433" s="78">
        <v>466.38767790866854</v>
      </c>
      <c r="S433" s="78">
        <v>15.52928678414135</v>
      </c>
      <c r="T433" s="78">
        <v>611.86173608339709</v>
      </c>
      <c r="U433" s="59">
        <v>15.550307945363908</v>
      </c>
      <c r="V433" s="78">
        <v>804.17203639378954</v>
      </c>
      <c r="X433" s="134">
        <f t="shared" si="42"/>
        <v>1547494.0804541272</v>
      </c>
      <c r="Y433" s="134">
        <f t="shared" si="43"/>
        <v>1552316.8166780516</v>
      </c>
      <c r="Z433" s="134">
        <f t="shared" si="44"/>
        <v>1554226.622499997</v>
      </c>
      <c r="AB433" s="127">
        <f t="shared" si="45"/>
        <v>0</v>
      </c>
      <c r="AC433" s="127">
        <f t="shared" si="46"/>
        <v>0</v>
      </c>
      <c r="AD433" s="127">
        <f t="shared" si="47"/>
        <v>1</v>
      </c>
    </row>
    <row r="434" spans="1:30" x14ac:dyDescent="0.25">
      <c r="A434">
        <v>429</v>
      </c>
      <c r="C434" s="11">
        <v>6.6682547330856323E-3</v>
      </c>
      <c r="D434" s="11">
        <v>1.9662976264953613E-3</v>
      </c>
      <c r="E434" s="11">
        <v>0.17362060170857108</v>
      </c>
      <c r="F434" s="11">
        <v>6.8483931071166876E-2</v>
      </c>
      <c r="G434" s="11">
        <v>4.0244936943054199E-2</v>
      </c>
      <c r="H434" s="40">
        <v>4.3522999314036967E-4</v>
      </c>
      <c r="I434" s="40">
        <v>1.5654150107935354</v>
      </c>
      <c r="J434" s="59">
        <v>0</v>
      </c>
      <c r="K434" s="59">
        <v>6209.8377384245396</v>
      </c>
      <c r="L434" s="59">
        <v>0</v>
      </c>
      <c r="M434" s="11">
        <v>0.83178305625915527</v>
      </c>
      <c r="N434" s="11">
        <v>0.73660564422607422</v>
      </c>
      <c r="O434" s="11">
        <v>0.28935050964355469</v>
      </c>
      <c r="Q434" s="59">
        <v>14.522341426522079</v>
      </c>
      <c r="R434" s="78">
        <v>580.58275112297463</v>
      </c>
      <c r="S434" s="78">
        <v>14.581481565223214</v>
      </c>
      <c r="T434" s="78">
        <v>612.08537479529332</v>
      </c>
      <c r="U434" s="59">
        <v>14.5892231477581</v>
      </c>
      <c r="V434" s="78">
        <v>801.08585519886265</v>
      </c>
      <c r="X434" s="134">
        <f t="shared" si="42"/>
        <v>1451653.559901085</v>
      </c>
      <c r="Y434" s="134">
        <f t="shared" si="43"/>
        <v>1457536.0711475261</v>
      </c>
      <c r="Z434" s="134">
        <f t="shared" si="44"/>
        <v>1458121.2289206111</v>
      </c>
      <c r="AB434" s="127">
        <f t="shared" si="45"/>
        <v>0</v>
      </c>
      <c r="AC434" s="127">
        <f t="shared" si="46"/>
        <v>0</v>
      </c>
      <c r="AD434" s="127">
        <f t="shared" si="47"/>
        <v>1</v>
      </c>
    </row>
    <row r="435" spans="1:30" x14ac:dyDescent="0.25">
      <c r="A435">
        <v>430</v>
      </c>
      <c r="C435" s="11">
        <v>1.3258397579193115E-2</v>
      </c>
      <c r="D435" s="11">
        <v>1.5529751777648926E-2</v>
      </c>
      <c r="E435" s="11">
        <v>0.26120462835426828</v>
      </c>
      <c r="F435" s="11">
        <v>0.16446995092986047</v>
      </c>
      <c r="G435" s="11">
        <v>5.1749944686889648E-2</v>
      </c>
      <c r="H435" s="40">
        <v>4.6857528286005834E-4</v>
      </c>
      <c r="I435" s="40">
        <v>1.5201328148269271</v>
      </c>
      <c r="J435" s="59">
        <v>0</v>
      </c>
      <c r="K435" s="59">
        <v>3574.5161585509777</v>
      </c>
      <c r="L435" s="59">
        <v>0</v>
      </c>
      <c r="M435" s="11">
        <v>0.86972707509994507</v>
      </c>
      <c r="N435" s="11">
        <v>0.74301797151565552</v>
      </c>
      <c r="O435" s="11">
        <v>0.28163832426071167</v>
      </c>
      <c r="Q435" s="59">
        <v>15.069866367648556</v>
      </c>
      <c r="R435" s="78">
        <v>500.13790090048201</v>
      </c>
      <c r="S435" s="78">
        <v>15.135103839698861</v>
      </c>
      <c r="T435" s="78">
        <v>607.20314784787524</v>
      </c>
      <c r="U435" s="59">
        <v>15.143843252845093</v>
      </c>
      <c r="V435" s="78">
        <v>805.79864098270889</v>
      </c>
      <c r="X435" s="134">
        <f t="shared" si="42"/>
        <v>1506486.498863955</v>
      </c>
      <c r="Y435" s="134">
        <f t="shared" si="43"/>
        <v>1512903.1808220381</v>
      </c>
      <c r="Z435" s="134">
        <f t="shared" si="44"/>
        <v>1513578.5266435265</v>
      </c>
      <c r="AB435" s="127">
        <f t="shared" si="45"/>
        <v>0</v>
      </c>
      <c r="AC435" s="127">
        <f t="shared" si="46"/>
        <v>0</v>
      </c>
      <c r="AD435" s="127">
        <f t="shared" si="47"/>
        <v>1</v>
      </c>
    </row>
    <row r="436" spans="1:30" x14ac:dyDescent="0.25">
      <c r="A436">
        <v>431</v>
      </c>
      <c r="C436" s="11">
        <v>2.246558666229248E-2</v>
      </c>
      <c r="D436" s="11">
        <v>3.2550513744354248E-2</v>
      </c>
      <c r="E436" s="11">
        <v>0.10140857813713575</v>
      </c>
      <c r="F436" s="11">
        <v>0.40664132391219665</v>
      </c>
      <c r="G436" s="11">
        <v>3.7005096673965454E-2</v>
      </c>
      <c r="H436" s="40">
        <v>4.9015018222702109E-4</v>
      </c>
      <c r="I436" s="40">
        <v>1.5389178482076795</v>
      </c>
      <c r="J436" s="59">
        <v>0</v>
      </c>
      <c r="K436" s="59">
        <v>3594.1088572144508</v>
      </c>
      <c r="L436" s="59">
        <v>0</v>
      </c>
      <c r="M436" s="11">
        <v>0.84824752807617188</v>
      </c>
      <c r="N436" s="11">
        <v>0.74789583683013916</v>
      </c>
      <c r="O436" s="11">
        <v>0.31524953246116638</v>
      </c>
      <c r="Q436" s="59">
        <v>14.559485355753118</v>
      </c>
      <c r="R436" s="78">
        <v>501.95770452031792</v>
      </c>
      <c r="S436" s="78">
        <v>14.637413819676901</v>
      </c>
      <c r="T436" s="78">
        <v>590.20998865727267</v>
      </c>
      <c r="U436" s="59">
        <v>14.610459331493811</v>
      </c>
      <c r="V436" s="78">
        <v>832.58887855495811</v>
      </c>
      <c r="X436" s="134">
        <f t="shared" si="42"/>
        <v>1455446.5778707915</v>
      </c>
      <c r="Y436" s="134">
        <f t="shared" si="43"/>
        <v>1463151.1719790327</v>
      </c>
      <c r="Z436" s="134">
        <f t="shared" si="44"/>
        <v>1460213.3442708261</v>
      </c>
      <c r="AB436" s="127">
        <f t="shared" si="45"/>
        <v>0</v>
      </c>
      <c r="AC436" s="127">
        <f t="shared" si="46"/>
        <v>1</v>
      </c>
      <c r="AD436" s="127">
        <f t="shared" si="47"/>
        <v>0</v>
      </c>
    </row>
    <row r="437" spans="1:30" x14ac:dyDescent="0.25">
      <c r="A437">
        <v>432</v>
      </c>
      <c r="C437" s="11">
        <v>1.0543689131736755E-2</v>
      </c>
      <c r="D437" s="11">
        <v>1.1005029082298279E-2</v>
      </c>
      <c r="E437" s="11">
        <v>0.19586864702736395</v>
      </c>
      <c r="F437" s="11">
        <v>0.13871722652811577</v>
      </c>
      <c r="G437" s="11">
        <v>9.5096826553344727E-3</v>
      </c>
      <c r="H437" s="40">
        <v>5.4626424175934472E-4</v>
      </c>
      <c r="I437" s="40">
        <v>1.5395847786544594</v>
      </c>
      <c r="J437" s="59">
        <v>0</v>
      </c>
      <c r="K437" s="59">
        <v>4869.9905164539814</v>
      </c>
      <c r="L437" s="59">
        <v>0</v>
      </c>
      <c r="M437" s="11">
        <v>0.84779912233352661</v>
      </c>
      <c r="N437" s="11">
        <v>0.74838602542877197</v>
      </c>
      <c r="O437" s="11">
        <v>0.2566986083984375</v>
      </c>
      <c r="Q437" s="59">
        <v>14.732488978243399</v>
      </c>
      <c r="R437" s="78">
        <v>535.44977657421259</v>
      </c>
      <c r="S437" s="78">
        <v>14.800190140472662</v>
      </c>
      <c r="T437" s="78">
        <v>607.38933412134122</v>
      </c>
      <c r="U437" s="59">
        <v>14.805149813694797</v>
      </c>
      <c r="V437" s="78">
        <v>808.14103828503789</v>
      </c>
      <c r="X437" s="134">
        <f t="shared" si="42"/>
        <v>1472713.4480477658</v>
      </c>
      <c r="Y437" s="134">
        <f t="shared" si="43"/>
        <v>1479411.624713145</v>
      </c>
      <c r="Z437" s="134">
        <f t="shared" si="44"/>
        <v>1479706.8403311947</v>
      </c>
      <c r="AB437" s="127">
        <f t="shared" si="45"/>
        <v>0</v>
      </c>
      <c r="AC437" s="127">
        <f t="shared" si="46"/>
        <v>0</v>
      </c>
      <c r="AD437" s="127">
        <f t="shared" si="47"/>
        <v>1</v>
      </c>
    </row>
    <row r="438" spans="1:30" x14ac:dyDescent="0.25">
      <c r="A438">
        <v>433</v>
      </c>
      <c r="C438" s="11">
        <v>9.2935562133789063E-4</v>
      </c>
      <c r="D438" s="11">
        <v>2.0636752247810364E-2</v>
      </c>
      <c r="E438" s="11">
        <v>0.20821621440936142</v>
      </c>
      <c r="F438" s="11">
        <v>7.2830923214937601E-2</v>
      </c>
      <c r="G438" s="11">
        <v>2.7482181787490845E-2</v>
      </c>
      <c r="H438" s="40">
        <v>5.9967760114140842E-4</v>
      </c>
      <c r="I438" s="40">
        <v>1.4113086610411478</v>
      </c>
      <c r="J438" s="59">
        <v>0</v>
      </c>
      <c r="K438" s="59">
        <v>8275.2760499715805</v>
      </c>
      <c r="L438" s="59">
        <v>0</v>
      </c>
      <c r="M438" s="11">
        <v>0.83063006401062012</v>
      </c>
      <c r="N438" s="11">
        <v>0.75963383913040161</v>
      </c>
      <c r="O438" s="11">
        <v>0.30028975009918213</v>
      </c>
      <c r="Q438" s="59">
        <v>14.600354473303192</v>
      </c>
      <c r="R438" s="78">
        <v>598.70561909179582</v>
      </c>
      <c r="S438" s="78">
        <v>14.645970384874019</v>
      </c>
      <c r="T438" s="78">
        <v>622.33171625968305</v>
      </c>
      <c r="U438" s="59">
        <v>14.653949128403715</v>
      </c>
      <c r="V438" s="78">
        <v>803.19993093071116</v>
      </c>
      <c r="X438" s="134">
        <f t="shared" si="42"/>
        <v>1459436.7417112272</v>
      </c>
      <c r="Y438" s="134">
        <f t="shared" si="43"/>
        <v>1463974.7067711421</v>
      </c>
      <c r="Z438" s="134">
        <f t="shared" si="44"/>
        <v>1464591.7129094407</v>
      </c>
      <c r="AB438" s="127">
        <f t="shared" si="45"/>
        <v>0</v>
      </c>
      <c r="AC438" s="127">
        <f t="shared" si="46"/>
        <v>0</v>
      </c>
      <c r="AD438" s="127">
        <f t="shared" si="47"/>
        <v>1</v>
      </c>
    </row>
    <row r="439" spans="1:30" x14ac:dyDescent="0.25">
      <c r="A439">
        <v>434</v>
      </c>
      <c r="C439" s="11">
        <v>1.0409295558929443E-2</v>
      </c>
      <c r="D439" s="11">
        <v>1.7119705677032471E-2</v>
      </c>
      <c r="E439" s="11">
        <v>0.19991563403762444</v>
      </c>
      <c r="F439" s="11">
        <v>0.14743289868973014</v>
      </c>
      <c r="G439" s="11">
        <v>4.5397073030471802E-2</v>
      </c>
      <c r="H439" s="40">
        <v>5.2077035573821703E-4</v>
      </c>
      <c r="I439" s="40">
        <v>1.4367402237731297</v>
      </c>
      <c r="J439" s="59">
        <v>0</v>
      </c>
      <c r="K439" s="59">
        <v>3627.6387982070446</v>
      </c>
      <c r="L439" s="59">
        <v>0</v>
      </c>
      <c r="M439" s="11">
        <v>0.79053544998168945</v>
      </c>
      <c r="N439" s="11">
        <v>0.75931578874588013</v>
      </c>
      <c r="O439" s="11">
        <v>0.31174039840698242</v>
      </c>
      <c r="Q439" s="59">
        <v>13.778097741772266</v>
      </c>
      <c r="R439" s="78">
        <v>485.53319526623841</v>
      </c>
      <c r="S439" s="78">
        <v>13.810134280265391</v>
      </c>
      <c r="T439" s="78">
        <v>597.58543326342658</v>
      </c>
      <c r="U439" s="59">
        <v>13.812278865209562</v>
      </c>
      <c r="V439" s="78">
        <v>801.72037859285808</v>
      </c>
      <c r="X439" s="134">
        <f t="shared" si="42"/>
        <v>1377324.2409819602</v>
      </c>
      <c r="Y439" s="134">
        <f t="shared" si="43"/>
        <v>1380415.8425932757</v>
      </c>
      <c r="Z439" s="134">
        <f t="shared" si="44"/>
        <v>1380426.1661423633</v>
      </c>
      <c r="AB439" s="127">
        <f t="shared" si="45"/>
        <v>0</v>
      </c>
      <c r="AC439" s="127">
        <f t="shared" si="46"/>
        <v>0</v>
      </c>
      <c r="AD439" s="127">
        <f t="shared" si="47"/>
        <v>1</v>
      </c>
    </row>
    <row r="440" spans="1:30" x14ac:dyDescent="0.25">
      <c r="A440">
        <v>435</v>
      </c>
      <c r="C440" s="11">
        <v>1.7254248261451721E-2</v>
      </c>
      <c r="D440" s="11">
        <v>2.2154286503791809E-2</v>
      </c>
      <c r="E440" s="11">
        <v>0.31737220812693367</v>
      </c>
      <c r="F440" s="11">
        <v>0.19394135178211122</v>
      </c>
      <c r="G440" s="11">
        <v>7.6308608055114746E-2</v>
      </c>
      <c r="H440" s="40">
        <v>4.231617638053038E-4</v>
      </c>
      <c r="I440" s="40">
        <v>1.5068426668838826</v>
      </c>
      <c r="J440" s="59">
        <v>0</v>
      </c>
      <c r="K440" s="59">
        <v>5781.250074505806</v>
      </c>
      <c r="L440" s="59">
        <v>0</v>
      </c>
      <c r="M440" s="11">
        <v>0.9033048152923584</v>
      </c>
      <c r="N440" s="11">
        <v>0.79357528686523438</v>
      </c>
      <c r="O440" s="11">
        <v>0.26344680786132813</v>
      </c>
      <c r="Q440" s="59">
        <v>15.598523440560228</v>
      </c>
      <c r="R440" s="78">
        <v>559.1295760303459</v>
      </c>
      <c r="S440" s="78">
        <v>15.653920863195028</v>
      </c>
      <c r="T440" s="78">
        <v>632.11564425732081</v>
      </c>
      <c r="U440" s="59">
        <v>15.66413009992117</v>
      </c>
      <c r="V440" s="78">
        <v>820.53760201730881</v>
      </c>
      <c r="X440" s="134">
        <f t="shared" si="42"/>
        <v>1559293.2144799924</v>
      </c>
      <c r="Y440" s="134">
        <f t="shared" si="43"/>
        <v>1564759.9706752454</v>
      </c>
      <c r="Z440" s="134">
        <f t="shared" si="44"/>
        <v>1565592.4723900997</v>
      </c>
      <c r="AB440" s="127">
        <f t="shared" si="45"/>
        <v>0</v>
      </c>
      <c r="AC440" s="127">
        <f t="shared" si="46"/>
        <v>0</v>
      </c>
      <c r="AD440" s="127">
        <f t="shared" si="47"/>
        <v>1</v>
      </c>
    </row>
    <row r="441" spans="1:30" x14ac:dyDescent="0.25">
      <c r="A441">
        <v>436</v>
      </c>
      <c r="C441" s="11">
        <v>3.4130454063415527E-2</v>
      </c>
      <c r="D441" s="11">
        <v>1.5064254403114319E-2</v>
      </c>
      <c r="E441" s="11">
        <v>0.21854373873468635</v>
      </c>
      <c r="F441" s="11">
        <v>0.60998898555136072</v>
      </c>
      <c r="G441" s="11">
        <v>4.5060217380523682E-2</v>
      </c>
      <c r="H441" s="40">
        <v>4.9438834940205634E-4</v>
      </c>
      <c r="I441" s="40">
        <v>1.2852054547173934</v>
      </c>
      <c r="J441" s="59">
        <v>0</v>
      </c>
      <c r="K441" s="59">
        <v>6024.3811458349228</v>
      </c>
      <c r="L441" s="59">
        <v>0</v>
      </c>
      <c r="M441" s="11">
        <v>0.87734997272491455</v>
      </c>
      <c r="N441" s="11">
        <v>0.6075897216796875</v>
      </c>
      <c r="O441" s="11">
        <v>0.29976391792297363</v>
      </c>
      <c r="Q441" s="59">
        <v>14.896030769379113</v>
      </c>
      <c r="R441" s="78">
        <v>485.13306943685973</v>
      </c>
      <c r="S441" s="78">
        <v>14.952289519243907</v>
      </c>
      <c r="T441" s="78">
        <v>599.08712908985399</v>
      </c>
      <c r="U441" s="59">
        <v>14.923975136634896</v>
      </c>
      <c r="V441" s="78">
        <v>843.82686343745331</v>
      </c>
      <c r="X441" s="134">
        <f t="shared" si="42"/>
        <v>1489117.9438684746</v>
      </c>
      <c r="Y441" s="134">
        <f t="shared" si="43"/>
        <v>1494629.8647953009</v>
      </c>
      <c r="Z441" s="134">
        <f t="shared" si="44"/>
        <v>1491553.6868000522</v>
      </c>
      <c r="AB441" s="127">
        <f t="shared" si="45"/>
        <v>0</v>
      </c>
      <c r="AC441" s="127">
        <f t="shared" si="46"/>
        <v>1</v>
      </c>
      <c r="AD441" s="127">
        <f t="shared" si="47"/>
        <v>0</v>
      </c>
    </row>
    <row r="442" spans="1:30" x14ac:dyDescent="0.25">
      <c r="A442">
        <v>437</v>
      </c>
      <c r="C442" s="11">
        <v>5.4597139358520508E-2</v>
      </c>
      <c r="D442" s="11">
        <v>1.9704729318618774E-2</v>
      </c>
      <c r="E442" s="11">
        <v>0.17145573610793158</v>
      </c>
      <c r="F442" s="11">
        <v>0.1927709657915587</v>
      </c>
      <c r="G442" s="11">
        <v>1.879584789276123E-2</v>
      </c>
      <c r="H442" s="40">
        <v>5.9123446787440431E-4</v>
      </c>
      <c r="I442" s="40">
        <v>1.3148640019268392</v>
      </c>
      <c r="J442" s="59">
        <v>0</v>
      </c>
      <c r="K442" s="59">
        <v>6945.5849006772041</v>
      </c>
      <c r="L442" s="59">
        <v>0</v>
      </c>
      <c r="M442" s="11">
        <v>0.87958139181137085</v>
      </c>
      <c r="N442" s="11">
        <v>0.72114253044128418</v>
      </c>
      <c r="O442" s="11">
        <v>0.26737332344055176</v>
      </c>
      <c r="Q442" s="59">
        <v>14.624504569127247</v>
      </c>
      <c r="R442" s="78">
        <v>509.47678544404533</v>
      </c>
      <c r="S442" s="78">
        <v>14.677212870057637</v>
      </c>
      <c r="T442" s="78">
        <v>599.04443715533193</v>
      </c>
      <c r="U442" s="59">
        <v>14.675838589878303</v>
      </c>
      <c r="V442" s="78">
        <v>810.52917349883512</v>
      </c>
      <c r="X442" s="134">
        <f t="shared" si="42"/>
        <v>1461940.9801272808</v>
      </c>
      <c r="Y442" s="134">
        <f t="shared" si="43"/>
        <v>1467122.2425686084</v>
      </c>
      <c r="Z442" s="134">
        <f t="shared" si="44"/>
        <v>1466773.3298143316</v>
      </c>
      <c r="AB442" s="127">
        <f t="shared" si="45"/>
        <v>0</v>
      </c>
      <c r="AC442" s="127">
        <f t="shared" si="46"/>
        <v>1</v>
      </c>
      <c r="AD442" s="127">
        <f t="shared" si="47"/>
        <v>0</v>
      </c>
    </row>
    <row r="443" spans="1:30" x14ac:dyDescent="0.25">
      <c r="A443">
        <v>438</v>
      </c>
      <c r="C443" s="11">
        <v>4.6733170747756958E-3</v>
      </c>
      <c r="D443" s="11">
        <v>2.8444975614547729E-2</v>
      </c>
      <c r="E443" s="11">
        <v>0.34963706945716111</v>
      </c>
      <c r="F443" s="11">
        <v>0.32508821329210974</v>
      </c>
      <c r="G443" s="11">
        <v>4.7737777233123779E-2</v>
      </c>
      <c r="H443" s="40">
        <v>4.8839929890157172E-4</v>
      </c>
      <c r="I443" s="40">
        <v>1.5189306369032141</v>
      </c>
      <c r="J443" s="59">
        <v>0</v>
      </c>
      <c r="K443" s="59">
        <v>4892.9126933217049</v>
      </c>
      <c r="L443" s="59">
        <v>0</v>
      </c>
      <c r="M443" s="11">
        <v>0.86181759834289551</v>
      </c>
      <c r="N443" s="11">
        <v>0.7266082763671875</v>
      </c>
      <c r="O443" s="11">
        <v>0.27055758237838745</v>
      </c>
      <c r="Q443" s="59">
        <v>15.050845041507676</v>
      </c>
      <c r="R443" s="78">
        <v>542.60642818329757</v>
      </c>
      <c r="S443" s="78">
        <v>15.115749282626279</v>
      </c>
      <c r="T443" s="78">
        <v>631.781120194967</v>
      </c>
      <c r="U443" s="59">
        <v>15.118246123412622</v>
      </c>
      <c r="V443" s="78">
        <v>837.10455913012015</v>
      </c>
      <c r="X443" s="134">
        <f t="shared" si="42"/>
        <v>1504541.8977225842</v>
      </c>
      <c r="Y443" s="134">
        <f t="shared" si="43"/>
        <v>1510943.1471424329</v>
      </c>
      <c r="Z443" s="134">
        <f t="shared" si="44"/>
        <v>1510987.5077821321</v>
      </c>
      <c r="AB443" s="127">
        <f t="shared" si="45"/>
        <v>0</v>
      </c>
      <c r="AC443" s="127">
        <f t="shared" si="46"/>
        <v>0</v>
      </c>
      <c r="AD443" s="127">
        <f t="shared" si="47"/>
        <v>1</v>
      </c>
    </row>
    <row r="444" spans="1:30" x14ac:dyDescent="0.25">
      <c r="A444">
        <v>439</v>
      </c>
      <c r="C444" s="11">
        <v>1.0143280029296875E-2</v>
      </c>
      <c r="D444" s="11">
        <v>1.0067775845527649E-2</v>
      </c>
      <c r="E444" s="11">
        <v>0.22946451226566678</v>
      </c>
      <c r="F444" s="11">
        <v>0.18845155914309908</v>
      </c>
      <c r="G444" s="11">
        <v>3.0035167932510376E-2</v>
      </c>
      <c r="H444" s="40">
        <v>4.8900664333503352E-4</v>
      </c>
      <c r="I444" s="40">
        <v>1.4536595099783405</v>
      </c>
      <c r="J444" s="59">
        <v>0</v>
      </c>
      <c r="K444" s="59">
        <v>5120.2299073338509</v>
      </c>
      <c r="L444" s="59">
        <v>0</v>
      </c>
      <c r="M444" s="11">
        <v>0.8516419529914856</v>
      </c>
      <c r="N444" s="11">
        <v>0.7572130560874939</v>
      </c>
      <c r="O444" s="11">
        <v>0.38028144836425781</v>
      </c>
      <c r="Q444" s="59">
        <v>14.835035686617097</v>
      </c>
      <c r="R444" s="78">
        <v>511.93805668187167</v>
      </c>
      <c r="S444" s="78">
        <v>14.877515521758536</v>
      </c>
      <c r="T444" s="78">
        <v>606.4752941897649</v>
      </c>
      <c r="U444" s="59">
        <v>14.879818790907661</v>
      </c>
      <c r="V444" s="78">
        <v>810.58285274693549</v>
      </c>
      <c r="X444" s="134">
        <f t="shared" si="42"/>
        <v>1482991.630605028</v>
      </c>
      <c r="Y444" s="134">
        <f t="shared" si="43"/>
        <v>1487145.0768816639</v>
      </c>
      <c r="Z444" s="134">
        <f t="shared" si="44"/>
        <v>1487171.2962380194</v>
      </c>
      <c r="AB444" s="127">
        <f t="shared" si="45"/>
        <v>0</v>
      </c>
      <c r="AC444" s="127">
        <f t="shared" si="46"/>
        <v>0</v>
      </c>
      <c r="AD444" s="127">
        <f t="shared" si="47"/>
        <v>1</v>
      </c>
    </row>
    <row r="445" spans="1:30" x14ac:dyDescent="0.25">
      <c r="A445">
        <v>440</v>
      </c>
      <c r="C445" s="11">
        <v>1.1054277420043945E-3</v>
      </c>
      <c r="D445" s="11">
        <v>1.6465634107589722E-2</v>
      </c>
      <c r="E445" s="11">
        <v>0.13892020595904081</v>
      </c>
      <c r="F445" s="11">
        <v>0.19207352682361725</v>
      </c>
      <c r="G445" s="11">
        <v>2.3807317018508911E-2</v>
      </c>
      <c r="H445" s="40">
        <v>4.3087494803070037E-4</v>
      </c>
      <c r="I445" s="40">
        <v>1.423702143131615</v>
      </c>
      <c r="J445" s="59">
        <v>0</v>
      </c>
      <c r="K445" s="59">
        <v>4894.2724242806435</v>
      </c>
      <c r="L445" s="59">
        <v>0</v>
      </c>
      <c r="M445" s="11">
        <v>0.90164947509765625</v>
      </c>
      <c r="N445" s="11">
        <v>0.71089410781860352</v>
      </c>
      <c r="O445" s="11">
        <v>0.28420621156692505</v>
      </c>
      <c r="Q445" s="59">
        <v>15.831793209062551</v>
      </c>
      <c r="R445" s="78">
        <v>482.865390056997</v>
      </c>
      <c r="S445" s="78">
        <v>15.897895650004491</v>
      </c>
      <c r="T445" s="78">
        <v>591.51366492459078</v>
      </c>
      <c r="U445" s="59">
        <v>15.893756630306198</v>
      </c>
      <c r="V445" s="78">
        <v>805.28706696656388</v>
      </c>
      <c r="X445" s="134">
        <f t="shared" si="42"/>
        <v>1582696.4555161982</v>
      </c>
      <c r="Y445" s="134">
        <f t="shared" si="43"/>
        <v>1589198.0513355245</v>
      </c>
      <c r="Z445" s="134">
        <f t="shared" si="44"/>
        <v>1588570.3759636532</v>
      </c>
      <c r="AB445" s="127">
        <f t="shared" si="45"/>
        <v>0</v>
      </c>
      <c r="AC445" s="127">
        <f t="shared" si="46"/>
        <v>1</v>
      </c>
      <c r="AD445" s="127">
        <f t="shared" si="47"/>
        <v>0</v>
      </c>
    </row>
    <row r="446" spans="1:30" x14ac:dyDescent="0.25">
      <c r="A446">
        <v>441</v>
      </c>
      <c r="C446" s="11">
        <v>3.7749171257019043E-2</v>
      </c>
      <c r="D446" s="11">
        <v>1.2168526649475098E-2</v>
      </c>
      <c r="E446" s="11">
        <v>0.12027185591258224</v>
      </c>
      <c r="F446" s="11">
        <v>0.28579357637505542</v>
      </c>
      <c r="G446" s="11">
        <v>4.1454106569290161E-2</v>
      </c>
      <c r="H446" s="40">
        <v>5.2790870570298943E-4</v>
      </c>
      <c r="I446" s="40">
        <v>1.4543727303218725</v>
      </c>
      <c r="J446" s="59">
        <v>0</v>
      </c>
      <c r="K446" s="59">
        <v>4821.200855076313</v>
      </c>
      <c r="L446" s="59">
        <v>0</v>
      </c>
      <c r="M446" s="11">
        <v>0.85743114352226257</v>
      </c>
      <c r="N446" s="11">
        <v>0.80337560176849365</v>
      </c>
      <c r="O446" s="11">
        <v>0.31089532375335693</v>
      </c>
      <c r="Q446" s="59">
        <v>14.522735557550874</v>
      </c>
      <c r="R446" s="78">
        <v>517.79879134112912</v>
      </c>
      <c r="S446" s="78">
        <v>14.567325511509887</v>
      </c>
      <c r="T446" s="78">
        <v>594.167272749468</v>
      </c>
      <c r="U446" s="59">
        <v>14.558782019592559</v>
      </c>
      <c r="V446" s="78">
        <v>823.91499581301741</v>
      </c>
      <c r="X446" s="134">
        <f t="shared" si="42"/>
        <v>1451755.7569637464</v>
      </c>
      <c r="Y446" s="134">
        <f t="shared" si="43"/>
        <v>1456138.3838782394</v>
      </c>
      <c r="Z446" s="134">
        <f t="shared" si="44"/>
        <v>1455054.2869634428</v>
      </c>
      <c r="AB446" s="127">
        <f t="shared" si="45"/>
        <v>0</v>
      </c>
      <c r="AC446" s="127">
        <f t="shared" si="46"/>
        <v>1</v>
      </c>
      <c r="AD446" s="127">
        <f t="shared" si="47"/>
        <v>0</v>
      </c>
    </row>
    <row r="447" spans="1:30" x14ac:dyDescent="0.25">
      <c r="A447">
        <v>442</v>
      </c>
      <c r="C447" s="11">
        <v>1.831364631652832E-2</v>
      </c>
      <c r="D447" s="11">
        <v>1.2735247611999512E-2</v>
      </c>
      <c r="E447" s="11">
        <v>0.45148921294262923</v>
      </c>
      <c r="F447" s="11">
        <v>0.16313416864975697</v>
      </c>
      <c r="G447" s="11">
        <v>0.10814476013183594</v>
      </c>
      <c r="H447" s="40">
        <v>6.0892893101514183E-4</v>
      </c>
      <c r="I447" s="40">
        <v>1.4811439651685805</v>
      </c>
      <c r="J447" s="59">
        <v>0</v>
      </c>
      <c r="K447" s="59">
        <v>5341.4702415466309</v>
      </c>
      <c r="L447" s="59">
        <v>0</v>
      </c>
      <c r="M447" s="11">
        <v>0.87052106857299805</v>
      </c>
      <c r="N447" s="11">
        <v>0.78921204805374146</v>
      </c>
      <c r="O447" s="11">
        <v>0.29230603575706482</v>
      </c>
      <c r="Q447" s="59">
        <v>15.002095406201153</v>
      </c>
      <c r="R447" s="78">
        <v>622.52539118414131</v>
      </c>
      <c r="S447" s="78">
        <v>15.052293238605429</v>
      </c>
      <c r="T447" s="78">
        <v>683.61359305965857</v>
      </c>
      <c r="U447" s="59">
        <v>15.07937644218384</v>
      </c>
      <c r="V447" s="78">
        <v>826.077971183204</v>
      </c>
      <c r="X447" s="134">
        <f t="shared" si="42"/>
        <v>1499587.0152289313</v>
      </c>
      <c r="Y447" s="134">
        <f t="shared" si="43"/>
        <v>1504545.7102674833</v>
      </c>
      <c r="Z447" s="134">
        <f t="shared" si="44"/>
        <v>1507111.5662472008</v>
      </c>
      <c r="AB447" s="127">
        <f t="shared" si="45"/>
        <v>0</v>
      </c>
      <c r="AC447" s="127">
        <f t="shared" si="46"/>
        <v>0</v>
      </c>
      <c r="AD447" s="127">
        <f t="shared" si="47"/>
        <v>1</v>
      </c>
    </row>
    <row r="448" spans="1:30" x14ac:dyDescent="0.25">
      <c r="A448">
        <v>443</v>
      </c>
      <c r="C448" s="11">
        <v>2.2326737642288208E-2</v>
      </c>
      <c r="D448" s="11">
        <v>1.4665320515632629E-2</v>
      </c>
      <c r="E448" s="11">
        <v>0.25750578724881851</v>
      </c>
      <c r="F448" s="11">
        <v>9.0742829588696505E-2</v>
      </c>
      <c r="G448" s="11">
        <v>3.5825341939926147E-2</v>
      </c>
      <c r="H448" s="40">
        <v>7.5129005376281793E-4</v>
      </c>
      <c r="I448" s="40">
        <v>1.421834111979378</v>
      </c>
      <c r="J448" s="59">
        <v>0</v>
      </c>
      <c r="K448" s="59">
        <v>3981.422632932663</v>
      </c>
      <c r="L448" s="59">
        <v>0</v>
      </c>
      <c r="M448" s="11">
        <v>0.85592049360275269</v>
      </c>
      <c r="N448" s="11">
        <v>0.83870315551757813</v>
      </c>
      <c r="O448" s="11">
        <v>0.28679996728897095</v>
      </c>
      <c r="Q448" s="59">
        <v>14.729847437493659</v>
      </c>
      <c r="R448" s="78">
        <v>523.69298254246041</v>
      </c>
      <c r="S448" s="78">
        <v>14.767546024223536</v>
      </c>
      <c r="T448" s="78">
        <v>613.06591879207156</v>
      </c>
      <c r="U448" s="59">
        <v>14.776276454115365</v>
      </c>
      <c r="V448" s="78">
        <v>800.05870710900592</v>
      </c>
      <c r="X448" s="134">
        <f t="shared" si="42"/>
        <v>1472461.0507668233</v>
      </c>
      <c r="Y448" s="134">
        <f t="shared" si="43"/>
        <v>1476141.5365035615</v>
      </c>
      <c r="Z448" s="134">
        <f t="shared" si="44"/>
        <v>1476827.5867044276</v>
      </c>
      <c r="AB448" s="127">
        <f t="shared" si="45"/>
        <v>0</v>
      </c>
      <c r="AC448" s="127">
        <f t="shared" si="46"/>
        <v>0</v>
      </c>
      <c r="AD448" s="127">
        <f t="shared" si="47"/>
        <v>1</v>
      </c>
    </row>
    <row r="449" spans="1:30" x14ac:dyDescent="0.25">
      <c r="A449">
        <v>444</v>
      </c>
      <c r="C449" s="11">
        <v>1.324068009853363E-2</v>
      </c>
      <c r="D449" s="11">
        <v>2.7685731649398804E-2</v>
      </c>
      <c r="E449" s="11">
        <v>0.23188791024739322</v>
      </c>
      <c r="F449" s="11">
        <v>0.36369326493356408</v>
      </c>
      <c r="G449" s="11">
        <v>3.0173748731613159E-2</v>
      </c>
      <c r="H449" s="40">
        <v>3.9798093384470895E-4</v>
      </c>
      <c r="I449" s="40">
        <v>1.4618633438470412</v>
      </c>
      <c r="J449" s="59">
        <v>0</v>
      </c>
      <c r="K449" s="59">
        <v>8787.9598140716553</v>
      </c>
      <c r="L449" s="59">
        <v>0</v>
      </c>
      <c r="M449" s="11">
        <v>0.84133273363113403</v>
      </c>
      <c r="N449" s="11">
        <v>0.71022605895996094</v>
      </c>
      <c r="O449" s="11">
        <v>0.30969870090484619</v>
      </c>
      <c r="Q449" s="59">
        <v>14.601390953936248</v>
      </c>
      <c r="R449" s="78">
        <v>562.27720475888691</v>
      </c>
      <c r="S449" s="78">
        <v>14.649406165547514</v>
      </c>
      <c r="T449" s="78">
        <v>618.51880959211292</v>
      </c>
      <c r="U449" s="59">
        <v>14.641067886557071</v>
      </c>
      <c r="V449" s="78">
        <v>849.84618096840597</v>
      </c>
      <c r="X449" s="134">
        <f t="shared" si="42"/>
        <v>1459576.8181888659</v>
      </c>
      <c r="Y449" s="134">
        <f t="shared" si="43"/>
        <v>1464322.0977451594</v>
      </c>
      <c r="Z449" s="134">
        <f t="shared" si="44"/>
        <v>1463256.9424747387</v>
      </c>
      <c r="AB449" s="127">
        <f t="shared" si="45"/>
        <v>0</v>
      </c>
      <c r="AC449" s="127">
        <f t="shared" si="46"/>
        <v>1</v>
      </c>
      <c r="AD449" s="127">
        <f t="shared" si="47"/>
        <v>0</v>
      </c>
    </row>
    <row r="450" spans="1:30" x14ac:dyDescent="0.25">
      <c r="A450">
        <v>445</v>
      </c>
      <c r="C450" s="11">
        <v>1.1858642101287842E-2</v>
      </c>
      <c r="D450" s="11">
        <v>2.9930472373962402E-3</v>
      </c>
      <c r="E450" s="11">
        <v>0.22202531660127792</v>
      </c>
      <c r="F450" s="11">
        <v>0.33485318940579972</v>
      </c>
      <c r="G450" s="11">
        <v>4.5099556446075439E-2</v>
      </c>
      <c r="H450" s="40">
        <v>3.8216830825329144E-4</v>
      </c>
      <c r="I450" s="40">
        <v>1.6007936507849212</v>
      </c>
      <c r="J450" s="59">
        <v>0</v>
      </c>
      <c r="K450" s="59">
        <v>6258.813664317131</v>
      </c>
      <c r="L450" s="59">
        <v>0</v>
      </c>
      <c r="M450" s="11">
        <v>0.85349780321121216</v>
      </c>
      <c r="N450" s="11">
        <v>0.71867400407791138</v>
      </c>
      <c r="O450" s="11">
        <v>0.28048551082611084</v>
      </c>
      <c r="Q450" s="59">
        <v>14.808563302951482</v>
      </c>
      <c r="R450" s="78">
        <v>580.75651691990311</v>
      </c>
      <c r="S450" s="78">
        <v>14.876939121531828</v>
      </c>
      <c r="T450" s="78">
        <v>621.28777091738232</v>
      </c>
      <c r="U450" s="59">
        <v>14.866824168717923</v>
      </c>
      <c r="V450" s="78">
        <v>851.59440269438676</v>
      </c>
      <c r="X450" s="134">
        <f t="shared" si="42"/>
        <v>1480275.5737782284</v>
      </c>
      <c r="Y450" s="134">
        <f t="shared" si="43"/>
        <v>1487072.6243822654</v>
      </c>
      <c r="Z450" s="134">
        <f t="shared" si="44"/>
        <v>1485830.8224690978</v>
      </c>
      <c r="AB450" s="127">
        <f t="shared" si="45"/>
        <v>0</v>
      </c>
      <c r="AC450" s="127">
        <f t="shared" si="46"/>
        <v>1</v>
      </c>
      <c r="AD450" s="127">
        <f t="shared" si="47"/>
        <v>0</v>
      </c>
    </row>
    <row r="451" spans="1:30" x14ac:dyDescent="0.25">
      <c r="A451">
        <v>446</v>
      </c>
      <c r="C451" s="11">
        <v>3.0284643173217773E-2</v>
      </c>
      <c r="D451" s="11">
        <v>3.0819237232208252E-2</v>
      </c>
      <c r="E451" s="11">
        <v>0.23720598603617177</v>
      </c>
      <c r="F451" s="11">
        <v>0.28238249562361595</v>
      </c>
      <c r="G451" s="11">
        <v>2.9080122709274292E-2</v>
      </c>
      <c r="H451" s="40">
        <v>3.9368695660382401E-4</v>
      </c>
      <c r="I451" s="40">
        <v>1.4854488874166487</v>
      </c>
      <c r="J451" s="59">
        <v>0</v>
      </c>
      <c r="K451" s="59">
        <v>5513.1549015641212</v>
      </c>
      <c r="L451" s="59">
        <v>0</v>
      </c>
      <c r="M451" s="11">
        <v>0.88267409801483154</v>
      </c>
      <c r="N451" s="11">
        <v>0.63386917114257813</v>
      </c>
      <c r="O451" s="11">
        <v>0.33170390129089355</v>
      </c>
      <c r="Q451" s="59">
        <v>15.01943342441338</v>
      </c>
      <c r="R451" s="78">
        <v>503.15302396888865</v>
      </c>
      <c r="S451" s="78">
        <v>15.09503286995583</v>
      </c>
      <c r="T451" s="78">
        <v>605.24430430061443</v>
      </c>
      <c r="U451" s="59">
        <v>15.090491968715881</v>
      </c>
      <c r="V451" s="78">
        <v>819.21744801854481</v>
      </c>
      <c r="X451" s="134">
        <f t="shared" si="42"/>
        <v>1501440.1894173692</v>
      </c>
      <c r="Y451" s="134">
        <f t="shared" si="43"/>
        <v>1508898.0426912825</v>
      </c>
      <c r="Z451" s="134">
        <f t="shared" si="44"/>
        <v>1508229.9794235695</v>
      </c>
      <c r="AB451" s="127">
        <f t="shared" si="45"/>
        <v>0</v>
      </c>
      <c r="AC451" s="127">
        <f t="shared" si="46"/>
        <v>1</v>
      </c>
      <c r="AD451" s="127">
        <f t="shared" si="47"/>
        <v>0</v>
      </c>
    </row>
    <row r="452" spans="1:30" x14ac:dyDescent="0.25">
      <c r="A452">
        <v>447</v>
      </c>
      <c r="C452" s="11">
        <v>9.0482234954833984E-3</v>
      </c>
      <c r="D452" s="11">
        <v>2.1470904350280762E-2</v>
      </c>
      <c r="E452" s="11">
        <v>0.396853326457067</v>
      </c>
      <c r="F452" s="11">
        <v>0.20975009227342248</v>
      </c>
      <c r="G452" s="11">
        <v>4.8389315605163574E-2</v>
      </c>
      <c r="H452" s="40">
        <v>4.5803743617798989E-4</v>
      </c>
      <c r="I452" s="40">
        <v>1.4478451028326533</v>
      </c>
      <c r="J452" s="59">
        <v>0</v>
      </c>
      <c r="K452" s="59">
        <v>6181.1530031263828</v>
      </c>
      <c r="L452" s="59">
        <v>0</v>
      </c>
      <c r="M452" s="11">
        <v>0.83845239877700806</v>
      </c>
      <c r="N452" s="11">
        <v>0.7588229775428772</v>
      </c>
      <c r="O452" s="11">
        <v>0.32410037517547607</v>
      </c>
      <c r="Q452" s="59">
        <v>14.62142178953815</v>
      </c>
      <c r="R452" s="78">
        <v>538.0151791753832</v>
      </c>
      <c r="S452" s="78">
        <v>14.654104243080091</v>
      </c>
      <c r="T452" s="78">
        <v>636.76634897635586</v>
      </c>
      <c r="U452" s="59">
        <v>14.664411949548377</v>
      </c>
      <c r="V452" s="78">
        <v>818.63332501068874</v>
      </c>
      <c r="X452" s="134">
        <f t="shared" si="42"/>
        <v>1461604.1637746396</v>
      </c>
      <c r="Y452" s="134">
        <f t="shared" si="43"/>
        <v>1464773.6579590328</v>
      </c>
      <c r="Z452" s="134">
        <f t="shared" si="44"/>
        <v>1465622.5616298269</v>
      </c>
      <c r="AB452" s="127">
        <f t="shared" si="45"/>
        <v>0</v>
      </c>
      <c r="AC452" s="127">
        <f t="shared" si="46"/>
        <v>0</v>
      </c>
      <c r="AD452" s="127">
        <f t="shared" si="47"/>
        <v>1</v>
      </c>
    </row>
    <row r="453" spans="1:30" x14ac:dyDescent="0.25">
      <c r="A453">
        <v>448</v>
      </c>
      <c r="C453" s="11">
        <v>3.2026529312133789E-2</v>
      </c>
      <c r="D453" s="11">
        <v>9.200558066368103E-3</v>
      </c>
      <c r="E453" s="11">
        <v>0.11423096406953798</v>
      </c>
      <c r="F453" s="11">
        <v>0.13122550244899139</v>
      </c>
      <c r="G453" s="11">
        <v>2.2371202707290649E-2</v>
      </c>
      <c r="H453" s="40">
        <v>4.5592724724679369E-4</v>
      </c>
      <c r="I453" s="40">
        <v>1.5195082455926092</v>
      </c>
      <c r="J453" s="59">
        <v>0</v>
      </c>
      <c r="K453" s="59">
        <v>5981.4820997416973</v>
      </c>
      <c r="L453" s="59">
        <v>0</v>
      </c>
      <c r="M453" s="11">
        <v>0.83054554462432861</v>
      </c>
      <c r="N453" s="11">
        <v>0.73006904125213623</v>
      </c>
      <c r="O453" s="11">
        <v>0.28208023309707642</v>
      </c>
      <c r="Q453" s="59">
        <v>14.134762981318211</v>
      </c>
      <c r="R453" s="78">
        <v>539.56708251226371</v>
      </c>
      <c r="S453" s="78">
        <v>14.192864372758887</v>
      </c>
      <c r="T453" s="78">
        <v>595.97459207418456</v>
      </c>
      <c r="U453" s="59">
        <v>14.191723032750016</v>
      </c>
      <c r="V453" s="78">
        <v>807.49218177525574</v>
      </c>
      <c r="X453" s="134">
        <f t="shared" si="42"/>
        <v>1412936.731049309</v>
      </c>
      <c r="Y453" s="134">
        <f t="shared" si="43"/>
        <v>1418690.4626838143</v>
      </c>
      <c r="Z453" s="134">
        <f t="shared" si="44"/>
        <v>1418364.8110932263</v>
      </c>
      <c r="AB453" s="127">
        <f t="shared" si="45"/>
        <v>0</v>
      </c>
      <c r="AC453" s="127">
        <f t="shared" si="46"/>
        <v>1</v>
      </c>
      <c r="AD453" s="127">
        <f t="shared" si="47"/>
        <v>0</v>
      </c>
    </row>
    <row r="454" spans="1:30" x14ac:dyDescent="0.25">
      <c r="A454">
        <v>449</v>
      </c>
      <c r="C454" s="11">
        <v>1.6991496086120605E-2</v>
      </c>
      <c r="D454" s="11">
        <v>2.2530704736709595E-2</v>
      </c>
      <c r="E454" s="11">
        <v>0.32220054607146686</v>
      </c>
      <c r="F454" s="11">
        <v>0.16609921378726739</v>
      </c>
      <c r="G454" s="11">
        <v>3.5776585340499878E-2</v>
      </c>
      <c r="H454" s="40">
        <v>7.1358741007278943E-4</v>
      </c>
      <c r="I454" s="40">
        <v>1.4481248959076987</v>
      </c>
      <c r="J454" s="59">
        <v>0</v>
      </c>
      <c r="K454" s="59">
        <v>4751.0978765785694</v>
      </c>
      <c r="L454" s="59">
        <v>0</v>
      </c>
      <c r="M454" s="11">
        <v>0.83301609754562378</v>
      </c>
      <c r="N454" s="11">
        <v>0.75458568334579468</v>
      </c>
      <c r="O454" s="11">
        <v>0.28061139583587646</v>
      </c>
      <c r="Q454" s="59">
        <v>14.38108419791023</v>
      </c>
      <c r="R454" s="78">
        <v>553.12830700876793</v>
      </c>
      <c r="S454" s="78">
        <v>14.436706249602647</v>
      </c>
      <c r="T454" s="78">
        <v>631.24648474561525</v>
      </c>
      <c r="U454" s="59">
        <v>14.449871741900919</v>
      </c>
      <c r="V454" s="78">
        <v>815.05215910379195</v>
      </c>
      <c r="X454" s="134">
        <f t="shared" si="42"/>
        <v>1437555.2914840141</v>
      </c>
      <c r="Y454" s="134">
        <f t="shared" si="43"/>
        <v>1443039.3784755191</v>
      </c>
      <c r="Z454" s="134">
        <f t="shared" si="44"/>
        <v>1444172.1220309881</v>
      </c>
      <c r="AB454" s="127">
        <f t="shared" si="45"/>
        <v>0</v>
      </c>
      <c r="AC454" s="127">
        <f t="shared" si="46"/>
        <v>0</v>
      </c>
      <c r="AD454" s="127">
        <f t="shared" si="47"/>
        <v>1</v>
      </c>
    </row>
    <row r="455" spans="1:30" x14ac:dyDescent="0.25">
      <c r="A455">
        <v>450</v>
      </c>
      <c r="C455" s="11">
        <v>2.4061799049377441E-3</v>
      </c>
      <c r="D455" s="11">
        <v>1.5943095088005066E-2</v>
      </c>
      <c r="E455" s="11">
        <v>0.1841376505903935</v>
      </c>
      <c r="F455" s="11">
        <v>0.31612147108461419</v>
      </c>
      <c r="G455" s="11">
        <v>5.6145071983337402E-2</v>
      </c>
      <c r="H455" s="40">
        <v>5.1673912119672865E-4</v>
      </c>
      <c r="I455" s="40">
        <v>1.3934990577450119</v>
      </c>
      <c r="J455" s="59">
        <v>0</v>
      </c>
      <c r="K455" s="59">
        <v>5625.8146651089191</v>
      </c>
      <c r="L455" s="59">
        <v>0</v>
      </c>
      <c r="M455" s="11">
        <v>0.82663333415985107</v>
      </c>
      <c r="N455" s="11">
        <v>0.80415260791778564</v>
      </c>
      <c r="O455" s="11">
        <v>0.31255078315734863</v>
      </c>
      <c r="Q455" s="59">
        <v>14.530167409778945</v>
      </c>
      <c r="R455" s="78">
        <v>526.12707626737892</v>
      </c>
      <c r="S455" s="78">
        <v>14.559428531574246</v>
      </c>
      <c r="T455" s="78">
        <v>603.65798504696988</v>
      </c>
      <c r="U455" s="59">
        <v>14.554628497173887</v>
      </c>
      <c r="V455" s="78">
        <v>830.23986038148564</v>
      </c>
      <c r="X455" s="134">
        <f t="shared" si="42"/>
        <v>1452490.6139016273</v>
      </c>
      <c r="Y455" s="134">
        <f t="shared" si="43"/>
        <v>1455339.1951723776</v>
      </c>
      <c r="Z455" s="134">
        <f t="shared" si="44"/>
        <v>1454632.6098570072</v>
      </c>
      <c r="AB455" s="127">
        <f t="shared" si="45"/>
        <v>0</v>
      </c>
      <c r="AC455" s="127">
        <f t="shared" si="46"/>
        <v>1</v>
      </c>
      <c r="AD455" s="127">
        <f t="shared" si="47"/>
        <v>0</v>
      </c>
    </row>
    <row r="456" spans="1:30" x14ac:dyDescent="0.25">
      <c r="A456">
        <v>451</v>
      </c>
      <c r="C456" s="11">
        <v>2.2715106606483459E-2</v>
      </c>
      <c r="D456" s="11">
        <v>4.0641427040100098E-3</v>
      </c>
      <c r="E456" s="11">
        <v>0.13728141211498079</v>
      </c>
      <c r="F456" s="11">
        <v>0.11778446808826212</v>
      </c>
      <c r="G456" s="11">
        <v>4.6847164630889893E-2</v>
      </c>
      <c r="H456" s="40">
        <v>3.6143613858562429E-4</v>
      </c>
      <c r="I456" s="40">
        <v>1.5752359697414899</v>
      </c>
      <c r="J456" s="59">
        <v>0</v>
      </c>
      <c r="K456" s="59">
        <v>5786.2629182636738</v>
      </c>
      <c r="L456" s="59">
        <v>0</v>
      </c>
      <c r="M456" s="11">
        <v>0.79844856262207031</v>
      </c>
      <c r="N456" s="11">
        <v>0.74726730585098267</v>
      </c>
      <c r="O456" s="11">
        <v>0.25973629951477051</v>
      </c>
      <c r="Q456" s="59">
        <v>13.735570540413015</v>
      </c>
      <c r="R456" s="78">
        <v>545.53963826539109</v>
      </c>
      <c r="S456" s="78">
        <v>13.776417521031835</v>
      </c>
      <c r="T456" s="78">
        <v>600.19964515236029</v>
      </c>
      <c r="U456" s="59">
        <v>13.777363055989339</v>
      </c>
      <c r="V456" s="78">
        <v>806.19665858106873</v>
      </c>
      <c r="X456" s="134">
        <f t="shared" si="42"/>
        <v>1373011.5144030361</v>
      </c>
      <c r="Y456" s="134">
        <f t="shared" si="43"/>
        <v>1377041.5524580311</v>
      </c>
      <c r="Z456" s="134">
        <f t="shared" si="44"/>
        <v>1376930.1089403529</v>
      </c>
      <c r="AB456" s="127">
        <f t="shared" si="45"/>
        <v>0</v>
      </c>
      <c r="AC456" s="127">
        <f t="shared" si="46"/>
        <v>1</v>
      </c>
      <c r="AD456" s="127">
        <f t="shared" si="47"/>
        <v>0</v>
      </c>
    </row>
    <row r="457" spans="1:30" x14ac:dyDescent="0.25">
      <c r="A457">
        <v>452</v>
      </c>
      <c r="C457" s="11">
        <v>5.6796818971633911E-3</v>
      </c>
      <c r="D457" s="11">
        <v>8.1034749746322632E-3</v>
      </c>
      <c r="E457" s="11">
        <v>0.22083900557558134</v>
      </c>
      <c r="F457" s="11">
        <v>0.13375068819638752</v>
      </c>
      <c r="G457" s="11">
        <v>1.8670648336410522E-2</v>
      </c>
      <c r="H457" s="40">
        <v>5.1935329835295265E-4</v>
      </c>
      <c r="I457" s="40">
        <v>1.5179206775103438</v>
      </c>
      <c r="J457" s="59">
        <v>0</v>
      </c>
      <c r="K457" s="59">
        <v>3533.3330743014812</v>
      </c>
      <c r="L457" s="59">
        <v>0</v>
      </c>
      <c r="M457" s="11">
        <v>0.85867941379547119</v>
      </c>
      <c r="N457" s="11">
        <v>0.72482961416244507</v>
      </c>
      <c r="O457" s="11">
        <v>0.29748320579528809</v>
      </c>
      <c r="Q457" s="59">
        <v>14.991156573942263</v>
      </c>
      <c r="R457" s="78">
        <v>491.69971310757177</v>
      </c>
      <c r="S457" s="78">
        <v>15.06084575532484</v>
      </c>
      <c r="T457" s="78">
        <v>601.0245303822694</v>
      </c>
      <c r="U457" s="59">
        <v>15.06884163077676</v>
      </c>
      <c r="V457" s="78">
        <v>801.37013949863308</v>
      </c>
      <c r="X457" s="134">
        <f t="shared" si="42"/>
        <v>1498623.9576811185</v>
      </c>
      <c r="Y457" s="134">
        <f t="shared" si="43"/>
        <v>1505483.5510021015</v>
      </c>
      <c r="Z457" s="134">
        <f t="shared" si="44"/>
        <v>1506082.7929381772</v>
      </c>
      <c r="AB457" s="127">
        <f t="shared" si="45"/>
        <v>0</v>
      </c>
      <c r="AC457" s="127">
        <f t="shared" si="46"/>
        <v>0</v>
      </c>
      <c r="AD457" s="127">
        <f t="shared" si="47"/>
        <v>1</v>
      </c>
    </row>
    <row r="458" spans="1:30" x14ac:dyDescent="0.25">
      <c r="A458">
        <v>453</v>
      </c>
      <c r="C458" s="11">
        <v>9.1300010681152344E-3</v>
      </c>
      <c r="D458" s="11">
        <v>4.5498967170715332E-2</v>
      </c>
      <c r="E458" s="11">
        <v>0.1875677031400213</v>
      </c>
      <c r="F458" s="11">
        <v>0.2097109011690122</v>
      </c>
      <c r="G458" s="11">
        <v>2.7696520090103149E-2</v>
      </c>
      <c r="H458" s="40">
        <v>3.5285118770156566E-4</v>
      </c>
      <c r="I458" s="40">
        <v>1.4769466455575784</v>
      </c>
      <c r="J458" s="59">
        <v>0</v>
      </c>
      <c r="K458" s="59">
        <v>8103.2700836658478</v>
      </c>
      <c r="L458" s="59">
        <v>0</v>
      </c>
      <c r="M458" s="11">
        <v>0.82324790954589844</v>
      </c>
      <c r="N458" s="11">
        <v>0.79238474369049072</v>
      </c>
      <c r="O458" s="11">
        <v>0.2792850136756897</v>
      </c>
      <c r="Q458" s="59">
        <v>14.37045964630032</v>
      </c>
      <c r="R458" s="78">
        <v>536.14958519319964</v>
      </c>
      <c r="S458" s="78">
        <v>14.401450615861114</v>
      </c>
      <c r="T458" s="78">
        <v>606.00012121073337</v>
      </c>
      <c r="U458" s="59">
        <v>14.400593479438083</v>
      </c>
      <c r="V458" s="78">
        <v>818.1772041780506</v>
      </c>
      <c r="X458" s="134">
        <f t="shared" si="42"/>
        <v>1436509.8150448387</v>
      </c>
      <c r="Y458" s="134">
        <f t="shared" si="43"/>
        <v>1439539.0614649006</v>
      </c>
      <c r="Z458" s="134">
        <f t="shared" si="44"/>
        <v>1439241.1707396302</v>
      </c>
      <c r="AB458" s="127">
        <f t="shared" si="45"/>
        <v>0</v>
      </c>
      <c r="AC458" s="127">
        <f t="shared" si="46"/>
        <v>1</v>
      </c>
      <c r="AD458" s="127">
        <f t="shared" si="47"/>
        <v>0</v>
      </c>
    </row>
    <row r="459" spans="1:30" x14ac:dyDescent="0.25">
      <c r="A459">
        <v>454</v>
      </c>
      <c r="C459" s="11">
        <v>1.0511353611946106E-2</v>
      </c>
      <c r="D459" s="11">
        <v>2.2311419248580933E-2</v>
      </c>
      <c r="E459" s="11">
        <v>0.4677597365641224</v>
      </c>
      <c r="F459" s="11">
        <v>0.18904032606129406</v>
      </c>
      <c r="G459" s="11">
        <v>3.9160549640655518E-2</v>
      </c>
      <c r="H459" s="40">
        <v>3.8781244043038012E-4</v>
      </c>
      <c r="I459" s="40">
        <v>1.3512318403975958</v>
      </c>
      <c r="J459" s="59">
        <v>0</v>
      </c>
      <c r="K459" s="59">
        <v>6498.9482052624226</v>
      </c>
      <c r="L459" s="59">
        <v>0</v>
      </c>
      <c r="M459" s="11">
        <v>0.87535619735717773</v>
      </c>
      <c r="N459" s="11">
        <v>0.79127085208892822</v>
      </c>
      <c r="O459" s="11">
        <v>0.3391420841217041</v>
      </c>
      <c r="Q459" s="59">
        <v>15.263733144071569</v>
      </c>
      <c r="R459" s="78">
        <v>486.79853291728989</v>
      </c>
      <c r="S459" s="78">
        <v>15.28260235031998</v>
      </c>
      <c r="T459" s="78">
        <v>622.65827077222343</v>
      </c>
      <c r="U459" s="59">
        <v>15.29258540633205</v>
      </c>
      <c r="V459" s="78">
        <v>805.69755967717265</v>
      </c>
      <c r="X459" s="134">
        <f t="shared" si="42"/>
        <v>1525886.5158742396</v>
      </c>
      <c r="Y459" s="134">
        <f t="shared" si="43"/>
        <v>1527637.5767612257</v>
      </c>
      <c r="Z459" s="134">
        <f t="shared" si="44"/>
        <v>1528452.8430735278</v>
      </c>
      <c r="AB459" s="127">
        <f t="shared" si="45"/>
        <v>0</v>
      </c>
      <c r="AC459" s="127">
        <f t="shared" si="46"/>
        <v>0</v>
      </c>
      <c r="AD459" s="127">
        <f t="shared" si="47"/>
        <v>1</v>
      </c>
    </row>
    <row r="460" spans="1:30" x14ac:dyDescent="0.25">
      <c r="A460">
        <v>455</v>
      </c>
      <c r="C460" s="11">
        <v>1.1696577072143555E-2</v>
      </c>
      <c r="D460" s="11">
        <v>3.9992213249206543E-2</v>
      </c>
      <c r="E460" s="11">
        <v>0.30358372808966483</v>
      </c>
      <c r="F460" s="11">
        <v>0.18201020428055842</v>
      </c>
      <c r="G460" s="11">
        <v>2.002599835395813E-2</v>
      </c>
      <c r="H460" s="40">
        <v>4.0423421392867074E-4</v>
      </c>
      <c r="I460" s="40">
        <v>1.6728844245875445</v>
      </c>
      <c r="J460" s="59">
        <v>0</v>
      </c>
      <c r="K460" s="59">
        <v>3674.803301692009</v>
      </c>
      <c r="L460" s="59">
        <v>0</v>
      </c>
      <c r="M460" s="11">
        <v>0.79567885398864746</v>
      </c>
      <c r="N460" s="11">
        <v>0.71895098686218262</v>
      </c>
      <c r="O460" s="11">
        <v>0.24202871322631836</v>
      </c>
      <c r="Q460" s="59">
        <v>13.795143964751052</v>
      </c>
      <c r="R460" s="78">
        <v>517.81905401266226</v>
      </c>
      <c r="S460" s="78">
        <v>13.860457972937349</v>
      </c>
      <c r="T460" s="78">
        <v>617.52437959340352</v>
      </c>
      <c r="U460" s="59">
        <v>13.872255009601821</v>
      </c>
      <c r="V460" s="78">
        <v>811.19750727138683</v>
      </c>
      <c r="X460" s="134">
        <f t="shared" si="42"/>
        <v>1378996.5774210924</v>
      </c>
      <c r="Y460" s="134">
        <f t="shared" si="43"/>
        <v>1385428.2729141416</v>
      </c>
      <c r="Z460" s="134">
        <f t="shared" si="44"/>
        <v>1386414.3034529109</v>
      </c>
      <c r="AB460" s="127">
        <f t="shared" si="45"/>
        <v>0</v>
      </c>
      <c r="AC460" s="127">
        <f t="shared" si="46"/>
        <v>0</v>
      </c>
      <c r="AD460" s="127">
        <f t="shared" si="47"/>
        <v>1</v>
      </c>
    </row>
    <row r="461" spans="1:30" x14ac:dyDescent="0.25">
      <c r="A461">
        <v>456</v>
      </c>
      <c r="C461" s="11">
        <v>1.7932519316673279E-2</v>
      </c>
      <c r="D461" s="11">
        <v>1.481175422668457E-3</v>
      </c>
      <c r="E461" s="11">
        <v>0.36732137642660045</v>
      </c>
      <c r="F461" s="11">
        <v>0.11441840310587656</v>
      </c>
      <c r="G461" s="11">
        <v>2.4867653846740723E-2</v>
      </c>
      <c r="H461" s="40">
        <v>4.698679217813289E-4</v>
      </c>
      <c r="I461" s="40">
        <v>1.4412322478817108</v>
      </c>
      <c r="J461" s="59">
        <v>0</v>
      </c>
      <c r="K461" s="59">
        <v>7273.9459574222565</v>
      </c>
      <c r="L461" s="59">
        <v>0</v>
      </c>
      <c r="M461" s="11">
        <v>0.86200094223022461</v>
      </c>
      <c r="N461" s="11">
        <v>0.68735814094543457</v>
      </c>
      <c r="O461" s="11">
        <v>0.30429697036743164</v>
      </c>
      <c r="Q461" s="59">
        <v>14.877368422308017</v>
      </c>
      <c r="R461" s="78">
        <v>544.02757617093505</v>
      </c>
      <c r="S461" s="78">
        <v>14.924844004601796</v>
      </c>
      <c r="T461" s="78">
        <v>634.74538459585358</v>
      </c>
      <c r="U461" s="59">
        <v>14.944169854761993</v>
      </c>
      <c r="V461" s="78">
        <v>805.44486279007958</v>
      </c>
      <c r="X461" s="134">
        <f t="shared" si="42"/>
        <v>1487192.8146546308</v>
      </c>
      <c r="Y461" s="134">
        <f t="shared" si="43"/>
        <v>1491849.6550755838</v>
      </c>
      <c r="Z461" s="134">
        <f t="shared" si="44"/>
        <v>1493611.5406134091</v>
      </c>
      <c r="AB461" s="127">
        <f t="shared" si="45"/>
        <v>0</v>
      </c>
      <c r="AC461" s="127">
        <f t="shared" si="46"/>
        <v>0</v>
      </c>
      <c r="AD461" s="127">
        <f t="shared" si="47"/>
        <v>1</v>
      </c>
    </row>
    <row r="462" spans="1:30" x14ac:dyDescent="0.25">
      <c r="A462">
        <v>457</v>
      </c>
      <c r="C462" s="11">
        <v>5.4230928421020508E-2</v>
      </c>
      <c r="D462" s="11">
        <v>2.375638484954834E-2</v>
      </c>
      <c r="E462" s="11">
        <v>0.32309793949679089</v>
      </c>
      <c r="F462" s="11">
        <v>0.27988525335158776</v>
      </c>
      <c r="G462" s="11">
        <v>3.0801624059677124E-2</v>
      </c>
      <c r="H462" s="40">
        <v>4.7726715247486452E-4</v>
      </c>
      <c r="I462" s="40">
        <v>1.3428433858493538</v>
      </c>
      <c r="J462" s="59">
        <v>0</v>
      </c>
      <c r="K462" s="59">
        <v>5229.0549501776695</v>
      </c>
      <c r="L462" s="59">
        <v>0</v>
      </c>
      <c r="M462" s="11">
        <v>0.87459796667098999</v>
      </c>
      <c r="N462" s="11">
        <v>0.73459041118621826</v>
      </c>
      <c r="O462" s="11">
        <v>0.35615825653076172</v>
      </c>
      <c r="Q462" s="59">
        <v>14.559130072444759</v>
      </c>
      <c r="R462" s="78">
        <v>475.76836429708294</v>
      </c>
      <c r="S462" s="78">
        <v>14.593899082286409</v>
      </c>
      <c r="T462" s="78">
        <v>605.6535083479464</v>
      </c>
      <c r="U462" s="59">
        <v>14.596142325377294</v>
      </c>
      <c r="V462" s="78">
        <v>811.10180714338765</v>
      </c>
      <c r="X462" s="134">
        <f t="shared" si="42"/>
        <v>1455437.2388801789</v>
      </c>
      <c r="Y462" s="134">
        <f t="shared" si="43"/>
        <v>1458784.254720293</v>
      </c>
      <c r="Z462" s="134">
        <f t="shared" si="44"/>
        <v>1458803.1307305861</v>
      </c>
      <c r="AB462" s="127">
        <f t="shared" si="45"/>
        <v>0</v>
      </c>
      <c r="AC462" s="127">
        <f t="shared" si="46"/>
        <v>0</v>
      </c>
      <c r="AD462" s="127">
        <f t="shared" si="47"/>
        <v>1</v>
      </c>
    </row>
    <row r="463" spans="1:30" x14ac:dyDescent="0.25">
      <c r="A463">
        <v>458</v>
      </c>
      <c r="C463" s="11">
        <v>9.4543993473052979E-3</v>
      </c>
      <c r="D463" s="11">
        <v>4.3004274368286133E-2</v>
      </c>
      <c r="E463" s="11">
        <v>0.32340525798449771</v>
      </c>
      <c r="F463" s="11">
        <v>0.10398334412476858</v>
      </c>
      <c r="G463" s="11">
        <v>4.7779381275177002E-2</v>
      </c>
      <c r="H463" s="40">
        <v>4.1941481648701722E-4</v>
      </c>
      <c r="I463" s="40">
        <v>1.5350145708780691</v>
      </c>
      <c r="J463" s="59">
        <v>0</v>
      </c>
      <c r="K463" s="59">
        <v>3362.1396869421005</v>
      </c>
      <c r="L463" s="59">
        <v>0</v>
      </c>
      <c r="M463" s="11">
        <v>0.86266541481018066</v>
      </c>
      <c r="N463" s="11">
        <v>0.76504188776016235</v>
      </c>
      <c r="O463" s="11">
        <v>0.31159341335296631</v>
      </c>
      <c r="Q463" s="59">
        <v>15.012470153268286</v>
      </c>
      <c r="R463" s="78">
        <v>485.28588463193125</v>
      </c>
      <c r="S463" s="78">
        <v>15.066964943369207</v>
      </c>
      <c r="T463" s="78">
        <v>608.96521034334796</v>
      </c>
      <c r="U463" s="59">
        <v>15.085050713110359</v>
      </c>
      <c r="V463" s="78">
        <v>797.68166493878891</v>
      </c>
      <c r="X463" s="134">
        <f t="shared" si="42"/>
        <v>1500761.7294421964</v>
      </c>
      <c r="Y463" s="134">
        <f t="shared" si="43"/>
        <v>1506087.5291265775</v>
      </c>
      <c r="Z463" s="134">
        <f t="shared" si="44"/>
        <v>1507707.3896460971</v>
      </c>
      <c r="AB463" s="127">
        <f t="shared" si="45"/>
        <v>0</v>
      </c>
      <c r="AC463" s="127">
        <f t="shared" si="46"/>
        <v>0</v>
      </c>
      <c r="AD463" s="127">
        <f t="shared" si="47"/>
        <v>1</v>
      </c>
    </row>
    <row r="464" spans="1:30" x14ac:dyDescent="0.25">
      <c r="A464">
        <v>459</v>
      </c>
      <c r="C464" s="11">
        <v>2.0481422543525696E-2</v>
      </c>
      <c r="D464" s="11">
        <v>9.5993727445602417E-3</v>
      </c>
      <c r="E464" s="11">
        <v>0.24019495172299513</v>
      </c>
      <c r="F464" s="11">
        <v>0.15359548176441204</v>
      </c>
      <c r="G464" s="11">
        <v>1.607435941696167E-2</v>
      </c>
      <c r="H464" s="40">
        <v>3.2609527806167963E-4</v>
      </c>
      <c r="I464" s="40">
        <v>1.551293252858654</v>
      </c>
      <c r="J464" s="59">
        <v>0</v>
      </c>
      <c r="K464" s="59">
        <v>6066.448986530304</v>
      </c>
      <c r="L464" s="59">
        <v>0</v>
      </c>
      <c r="M464" s="11">
        <v>0.85911285877227783</v>
      </c>
      <c r="N464" s="11">
        <v>0.72295844554901123</v>
      </c>
      <c r="O464" s="11">
        <v>0.25279664993286133</v>
      </c>
      <c r="Q464" s="59">
        <v>14.799660787050797</v>
      </c>
      <c r="R464" s="78">
        <v>507.60740488538676</v>
      </c>
      <c r="S464" s="78">
        <v>14.848442859056259</v>
      </c>
      <c r="T464" s="78">
        <v>606.68036675391386</v>
      </c>
      <c r="U464" s="59">
        <v>14.854105344164125</v>
      </c>
      <c r="V464" s="78">
        <v>805.72957066383742</v>
      </c>
      <c r="X464" s="134">
        <f t="shared" si="42"/>
        <v>1479458.4713001943</v>
      </c>
      <c r="Y464" s="134">
        <f t="shared" si="43"/>
        <v>1484237.6055388721</v>
      </c>
      <c r="Z464" s="134">
        <f t="shared" si="44"/>
        <v>1484604.8048457487</v>
      </c>
      <c r="AB464" s="127">
        <f t="shared" si="45"/>
        <v>0</v>
      </c>
      <c r="AC464" s="127">
        <f t="shared" si="46"/>
        <v>0</v>
      </c>
      <c r="AD464" s="127">
        <f t="shared" si="47"/>
        <v>1</v>
      </c>
    </row>
    <row r="465" spans="1:30" x14ac:dyDescent="0.25">
      <c r="A465">
        <v>460</v>
      </c>
      <c r="C465" s="11">
        <v>2.0310163497924805E-2</v>
      </c>
      <c r="D465" s="11">
        <v>4.0253698825836182E-3</v>
      </c>
      <c r="E465" s="11">
        <v>0.52692886948292295</v>
      </c>
      <c r="F465" s="11">
        <v>0.24517137500364669</v>
      </c>
      <c r="G465" s="11">
        <v>4.2046010494232178E-2</v>
      </c>
      <c r="H465" s="40">
        <v>4.5008961029425055E-4</v>
      </c>
      <c r="I465" s="40">
        <v>1.396342239370246</v>
      </c>
      <c r="J465" s="59">
        <v>0</v>
      </c>
      <c r="K465" s="59">
        <v>5658.6670689284801</v>
      </c>
      <c r="L465" s="59">
        <v>0</v>
      </c>
      <c r="M465" s="11">
        <v>0.84928107261657715</v>
      </c>
      <c r="N465" s="11">
        <v>0.71161526441574097</v>
      </c>
      <c r="O465" s="11">
        <v>0.31184577941894531</v>
      </c>
      <c r="Q465" s="59">
        <v>14.641100433684748</v>
      </c>
      <c r="R465" s="78">
        <v>501.66864476667092</v>
      </c>
      <c r="S465" s="78">
        <v>14.667150846151646</v>
      </c>
      <c r="T465" s="78">
        <v>636.12729074093215</v>
      </c>
      <c r="U465" s="59">
        <v>14.682865554067988</v>
      </c>
      <c r="V465" s="78">
        <v>814.69057287525231</v>
      </c>
      <c r="X465" s="134">
        <f t="shared" si="42"/>
        <v>1463608.3747237083</v>
      </c>
      <c r="Y465" s="134">
        <f t="shared" si="43"/>
        <v>1466078.9573244238</v>
      </c>
      <c r="Z465" s="134">
        <f t="shared" si="44"/>
        <v>1467471.8648339235</v>
      </c>
      <c r="AB465" s="127">
        <f t="shared" si="45"/>
        <v>0</v>
      </c>
      <c r="AC465" s="127">
        <f t="shared" si="46"/>
        <v>0</v>
      </c>
      <c r="AD465" s="127">
        <f t="shared" si="47"/>
        <v>1</v>
      </c>
    </row>
    <row r="466" spans="1:30" x14ac:dyDescent="0.25">
      <c r="A466">
        <v>461</v>
      </c>
      <c r="C466" s="11">
        <v>1.3394221663475037E-2</v>
      </c>
      <c r="D466" s="11">
        <v>3.5567522048950195E-2</v>
      </c>
      <c r="E466" s="11">
        <v>0.17113695114710636</v>
      </c>
      <c r="F466" s="11">
        <v>0.17285469613680965</v>
      </c>
      <c r="G466" s="11">
        <v>4.6272516250610352E-2</v>
      </c>
      <c r="H466" s="40">
        <v>4.1702795119065591E-4</v>
      </c>
      <c r="I466" s="40">
        <v>1.4486211890070613</v>
      </c>
      <c r="J466" s="59">
        <v>0</v>
      </c>
      <c r="K466" s="59">
        <v>3121.1879104375839</v>
      </c>
      <c r="L466" s="59">
        <v>0</v>
      </c>
      <c r="M466" s="11">
        <v>0.82512879371643066</v>
      </c>
      <c r="N466" s="11">
        <v>0.72546589374542236</v>
      </c>
      <c r="O466" s="11">
        <v>0.34151577949523926</v>
      </c>
      <c r="Q466" s="59">
        <v>14.322325136121881</v>
      </c>
      <c r="R466" s="78">
        <v>459.21294733120658</v>
      </c>
      <c r="S466" s="78">
        <v>14.369569828242799</v>
      </c>
      <c r="T466" s="78">
        <v>590.31163834154927</v>
      </c>
      <c r="U466" s="59">
        <v>14.369470385993386</v>
      </c>
      <c r="V466" s="78">
        <v>799.42485544716124</v>
      </c>
      <c r="X466" s="134">
        <f t="shared" si="42"/>
        <v>1431773.300664857</v>
      </c>
      <c r="Y466" s="134">
        <f t="shared" si="43"/>
        <v>1436366.6711859384</v>
      </c>
      <c r="Z466" s="134">
        <f t="shared" si="44"/>
        <v>1436147.6137438915</v>
      </c>
      <c r="AB466" s="127">
        <f t="shared" si="45"/>
        <v>0</v>
      </c>
      <c r="AC466" s="127">
        <f t="shared" si="46"/>
        <v>1</v>
      </c>
      <c r="AD466" s="127">
        <f t="shared" si="47"/>
        <v>0</v>
      </c>
    </row>
    <row r="467" spans="1:30" x14ac:dyDescent="0.25">
      <c r="A467">
        <v>462</v>
      </c>
      <c r="C467" s="11">
        <v>1.2744829058647156E-2</v>
      </c>
      <c r="D467" s="11">
        <v>2.7848958969116211E-2</v>
      </c>
      <c r="E467" s="11">
        <v>0.43775912168291031</v>
      </c>
      <c r="F467" s="11">
        <v>0.66177874547088311</v>
      </c>
      <c r="G467" s="11">
        <v>3.5713374614715576E-2</v>
      </c>
      <c r="H467" s="40">
        <v>4.6245258115423571E-4</v>
      </c>
      <c r="I467" s="40">
        <v>1.4187941343640633</v>
      </c>
      <c r="J467" s="59">
        <v>0</v>
      </c>
      <c r="K467" s="59">
        <v>4598.7311750650406</v>
      </c>
      <c r="L467" s="59">
        <v>0</v>
      </c>
      <c r="M467" s="11">
        <v>0.8734663724899292</v>
      </c>
      <c r="N467" s="11">
        <v>0.71504247188568115</v>
      </c>
      <c r="O467" s="11">
        <v>0.36608314514160156</v>
      </c>
      <c r="Q467" s="59">
        <v>15.160279956715888</v>
      </c>
      <c r="R467" s="78">
        <v>486.8942318586154</v>
      </c>
      <c r="S467" s="78">
        <v>15.200224999225647</v>
      </c>
      <c r="T467" s="78">
        <v>620.04099550764556</v>
      </c>
      <c r="U467" s="59">
        <v>15.184209841255315</v>
      </c>
      <c r="V467" s="78">
        <v>849.81593430701571</v>
      </c>
      <c r="X467" s="134">
        <f t="shared" si="42"/>
        <v>1515541.10143973</v>
      </c>
      <c r="Y467" s="134">
        <f t="shared" si="43"/>
        <v>1519402.458927057</v>
      </c>
      <c r="Z467" s="134">
        <f t="shared" si="44"/>
        <v>1517571.1681912246</v>
      </c>
      <c r="AB467" s="127">
        <f t="shared" si="45"/>
        <v>0</v>
      </c>
      <c r="AC467" s="127">
        <f t="shared" si="46"/>
        <v>1</v>
      </c>
      <c r="AD467" s="127">
        <f t="shared" si="47"/>
        <v>0</v>
      </c>
    </row>
    <row r="468" spans="1:30" x14ac:dyDescent="0.25">
      <c r="A468">
        <v>463</v>
      </c>
      <c r="C468" s="11">
        <v>1.1053651571273804E-2</v>
      </c>
      <c r="D468" s="11">
        <v>3.1779557466506958E-2</v>
      </c>
      <c r="E468" s="11">
        <v>0.15172010835138375</v>
      </c>
      <c r="F468" s="11">
        <v>0.17792244344504757</v>
      </c>
      <c r="G468" s="11">
        <v>3.1131073832511902E-2</v>
      </c>
      <c r="H468" s="40">
        <v>4.2432614617653815E-4</v>
      </c>
      <c r="I468" s="40">
        <v>1.4992403803580321</v>
      </c>
      <c r="J468" s="59">
        <v>0</v>
      </c>
      <c r="K468" s="59">
        <v>4939.9095587432384</v>
      </c>
      <c r="L468" s="59">
        <v>0</v>
      </c>
      <c r="M468" s="11">
        <v>0.84420287609100342</v>
      </c>
      <c r="N468" s="11">
        <v>0.70343673229217529</v>
      </c>
      <c r="O468" s="11">
        <v>0.25965166091918945</v>
      </c>
      <c r="Q468" s="59">
        <v>14.665195697987158</v>
      </c>
      <c r="R468" s="78">
        <v>506.91320044697471</v>
      </c>
      <c r="S468" s="78">
        <v>14.734188960567868</v>
      </c>
      <c r="T468" s="78">
        <v>596.42439205958067</v>
      </c>
      <c r="U468" s="59">
        <v>14.732017350960421</v>
      </c>
      <c r="V468" s="78">
        <v>808.42283050916967</v>
      </c>
      <c r="X468" s="134">
        <f t="shared" ref="X468:X531" si="48">Q468*cRatio-R468</f>
        <v>1466012.656598269</v>
      </c>
      <c r="Y468" s="134">
        <f t="shared" ref="Y468:Y531" si="49">S468*cRatio-T468</f>
        <v>1472822.4716647272</v>
      </c>
      <c r="Z468" s="134">
        <f t="shared" ref="Z468:Z531" si="50">U468*cRatio-V468</f>
        <v>1472393.3122655328</v>
      </c>
      <c r="AB468" s="127">
        <f t="shared" ref="AB468:AB531" si="51">IF(X468=MAX($X468:$Z468),1,0)</f>
        <v>0</v>
      </c>
      <c r="AC468" s="127">
        <f t="shared" ref="AC468:AC531" si="52">IF(Y468=MAX($X468:$Z468),1,0)</f>
        <v>1</v>
      </c>
      <c r="AD468" s="127">
        <f t="shared" ref="AD468:AD531" si="53">IF(Z468=MAX($X468:$Z468),1,0)</f>
        <v>0</v>
      </c>
    </row>
    <row r="469" spans="1:30" x14ac:dyDescent="0.25">
      <c r="A469">
        <v>464</v>
      </c>
      <c r="C469" s="11">
        <v>1.2384653091430664E-3</v>
      </c>
      <c r="D469" s="11">
        <v>3.7755191326141357E-2</v>
      </c>
      <c r="E469" s="11">
        <v>0.26235794332491491</v>
      </c>
      <c r="F469" s="11">
        <v>0.261390220303376</v>
      </c>
      <c r="G469" s="11">
        <v>7.0963025093078613E-2</v>
      </c>
      <c r="H469" s="40">
        <v>5.1979863233484521E-4</v>
      </c>
      <c r="I469" s="40">
        <v>1.5003729073463661</v>
      </c>
      <c r="J469" s="59">
        <v>0</v>
      </c>
      <c r="K469" s="59">
        <v>5887.5186368823051</v>
      </c>
      <c r="L469" s="59">
        <v>0</v>
      </c>
      <c r="M469" s="11">
        <v>0.8590238094329834</v>
      </c>
      <c r="N469" s="11">
        <v>0.79916644096374512</v>
      </c>
      <c r="O469" s="11">
        <v>0.30468842387199402</v>
      </c>
      <c r="Q469" s="59">
        <v>15.07397785401476</v>
      </c>
      <c r="R469" s="78">
        <v>593.39803962791791</v>
      </c>
      <c r="S469" s="78">
        <v>15.133031825196753</v>
      </c>
      <c r="T469" s="78">
        <v>632.23576542644787</v>
      </c>
      <c r="U469" s="59">
        <v>15.133110939757687</v>
      </c>
      <c r="V469" s="78">
        <v>841.0406275962273</v>
      </c>
      <c r="X469" s="134">
        <f t="shared" si="48"/>
        <v>1506804.3873618483</v>
      </c>
      <c r="Y469" s="134">
        <f t="shared" si="49"/>
        <v>1512670.9467542488</v>
      </c>
      <c r="Z469" s="134">
        <f t="shared" si="50"/>
        <v>1512470.0533481725</v>
      </c>
      <c r="AB469" s="127">
        <f t="shared" si="51"/>
        <v>0</v>
      </c>
      <c r="AC469" s="127">
        <f t="shared" si="52"/>
        <v>1</v>
      </c>
      <c r="AD469" s="127">
        <f t="shared" si="53"/>
        <v>0</v>
      </c>
    </row>
    <row r="470" spans="1:30" x14ac:dyDescent="0.25">
      <c r="A470">
        <v>465</v>
      </c>
      <c r="C470" s="11">
        <v>1.9813448190689087E-2</v>
      </c>
      <c r="D470" s="11">
        <v>1.6507536172866821E-2</v>
      </c>
      <c r="E470" s="11">
        <v>0.18212734281349427</v>
      </c>
      <c r="F470" s="11">
        <v>0.1551142899564138</v>
      </c>
      <c r="G470" s="11">
        <v>2.9617100954055786E-2</v>
      </c>
      <c r="H470" s="40">
        <v>4.5066575827882731E-4</v>
      </c>
      <c r="I470" s="40">
        <v>1.4833054666460181</v>
      </c>
      <c r="J470" s="59">
        <v>0</v>
      </c>
      <c r="K470" s="59">
        <v>5758.0205611884594</v>
      </c>
      <c r="L470" s="59">
        <v>0</v>
      </c>
      <c r="M470" s="11">
        <v>0.87481546401977539</v>
      </c>
      <c r="N470" s="11">
        <v>0.81182694435119629</v>
      </c>
      <c r="O470" s="11">
        <v>0.2882743775844574</v>
      </c>
      <c r="Q470" s="59">
        <v>15.093651191651512</v>
      </c>
      <c r="R470" s="78">
        <v>525.53014683060576</v>
      </c>
      <c r="S470" s="78">
        <v>15.136443876331501</v>
      </c>
      <c r="T470" s="78">
        <v>603.35238177754684</v>
      </c>
      <c r="U470" s="59">
        <v>15.137886373311193</v>
      </c>
      <c r="V470" s="78">
        <v>808.75179673784737</v>
      </c>
      <c r="X470" s="134">
        <f t="shared" si="48"/>
        <v>1508839.5890183204</v>
      </c>
      <c r="Y470" s="134">
        <f t="shared" si="49"/>
        <v>1513041.0352513727</v>
      </c>
      <c r="Z470" s="134">
        <f t="shared" si="50"/>
        <v>1512979.8855343815</v>
      </c>
      <c r="AB470" s="127">
        <f t="shared" si="51"/>
        <v>0</v>
      </c>
      <c r="AC470" s="127">
        <f t="shared" si="52"/>
        <v>1</v>
      </c>
      <c r="AD470" s="127">
        <f t="shared" si="53"/>
        <v>0</v>
      </c>
    </row>
    <row r="471" spans="1:30" x14ac:dyDescent="0.25">
      <c r="A471">
        <v>466</v>
      </c>
      <c r="C471" s="11">
        <v>1.1623457074165344E-2</v>
      </c>
      <c r="D471" s="11">
        <v>1.2374788522720337E-2</v>
      </c>
      <c r="E471" s="11">
        <v>0.30605821482194662</v>
      </c>
      <c r="F471" s="11">
        <v>0.16538718452152146</v>
      </c>
      <c r="G471" s="11">
        <v>3.2151520252227783E-2</v>
      </c>
      <c r="H471" s="40">
        <v>4.4103938992562803E-4</v>
      </c>
      <c r="I471" s="40">
        <v>1.5625168231155069</v>
      </c>
      <c r="J471" s="59">
        <v>0</v>
      </c>
      <c r="K471" s="59">
        <v>3404.9851819872856</v>
      </c>
      <c r="L471" s="59">
        <v>0</v>
      </c>
      <c r="M471" s="11">
        <v>0.86663424968719482</v>
      </c>
      <c r="N471" s="11">
        <v>0.7549254298210144</v>
      </c>
      <c r="O471" s="11">
        <v>0.29851198196411133</v>
      </c>
      <c r="Q471" s="59">
        <v>15.047144274977125</v>
      </c>
      <c r="R471" s="78">
        <v>491.7901426393982</v>
      </c>
      <c r="S471" s="78">
        <v>15.104056279104819</v>
      </c>
      <c r="T471" s="78">
        <v>609.47021484187496</v>
      </c>
      <c r="U471" s="59">
        <v>15.11588868809995</v>
      </c>
      <c r="V471" s="78">
        <v>804.52590482807011</v>
      </c>
      <c r="X471" s="134">
        <f t="shared" si="48"/>
        <v>1504222.6373550731</v>
      </c>
      <c r="Y471" s="134">
        <f t="shared" si="49"/>
        <v>1509796.1576956401</v>
      </c>
      <c r="Z471" s="134">
        <f t="shared" si="50"/>
        <v>1510784.342905167</v>
      </c>
      <c r="AB471" s="127">
        <f t="shared" si="51"/>
        <v>0</v>
      </c>
      <c r="AC471" s="127">
        <f t="shared" si="52"/>
        <v>0</v>
      </c>
      <c r="AD471" s="127">
        <f t="shared" si="53"/>
        <v>1</v>
      </c>
    </row>
    <row r="472" spans="1:30" x14ac:dyDescent="0.25">
      <c r="A472">
        <v>467</v>
      </c>
      <c r="C472" s="11">
        <v>1.1843904852867126E-2</v>
      </c>
      <c r="D472" s="11">
        <v>9.3070864677429199E-3</v>
      </c>
      <c r="E472" s="11">
        <v>0.27606804516995359</v>
      </c>
      <c r="F472" s="11">
        <v>0.14900538790958731</v>
      </c>
      <c r="G472" s="11">
        <v>2.7875930070877075E-2</v>
      </c>
      <c r="H472" s="40">
        <v>6.057131845637366E-4</v>
      </c>
      <c r="I472" s="40">
        <v>1.3652104840287673</v>
      </c>
      <c r="J472" s="59">
        <v>0</v>
      </c>
      <c r="K472" s="59">
        <v>5247.8001452982426</v>
      </c>
      <c r="L472" s="59">
        <v>0</v>
      </c>
      <c r="M472" s="11">
        <v>0.80650544166564941</v>
      </c>
      <c r="N472" s="11">
        <v>0.77128416299819946</v>
      </c>
      <c r="O472" s="11">
        <v>0.37356281280517578</v>
      </c>
      <c r="Q472" s="59">
        <v>14.045144534044077</v>
      </c>
      <c r="R472" s="78">
        <v>508.09968656942215</v>
      </c>
      <c r="S472" s="78">
        <v>14.068099989190518</v>
      </c>
      <c r="T472" s="78">
        <v>610.91027426200708</v>
      </c>
      <c r="U472" s="59">
        <v>14.072204127679701</v>
      </c>
      <c r="V472" s="78">
        <v>805.26277763657629</v>
      </c>
      <c r="X472" s="134">
        <f t="shared" si="48"/>
        <v>1404006.3537178382</v>
      </c>
      <c r="Y472" s="134">
        <f t="shared" si="49"/>
        <v>1406199.0886447898</v>
      </c>
      <c r="Z472" s="134">
        <f t="shared" si="50"/>
        <v>1406415.1499903335</v>
      </c>
      <c r="AB472" s="127">
        <f t="shared" si="51"/>
        <v>0</v>
      </c>
      <c r="AC472" s="127">
        <f t="shared" si="52"/>
        <v>0</v>
      </c>
      <c r="AD472" s="127">
        <f t="shared" si="53"/>
        <v>1</v>
      </c>
    </row>
    <row r="473" spans="1:30" x14ac:dyDescent="0.25">
      <c r="A473">
        <v>468</v>
      </c>
      <c r="C473" s="11">
        <v>1.3710200786590576E-2</v>
      </c>
      <c r="D473" s="11">
        <v>2.0451605319976807E-2</v>
      </c>
      <c r="E473" s="11">
        <v>0.37747124238520097</v>
      </c>
      <c r="F473" s="11">
        <v>0.16929399657891986</v>
      </c>
      <c r="G473" s="11">
        <v>6.5686345100402832E-2</v>
      </c>
      <c r="H473" s="40">
        <v>5.8785031348075948E-4</v>
      </c>
      <c r="I473" s="40">
        <v>1.3971781451270338</v>
      </c>
      <c r="J473" s="59">
        <v>0</v>
      </c>
      <c r="K473" s="59">
        <v>5786.9404554367065</v>
      </c>
      <c r="L473" s="59">
        <v>0</v>
      </c>
      <c r="M473" s="11">
        <v>0.88387596607208252</v>
      </c>
      <c r="N473" s="11">
        <v>0.77966469526290894</v>
      </c>
      <c r="O473" s="11">
        <v>0.29603356122970581</v>
      </c>
      <c r="Q473" s="59">
        <v>15.323932031308662</v>
      </c>
      <c r="R473" s="78">
        <v>554.52049436733409</v>
      </c>
      <c r="S473" s="78">
        <v>15.369877328244153</v>
      </c>
      <c r="T473" s="78">
        <v>640.30331822501739</v>
      </c>
      <c r="U473" s="59">
        <v>15.385527655834778</v>
      </c>
      <c r="V473" s="78">
        <v>815.60249126951203</v>
      </c>
      <c r="X473" s="134">
        <f t="shared" si="48"/>
        <v>1531838.6826364989</v>
      </c>
      <c r="Y473" s="134">
        <f t="shared" si="49"/>
        <v>1536347.4295061901</v>
      </c>
      <c r="Z473" s="134">
        <f t="shared" si="50"/>
        <v>1537737.1630922083</v>
      </c>
      <c r="AB473" s="127">
        <f t="shared" si="51"/>
        <v>0</v>
      </c>
      <c r="AC473" s="127">
        <f t="shared" si="52"/>
        <v>0</v>
      </c>
      <c r="AD473" s="127">
        <f t="shared" si="53"/>
        <v>1</v>
      </c>
    </row>
    <row r="474" spans="1:30" x14ac:dyDescent="0.25">
      <c r="A474">
        <v>469</v>
      </c>
      <c r="C474" s="11">
        <v>1.3152644038200378E-2</v>
      </c>
      <c r="D474" s="11">
        <v>4.4326305389404297E-2</v>
      </c>
      <c r="E474" s="11">
        <v>0.31659508771956585</v>
      </c>
      <c r="F474" s="11">
        <v>0.1803135531015112</v>
      </c>
      <c r="G474" s="11">
        <v>1.76505446434021E-2</v>
      </c>
      <c r="H474" s="40">
        <v>4.3686768868441968E-4</v>
      </c>
      <c r="I474" s="40">
        <v>1.4417683324757669</v>
      </c>
      <c r="J474" s="59">
        <v>0</v>
      </c>
      <c r="K474" s="59">
        <v>5015.7192163169384</v>
      </c>
      <c r="L474" s="59">
        <v>0</v>
      </c>
      <c r="M474" s="11">
        <v>0.81842947006225586</v>
      </c>
      <c r="N474" s="11">
        <v>0.81080889701843262</v>
      </c>
      <c r="O474" s="11">
        <v>0.26881295442581177</v>
      </c>
      <c r="Q474" s="59">
        <v>14.232490214134868</v>
      </c>
      <c r="R474" s="78">
        <v>486.33641502286594</v>
      </c>
      <c r="S474" s="78">
        <v>14.255409600358837</v>
      </c>
      <c r="T474" s="78">
        <v>608.57715948938016</v>
      </c>
      <c r="U474" s="59">
        <v>14.260059423751768</v>
      </c>
      <c r="V474" s="78">
        <v>804.88494023077067</v>
      </c>
      <c r="X474" s="134">
        <f t="shared" si="48"/>
        <v>1422762.6849984641</v>
      </c>
      <c r="Y474" s="134">
        <f t="shared" si="49"/>
        <v>1424932.3828763943</v>
      </c>
      <c r="Z474" s="134">
        <f t="shared" si="50"/>
        <v>1425201.0574349461</v>
      </c>
      <c r="AB474" s="127">
        <f t="shared" si="51"/>
        <v>0</v>
      </c>
      <c r="AC474" s="127">
        <f t="shared" si="52"/>
        <v>0</v>
      </c>
      <c r="AD474" s="127">
        <f t="shared" si="53"/>
        <v>1</v>
      </c>
    </row>
    <row r="475" spans="1:30" x14ac:dyDescent="0.25">
      <c r="A475">
        <v>470</v>
      </c>
      <c r="C475" s="11">
        <v>2.543175220489502E-2</v>
      </c>
      <c r="D475" s="11">
        <v>1.1694535613059998E-2</v>
      </c>
      <c r="E475" s="11">
        <v>0.48832117959729948</v>
      </c>
      <c r="F475" s="11">
        <v>9.4117730300977587E-2</v>
      </c>
      <c r="G475" s="11">
        <v>3.2471716403961182E-2</v>
      </c>
      <c r="H475" s="40">
        <v>4.7533998050776376E-4</v>
      </c>
      <c r="I475" s="40">
        <v>1.4080422572107829</v>
      </c>
      <c r="J475" s="59">
        <v>0</v>
      </c>
      <c r="K475" s="59">
        <v>3732.7129393815994</v>
      </c>
      <c r="L475" s="59">
        <v>0</v>
      </c>
      <c r="M475" s="11">
        <v>0.86824482679367065</v>
      </c>
      <c r="N475" s="11">
        <v>0.67580318450927734</v>
      </c>
      <c r="O475" s="11">
        <v>0.35659337043762207</v>
      </c>
      <c r="Q475" s="59">
        <v>14.871085655111255</v>
      </c>
      <c r="R475" s="78">
        <v>467.15231604688802</v>
      </c>
      <c r="S475" s="78">
        <v>14.909218757663592</v>
      </c>
      <c r="T475" s="78">
        <v>615.01973167806261</v>
      </c>
      <c r="U475" s="59">
        <v>14.939085961248169</v>
      </c>
      <c r="V475" s="78">
        <v>794.98718565766239</v>
      </c>
      <c r="X475" s="134">
        <f t="shared" si="48"/>
        <v>1486641.4131950787</v>
      </c>
      <c r="Y475" s="134">
        <f t="shared" si="49"/>
        <v>1490306.856034681</v>
      </c>
      <c r="Z475" s="134">
        <f t="shared" si="50"/>
        <v>1493113.6089391592</v>
      </c>
      <c r="AB475" s="127">
        <f t="shared" si="51"/>
        <v>0</v>
      </c>
      <c r="AC475" s="127">
        <f t="shared" si="52"/>
        <v>0</v>
      </c>
      <c r="AD475" s="127">
        <f t="shared" si="53"/>
        <v>1</v>
      </c>
    </row>
    <row r="476" spans="1:30" x14ac:dyDescent="0.25">
      <c r="A476">
        <v>471</v>
      </c>
      <c r="C476" s="11">
        <v>1.0672956705093384E-2</v>
      </c>
      <c r="D476" s="11">
        <v>3.3104658126831055E-2</v>
      </c>
      <c r="E476" s="11">
        <v>0.13590245728403869</v>
      </c>
      <c r="F476" s="11">
        <v>0.15451872207259043</v>
      </c>
      <c r="G476" s="11">
        <v>3.9119869470596313E-2</v>
      </c>
      <c r="H476" s="40">
        <v>3.8993080520277021E-4</v>
      </c>
      <c r="I476" s="40">
        <v>1.4722130560336604</v>
      </c>
      <c r="J476" s="59">
        <v>0</v>
      </c>
      <c r="K476" s="59">
        <v>6895.6520408391953</v>
      </c>
      <c r="L476" s="59">
        <v>0</v>
      </c>
      <c r="M476" s="11">
        <v>0.83953386545181274</v>
      </c>
      <c r="N476" s="11">
        <v>0.70311570167541504</v>
      </c>
      <c r="O476" s="11">
        <v>0.2657390832901001</v>
      </c>
      <c r="Q476" s="59">
        <v>14.601561635408522</v>
      </c>
      <c r="R476" s="78">
        <v>533.85786167212348</v>
      </c>
      <c r="S476" s="78">
        <v>14.661320635934061</v>
      </c>
      <c r="T476" s="78">
        <v>598.28181432080657</v>
      </c>
      <c r="U476" s="59">
        <v>14.660012229376784</v>
      </c>
      <c r="V476" s="78">
        <v>809.91626643341715</v>
      </c>
      <c r="X476" s="134">
        <f t="shared" si="48"/>
        <v>1459622.3056791802</v>
      </c>
      <c r="Y476" s="134">
        <f t="shared" si="49"/>
        <v>1465533.7817790853</v>
      </c>
      <c r="Z476" s="134">
        <f t="shared" si="50"/>
        <v>1465191.306671245</v>
      </c>
      <c r="AB476" s="127">
        <f t="shared" si="51"/>
        <v>0</v>
      </c>
      <c r="AC476" s="127">
        <f t="shared" si="52"/>
        <v>1</v>
      </c>
      <c r="AD476" s="127">
        <f t="shared" si="53"/>
        <v>0</v>
      </c>
    </row>
    <row r="477" spans="1:30" x14ac:dyDescent="0.25">
      <c r="A477">
        <v>472</v>
      </c>
      <c r="C477" s="11">
        <v>2.6756316423416138E-2</v>
      </c>
      <c r="D477" s="11">
        <v>2.5285452604293823E-2</v>
      </c>
      <c r="E477" s="11">
        <v>0.16435441307832518</v>
      </c>
      <c r="F477" s="11">
        <v>0.46435511937355173</v>
      </c>
      <c r="G477" s="11">
        <v>6.296384334564209E-2</v>
      </c>
      <c r="H477" s="40">
        <v>3.3922194537229961E-4</v>
      </c>
      <c r="I477" s="40">
        <v>1.5335254548996</v>
      </c>
      <c r="J477" s="59">
        <v>0</v>
      </c>
      <c r="K477" s="59">
        <v>5395.5265320837498</v>
      </c>
      <c r="L477" s="59">
        <v>0</v>
      </c>
      <c r="M477" s="11">
        <v>0.87338602542877197</v>
      </c>
      <c r="N477" s="11">
        <v>0.66780424118041992</v>
      </c>
      <c r="O477" s="11">
        <v>0.29510855674743652</v>
      </c>
      <c r="Q477" s="59">
        <v>14.922747641261655</v>
      </c>
      <c r="R477" s="78">
        <v>519.31702121304579</v>
      </c>
      <c r="S477" s="78">
        <v>14.999037060724891</v>
      </c>
      <c r="T477" s="78">
        <v>599.90033397797265</v>
      </c>
      <c r="U477" s="59">
        <v>14.971350891805642</v>
      </c>
      <c r="V477" s="78">
        <v>846.73924400867782</v>
      </c>
      <c r="X477" s="134">
        <f t="shared" si="48"/>
        <v>1491755.4471049525</v>
      </c>
      <c r="Y477" s="134">
        <f t="shared" si="49"/>
        <v>1499303.805738511</v>
      </c>
      <c r="Z477" s="134">
        <f t="shared" si="50"/>
        <v>1496288.3499365556</v>
      </c>
      <c r="AB477" s="127">
        <f t="shared" si="51"/>
        <v>0</v>
      </c>
      <c r="AC477" s="127">
        <f t="shared" si="52"/>
        <v>1</v>
      </c>
      <c r="AD477" s="127">
        <f t="shared" si="53"/>
        <v>0</v>
      </c>
    </row>
    <row r="478" spans="1:30" x14ac:dyDescent="0.25">
      <c r="A478">
        <v>473</v>
      </c>
      <c r="C478" s="11">
        <v>2.2930920124053955E-2</v>
      </c>
      <c r="D478" s="11">
        <v>8.4640383720397949E-3</v>
      </c>
      <c r="E478" s="11">
        <v>0.17762777878924346</v>
      </c>
      <c r="F478" s="11">
        <v>0.6445873309306912</v>
      </c>
      <c r="G478" s="11">
        <v>1.8103539943695068E-2</v>
      </c>
      <c r="H478" s="40">
        <v>4.6184287113470898E-4</v>
      </c>
      <c r="I478" s="40">
        <v>1.4923325662003273</v>
      </c>
      <c r="J478" s="59">
        <v>0</v>
      </c>
      <c r="K478" s="59">
        <v>5732.3486544191837</v>
      </c>
      <c r="L478" s="59">
        <v>0</v>
      </c>
      <c r="M478" s="11">
        <v>0.75701141357421875</v>
      </c>
      <c r="N478" s="11">
        <v>0.77053135633468628</v>
      </c>
      <c r="O478" s="11">
        <v>0.29895162582397461</v>
      </c>
      <c r="Q478" s="59">
        <v>13.047025601987722</v>
      </c>
      <c r="R478" s="78">
        <v>522.60343965364325</v>
      </c>
      <c r="S478" s="78">
        <v>13.061651688905924</v>
      </c>
      <c r="T478" s="78">
        <v>602.25194300993121</v>
      </c>
      <c r="U478" s="59">
        <v>13.053256912142848</v>
      </c>
      <c r="V478" s="78">
        <v>871.53065605024563</v>
      </c>
      <c r="X478" s="134">
        <f t="shared" si="48"/>
        <v>1304179.9567591185</v>
      </c>
      <c r="Y478" s="134">
        <f t="shared" si="49"/>
        <v>1305562.9169475825</v>
      </c>
      <c r="Z478" s="134">
        <f t="shared" si="50"/>
        <v>1304454.1605582347</v>
      </c>
      <c r="AB478" s="127">
        <f t="shared" si="51"/>
        <v>0</v>
      </c>
      <c r="AC478" s="127">
        <f t="shared" si="52"/>
        <v>1</v>
      </c>
      <c r="AD478" s="127">
        <f t="shared" si="53"/>
        <v>0</v>
      </c>
    </row>
    <row r="479" spans="1:30" x14ac:dyDescent="0.25">
      <c r="A479">
        <v>474</v>
      </c>
      <c r="C479" s="11">
        <v>6.0019791126251221E-3</v>
      </c>
      <c r="D479" s="11">
        <v>9.9260807037353516E-3</v>
      </c>
      <c r="E479" s="11">
        <v>0.24014700214854728</v>
      </c>
      <c r="F479" s="11">
        <v>0.21778159962905033</v>
      </c>
      <c r="G479" s="11">
        <v>3.3074662089347839E-2</v>
      </c>
      <c r="H479" s="40">
        <v>4.5370235128722251E-4</v>
      </c>
      <c r="I479" s="40">
        <v>1.4001064739638538</v>
      </c>
      <c r="J479" s="59">
        <v>0</v>
      </c>
      <c r="K479" s="59">
        <v>6020.8956710994244</v>
      </c>
      <c r="L479" s="59">
        <v>0</v>
      </c>
      <c r="M479" s="11">
        <v>0.85307705402374268</v>
      </c>
      <c r="N479" s="11">
        <v>0.79868793487548828</v>
      </c>
      <c r="O479" s="11">
        <v>0.30999696254730225</v>
      </c>
      <c r="Q479" s="59">
        <v>14.94125904630882</v>
      </c>
      <c r="R479" s="78">
        <v>506.77084297769375</v>
      </c>
      <c r="S479" s="78">
        <v>14.969018324706964</v>
      </c>
      <c r="T479" s="78">
        <v>606.39392313874237</v>
      </c>
      <c r="U479" s="59">
        <v>14.969847098395197</v>
      </c>
      <c r="V479" s="78">
        <v>812.85109658599868</v>
      </c>
      <c r="X479" s="134">
        <f t="shared" si="48"/>
        <v>1493619.1337879042</v>
      </c>
      <c r="Y479" s="134">
        <f t="shared" si="49"/>
        <v>1496295.4385475577</v>
      </c>
      <c r="Z479" s="134">
        <f t="shared" si="50"/>
        <v>1496171.8587429337</v>
      </c>
      <c r="AB479" s="127">
        <f t="shared" si="51"/>
        <v>0</v>
      </c>
      <c r="AC479" s="127">
        <f t="shared" si="52"/>
        <v>1</v>
      </c>
      <c r="AD479" s="127">
        <f t="shared" si="53"/>
        <v>0</v>
      </c>
    </row>
    <row r="480" spans="1:30" x14ac:dyDescent="0.25">
      <c r="A480">
        <v>475</v>
      </c>
      <c r="C480" s="11">
        <v>2.1171107888221741E-2</v>
      </c>
      <c r="D480" s="11">
        <v>9.7195953130722046E-3</v>
      </c>
      <c r="E480" s="11">
        <v>0.32919670914397253</v>
      </c>
      <c r="F480" s="11">
        <v>0.33795912259133565</v>
      </c>
      <c r="G480" s="11">
        <v>2.4828344583511353E-2</v>
      </c>
      <c r="H480" s="40">
        <v>3.7412358656799532E-4</v>
      </c>
      <c r="I480" s="40">
        <v>1.3099602936801558</v>
      </c>
      <c r="J480" s="59">
        <v>0</v>
      </c>
      <c r="K480" s="59">
        <v>4858.232568949461</v>
      </c>
      <c r="L480" s="59">
        <v>0</v>
      </c>
      <c r="M480" s="11">
        <v>0.8792259693145752</v>
      </c>
      <c r="N480" s="11">
        <v>0.7590254545211792</v>
      </c>
      <c r="O480" s="11">
        <v>0.29664051532745361</v>
      </c>
      <c r="Q480" s="59">
        <v>15.167834268590477</v>
      </c>
      <c r="R480" s="78">
        <v>448.46387172380497</v>
      </c>
      <c r="S480" s="78">
        <v>15.190327828467405</v>
      </c>
      <c r="T480" s="78">
        <v>597.0402291820094</v>
      </c>
      <c r="U480" s="59">
        <v>15.190031954860757</v>
      </c>
      <c r="V480" s="78">
        <v>806.51892075228477</v>
      </c>
      <c r="X480" s="134">
        <f t="shared" si="48"/>
        <v>1516334.962987324</v>
      </c>
      <c r="Y480" s="134">
        <f t="shared" si="49"/>
        <v>1518435.7426175585</v>
      </c>
      <c r="Z480" s="134">
        <f t="shared" si="50"/>
        <v>1518196.6765653235</v>
      </c>
      <c r="AB480" s="127">
        <f t="shared" si="51"/>
        <v>0</v>
      </c>
      <c r="AC480" s="127">
        <f t="shared" si="52"/>
        <v>1</v>
      </c>
      <c r="AD480" s="127">
        <f t="shared" si="53"/>
        <v>0</v>
      </c>
    </row>
    <row r="481" spans="1:30" x14ac:dyDescent="0.25">
      <c r="A481">
        <v>476</v>
      </c>
      <c r="C481" s="11">
        <v>1.7919093370437622E-2</v>
      </c>
      <c r="D481" s="11">
        <v>2.4980008602142334E-3</v>
      </c>
      <c r="E481" s="11">
        <v>0.24436064711532601</v>
      </c>
      <c r="F481" s="11">
        <v>0.32866567051027229</v>
      </c>
      <c r="G481" s="11">
        <v>3.843119740486145E-2</v>
      </c>
      <c r="H481" s="40">
        <v>3.6845376983455529E-4</v>
      </c>
      <c r="I481" s="40">
        <v>1.536617696199547</v>
      </c>
      <c r="J481" s="59">
        <v>0</v>
      </c>
      <c r="K481" s="59">
        <v>7668.687030673027</v>
      </c>
      <c r="L481" s="59">
        <v>0</v>
      </c>
      <c r="M481" s="11">
        <v>0.85084640979766846</v>
      </c>
      <c r="N481" s="11">
        <v>0.69809210300445557</v>
      </c>
      <c r="O481" s="11">
        <v>0.26756715774536133</v>
      </c>
      <c r="Q481" s="59">
        <v>14.684463800205958</v>
      </c>
      <c r="R481" s="78">
        <v>570.56131483538059</v>
      </c>
      <c r="S481" s="78">
        <v>14.740985129857398</v>
      </c>
      <c r="T481" s="78">
        <v>622.78895754079917</v>
      </c>
      <c r="U481" s="59">
        <v>14.734581957028672</v>
      </c>
      <c r="V481" s="78">
        <v>846.79835221462008</v>
      </c>
      <c r="X481" s="134">
        <f t="shared" si="48"/>
        <v>1467875.8187057604</v>
      </c>
      <c r="Y481" s="134">
        <f t="shared" si="49"/>
        <v>1473475.724028199</v>
      </c>
      <c r="Z481" s="134">
        <f t="shared" si="50"/>
        <v>1472611.3973506526</v>
      </c>
      <c r="AB481" s="127">
        <f t="shared" si="51"/>
        <v>0</v>
      </c>
      <c r="AC481" s="127">
        <f t="shared" si="52"/>
        <v>1</v>
      </c>
      <c r="AD481" s="127">
        <f t="shared" si="53"/>
        <v>0</v>
      </c>
    </row>
    <row r="482" spans="1:30" x14ac:dyDescent="0.25">
      <c r="A482">
        <v>477</v>
      </c>
      <c r="C482" s="11">
        <v>1.2431278824806213E-2</v>
      </c>
      <c r="D482" s="11">
        <v>7.080763578414917E-3</v>
      </c>
      <c r="E482" s="11">
        <v>0.27614656249721181</v>
      </c>
      <c r="F482" s="11">
        <v>0.21210787465159986</v>
      </c>
      <c r="G482" s="11">
        <v>1.8884122371673584E-2</v>
      </c>
      <c r="H482" s="40">
        <v>4.5975700327002768E-4</v>
      </c>
      <c r="I482" s="40">
        <v>1.4011245091013416</v>
      </c>
      <c r="J482" s="59">
        <v>0</v>
      </c>
      <c r="K482" s="59">
        <v>4400.4153460264206</v>
      </c>
      <c r="L482" s="59">
        <v>0</v>
      </c>
      <c r="M482" s="11">
        <v>0.81257641315460205</v>
      </c>
      <c r="N482" s="11">
        <v>0.82991600036621094</v>
      </c>
      <c r="O482" s="11">
        <v>0.33007639646530151</v>
      </c>
      <c r="Q482" s="59">
        <v>14.161344506385012</v>
      </c>
      <c r="R482" s="78">
        <v>470.72416263082988</v>
      </c>
      <c r="S482" s="78">
        <v>14.170865996944027</v>
      </c>
      <c r="T482" s="78">
        <v>600.42767322347629</v>
      </c>
      <c r="U482" s="59">
        <v>14.171723304674371</v>
      </c>
      <c r="V482" s="78">
        <v>804.4751032906762</v>
      </c>
      <c r="X482" s="134">
        <f t="shared" si="48"/>
        <v>1415663.7264758705</v>
      </c>
      <c r="Y482" s="134">
        <f t="shared" si="49"/>
        <v>1416486.1720211792</v>
      </c>
      <c r="Z482" s="134">
        <f t="shared" si="50"/>
        <v>1416367.8553641464</v>
      </c>
      <c r="AB482" s="127">
        <f t="shared" si="51"/>
        <v>0</v>
      </c>
      <c r="AC482" s="127">
        <f t="shared" si="52"/>
        <v>1</v>
      </c>
      <c r="AD482" s="127">
        <f t="shared" si="53"/>
        <v>0</v>
      </c>
    </row>
    <row r="483" spans="1:30" x14ac:dyDescent="0.25">
      <c r="A483">
        <v>478</v>
      </c>
      <c r="C483" s="11">
        <v>1.459696888923645E-2</v>
      </c>
      <c r="D483" s="11">
        <v>3.1885921955108643E-2</v>
      </c>
      <c r="E483" s="11">
        <v>0.11814974762201026</v>
      </c>
      <c r="F483" s="11">
        <v>9.6608936743837942E-2</v>
      </c>
      <c r="G483" s="11">
        <v>3.0727177858352661E-2</v>
      </c>
      <c r="H483" s="40">
        <v>6.5711327015393467E-4</v>
      </c>
      <c r="I483" s="40">
        <v>1.3844327613724698</v>
      </c>
      <c r="J483" s="59">
        <v>0</v>
      </c>
      <c r="K483" s="59">
        <v>5803.8043789565563</v>
      </c>
      <c r="L483" s="59">
        <v>0</v>
      </c>
      <c r="M483" s="11">
        <v>0.86675041913986206</v>
      </c>
      <c r="N483" s="11">
        <v>0.72820830345153809</v>
      </c>
      <c r="O483" s="11">
        <v>0.29892629384994507</v>
      </c>
      <c r="Q483" s="59">
        <v>14.998764502838613</v>
      </c>
      <c r="R483" s="78">
        <v>539.64583073540155</v>
      </c>
      <c r="S483" s="78">
        <v>15.075860257630904</v>
      </c>
      <c r="T483" s="78">
        <v>596.5254273703041</v>
      </c>
      <c r="U483" s="59">
        <v>15.077783848486577</v>
      </c>
      <c r="V483" s="78">
        <v>802.33667757967567</v>
      </c>
      <c r="X483" s="134">
        <f t="shared" si="48"/>
        <v>1499336.8044531259</v>
      </c>
      <c r="Y483" s="134">
        <f t="shared" si="49"/>
        <v>1506989.5003357201</v>
      </c>
      <c r="Z483" s="134">
        <f t="shared" si="50"/>
        <v>1506976.0481710781</v>
      </c>
      <c r="AB483" s="127">
        <f t="shared" si="51"/>
        <v>0</v>
      </c>
      <c r="AC483" s="127">
        <f t="shared" si="52"/>
        <v>1</v>
      </c>
      <c r="AD483" s="127">
        <f t="shared" si="53"/>
        <v>0</v>
      </c>
    </row>
    <row r="484" spans="1:30" x14ac:dyDescent="0.25">
      <c r="A484">
        <v>479</v>
      </c>
      <c r="C484" s="11">
        <v>4.9209713935852051E-2</v>
      </c>
      <c r="D484" s="11">
        <v>1.9758313894271851E-2</v>
      </c>
      <c r="E484" s="11">
        <v>0.2780544017128373</v>
      </c>
      <c r="F484" s="11">
        <v>0.31548185985555743</v>
      </c>
      <c r="G484" s="11">
        <v>4.7494500875473022E-2</v>
      </c>
      <c r="H484" s="40">
        <v>4.0783529200599686E-4</v>
      </c>
      <c r="I484" s="40">
        <v>1.4370668638459647</v>
      </c>
      <c r="J484" s="59">
        <v>0</v>
      </c>
      <c r="K484" s="59">
        <v>4150.9442962706089</v>
      </c>
      <c r="L484" s="59">
        <v>0</v>
      </c>
      <c r="M484" s="11">
        <v>0.8692413866519928</v>
      </c>
      <c r="N484" s="11">
        <v>0.69071733951568604</v>
      </c>
      <c r="O484" s="11">
        <v>0.31513559818267822</v>
      </c>
      <c r="Q484" s="59">
        <v>14.528090077074495</v>
      </c>
      <c r="R484" s="78">
        <v>473.95960284116717</v>
      </c>
      <c r="S484" s="78">
        <v>14.578568194973224</v>
      </c>
      <c r="T484" s="78">
        <v>601.47880943729081</v>
      </c>
      <c r="U484" s="59">
        <v>14.575919967396286</v>
      </c>
      <c r="V484" s="78">
        <v>813.48997287155885</v>
      </c>
      <c r="X484" s="134">
        <f t="shared" si="48"/>
        <v>1452335.0481046084</v>
      </c>
      <c r="Y484" s="134">
        <f t="shared" si="49"/>
        <v>1457255.3406878852</v>
      </c>
      <c r="Z484" s="134">
        <f t="shared" si="50"/>
        <v>1456778.5067667572</v>
      </c>
      <c r="AB484" s="127">
        <f t="shared" si="51"/>
        <v>0</v>
      </c>
      <c r="AC484" s="127">
        <f t="shared" si="52"/>
        <v>1</v>
      </c>
      <c r="AD484" s="127">
        <f t="shared" si="53"/>
        <v>0</v>
      </c>
    </row>
    <row r="485" spans="1:30" x14ac:dyDescent="0.25">
      <c r="A485">
        <v>480</v>
      </c>
      <c r="C485" s="11">
        <v>2.3340314626693726E-2</v>
      </c>
      <c r="D485" s="11">
        <v>3.0345559120178223E-2</v>
      </c>
      <c r="E485" s="11">
        <v>0.11480100982945711</v>
      </c>
      <c r="F485" s="11">
        <v>0.15424207372914261</v>
      </c>
      <c r="G485" s="11">
        <v>3.5975471138954163E-2</v>
      </c>
      <c r="H485" s="40">
        <v>3.799154118134632E-4</v>
      </c>
      <c r="I485" s="40">
        <v>1.5121141529276587</v>
      </c>
      <c r="J485" s="59">
        <v>0</v>
      </c>
      <c r="K485" s="59">
        <v>6762.9478871822357</v>
      </c>
      <c r="L485" s="59">
        <v>0</v>
      </c>
      <c r="M485" s="11">
        <v>0.86296820640563965</v>
      </c>
      <c r="N485" s="11">
        <v>0.80844783782958984</v>
      </c>
      <c r="O485" s="11">
        <v>0.37101840972900391</v>
      </c>
      <c r="Q485" s="59">
        <v>14.840156406941023</v>
      </c>
      <c r="R485" s="78">
        <v>539.81884075637902</v>
      </c>
      <c r="S485" s="78">
        <v>14.881804723558826</v>
      </c>
      <c r="T485" s="78">
        <v>596.01896947639148</v>
      </c>
      <c r="U485" s="59">
        <v>14.879913940061689</v>
      </c>
      <c r="V485" s="78">
        <v>810.84906952992139</v>
      </c>
      <c r="X485" s="134">
        <f t="shared" si="48"/>
        <v>1483475.821853346</v>
      </c>
      <c r="Y485" s="134">
        <f t="shared" si="49"/>
        <v>1487584.4533864062</v>
      </c>
      <c r="Z485" s="134">
        <f t="shared" si="50"/>
        <v>1487180.544936639</v>
      </c>
      <c r="AB485" s="127">
        <f t="shared" si="51"/>
        <v>0</v>
      </c>
      <c r="AC485" s="127">
        <f t="shared" si="52"/>
        <v>1</v>
      </c>
      <c r="AD485" s="127">
        <f t="shared" si="53"/>
        <v>0</v>
      </c>
    </row>
    <row r="486" spans="1:30" x14ac:dyDescent="0.25">
      <c r="A486">
        <v>481</v>
      </c>
      <c r="C486" s="11">
        <v>6.8639814853668213E-3</v>
      </c>
      <c r="D486" s="11">
        <v>9.2909634113311768E-3</v>
      </c>
      <c r="E486" s="11">
        <v>0.32224518358785792</v>
      </c>
      <c r="F486" s="11">
        <v>9.1370034310895409E-2</v>
      </c>
      <c r="G486" s="11">
        <v>3.8363337516784668E-2</v>
      </c>
      <c r="H486" s="40">
        <v>3.6446669667975303E-4</v>
      </c>
      <c r="I486" s="40">
        <v>1.4378518321412377</v>
      </c>
      <c r="J486" s="59">
        <v>0</v>
      </c>
      <c r="K486" s="59">
        <v>3189.663402736187</v>
      </c>
      <c r="L486" s="59">
        <v>0</v>
      </c>
      <c r="M486" s="11">
        <v>0.85284847021102905</v>
      </c>
      <c r="N486" s="11">
        <v>0.69651508331298828</v>
      </c>
      <c r="O486" s="11">
        <v>0.29801195859909058</v>
      </c>
      <c r="Q486" s="59">
        <v>14.9034416146625</v>
      </c>
      <c r="R486" s="78">
        <v>449.16961190032026</v>
      </c>
      <c r="S486" s="78">
        <v>14.942221743139426</v>
      </c>
      <c r="T486" s="78">
        <v>596.94473373118888</v>
      </c>
      <c r="U486" s="59">
        <v>14.955623079689698</v>
      </c>
      <c r="V486" s="78">
        <v>793.10436372836477</v>
      </c>
      <c r="X486" s="134">
        <f t="shared" si="48"/>
        <v>1489894.9918543496</v>
      </c>
      <c r="Y486" s="134">
        <f t="shared" si="49"/>
        <v>1493625.2295802115</v>
      </c>
      <c r="Z486" s="134">
        <f t="shared" si="50"/>
        <v>1494769.2036052414</v>
      </c>
      <c r="AB486" s="127">
        <f t="shared" si="51"/>
        <v>0</v>
      </c>
      <c r="AC486" s="127">
        <f t="shared" si="52"/>
        <v>0</v>
      </c>
      <c r="AD486" s="127">
        <f t="shared" si="53"/>
        <v>1</v>
      </c>
    </row>
    <row r="487" spans="1:30" x14ac:dyDescent="0.25">
      <c r="A487">
        <v>482</v>
      </c>
      <c r="C487" s="11">
        <v>2.3984268307685852E-2</v>
      </c>
      <c r="D487" s="11">
        <v>2.7323782444000244E-2</v>
      </c>
      <c r="E487" s="11">
        <v>0.28142279146681975</v>
      </c>
      <c r="F487" s="11">
        <v>0.39187151182324165</v>
      </c>
      <c r="G487" s="11">
        <v>7.4044585227966309E-2</v>
      </c>
      <c r="H487" s="40">
        <v>4.6296930289546411E-4</v>
      </c>
      <c r="I487" s="40">
        <v>1.4435548527492708</v>
      </c>
      <c r="J487" s="59">
        <v>0</v>
      </c>
      <c r="K487" s="59">
        <v>3617.2382533550262</v>
      </c>
      <c r="L487" s="59">
        <v>0</v>
      </c>
      <c r="M487" s="11">
        <v>0.80081820487976074</v>
      </c>
      <c r="N487" s="11">
        <v>0.79501807689666748</v>
      </c>
      <c r="O487" s="11">
        <v>0.34898877143859863</v>
      </c>
      <c r="Q487" s="59">
        <v>13.770554202904144</v>
      </c>
      <c r="R487" s="78">
        <v>486.50836647103057</v>
      </c>
      <c r="S487" s="78">
        <v>13.795905394290747</v>
      </c>
      <c r="T487" s="78">
        <v>605.35958855630565</v>
      </c>
      <c r="U487" s="59">
        <v>13.791957689623244</v>
      </c>
      <c r="V487" s="78">
        <v>824.63443227713265</v>
      </c>
      <c r="X487" s="134">
        <f t="shared" si="48"/>
        <v>1376568.9119239436</v>
      </c>
      <c r="Y487" s="134">
        <f t="shared" si="49"/>
        <v>1378985.1798405184</v>
      </c>
      <c r="Z487" s="134">
        <f t="shared" si="50"/>
        <v>1378371.1345300472</v>
      </c>
      <c r="AB487" s="127">
        <f t="shared" si="51"/>
        <v>0</v>
      </c>
      <c r="AC487" s="127">
        <f t="shared" si="52"/>
        <v>1</v>
      </c>
      <c r="AD487" s="127">
        <f t="shared" si="53"/>
        <v>0</v>
      </c>
    </row>
    <row r="488" spans="1:30" x14ac:dyDescent="0.25">
      <c r="A488">
        <v>483</v>
      </c>
      <c r="C488" s="11">
        <v>2.46163010597229E-2</v>
      </c>
      <c r="D488" s="11">
        <v>4.8982203006744385E-3</v>
      </c>
      <c r="E488" s="11">
        <v>0.27066693358181676</v>
      </c>
      <c r="F488" s="11">
        <v>0.18491563013456722</v>
      </c>
      <c r="G488" s="11">
        <v>5.6908130645751953E-2</v>
      </c>
      <c r="H488" s="40">
        <v>5.8451429317710874E-4</v>
      </c>
      <c r="I488" s="40">
        <v>1.3682433341226392</v>
      </c>
      <c r="J488" s="59">
        <v>0</v>
      </c>
      <c r="K488" s="59">
        <v>6057.9716227948666</v>
      </c>
      <c r="L488" s="59">
        <v>0</v>
      </c>
      <c r="M488" s="11">
        <v>0.83583694696426392</v>
      </c>
      <c r="N488" s="11">
        <v>0.66248035430908203</v>
      </c>
      <c r="O488" s="11">
        <v>0.3271518349647522</v>
      </c>
      <c r="Q488" s="59">
        <v>14.323659631594801</v>
      </c>
      <c r="R488" s="78">
        <v>541.23319645461515</v>
      </c>
      <c r="S488" s="78">
        <v>14.379360231968899</v>
      </c>
      <c r="T488" s="78">
        <v>619.34782780072214</v>
      </c>
      <c r="U488" s="59">
        <v>14.386014113972397</v>
      </c>
      <c r="V488" s="78">
        <v>815.60544193870658</v>
      </c>
      <c r="X488" s="134">
        <f t="shared" si="48"/>
        <v>1431824.7299630255</v>
      </c>
      <c r="Y488" s="134">
        <f t="shared" si="49"/>
        <v>1437316.6753690892</v>
      </c>
      <c r="Z488" s="134">
        <f t="shared" si="50"/>
        <v>1437785.805955301</v>
      </c>
      <c r="AB488" s="127">
        <f t="shared" si="51"/>
        <v>0</v>
      </c>
      <c r="AC488" s="127">
        <f t="shared" si="52"/>
        <v>0</v>
      </c>
      <c r="AD488" s="127">
        <f t="shared" si="53"/>
        <v>1</v>
      </c>
    </row>
    <row r="489" spans="1:30" x14ac:dyDescent="0.25">
      <c r="A489">
        <v>484</v>
      </c>
      <c r="C489" s="11">
        <v>5.2972882986068726E-3</v>
      </c>
      <c r="D489" s="11">
        <v>1.7733052372932434E-2</v>
      </c>
      <c r="E489" s="11">
        <v>0.20866083562153123</v>
      </c>
      <c r="F489" s="11">
        <v>0.25546837548366919</v>
      </c>
      <c r="G489" s="11">
        <v>4.9827635288238525E-2</v>
      </c>
      <c r="H489" s="40">
        <v>3.3298038167248672E-4</v>
      </c>
      <c r="I489" s="40">
        <v>1.5854640343409914</v>
      </c>
      <c r="J489" s="59">
        <v>0</v>
      </c>
      <c r="K489" s="59">
        <v>6986.2930104136467</v>
      </c>
      <c r="L489" s="59">
        <v>0</v>
      </c>
      <c r="M489" s="11">
        <v>0.85358747839927673</v>
      </c>
      <c r="N489" s="11">
        <v>0.72065520286560059</v>
      </c>
      <c r="O489" s="11">
        <v>0.32011950016021729</v>
      </c>
      <c r="Q489" s="59">
        <v>14.920201679599463</v>
      </c>
      <c r="R489" s="78">
        <v>572.7257955256357</v>
      </c>
      <c r="S489" s="78">
        <v>14.981087360450704</v>
      </c>
      <c r="T489" s="78">
        <v>616.91307079683861</v>
      </c>
      <c r="U489" s="59">
        <v>14.977419955491431</v>
      </c>
      <c r="V489" s="78">
        <v>834.37228817603886</v>
      </c>
      <c r="X489" s="134">
        <f t="shared" si="48"/>
        <v>1491447.4421644208</v>
      </c>
      <c r="Y489" s="134">
        <f t="shared" si="49"/>
        <v>1497491.8229742737</v>
      </c>
      <c r="Z489" s="134">
        <f t="shared" si="50"/>
        <v>1496907.623260967</v>
      </c>
      <c r="AB489" s="127">
        <f t="shared" si="51"/>
        <v>0</v>
      </c>
      <c r="AC489" s="127">
        <f t="shared" si="52"/>
        <v>1</v>
      </c>
      <c r="AD489" s="127">
        <f t="shared" si="53"/>
        <v>0</v>
      </c>
    </row>
    <row r="490" spans="1:30" x14ac:dyDescent="0.25">
      <c r="A490">
        <v>485</v>
      </c>
      <c r="C490" s="11">
        <v>2.9951363801956177E-2</v>
      </c>
      <c r="D490" s="11">
        <v>2.8037905693054199E-2</v>
      </c>
      <c r="E490" s="11">
        <v>0.21262043845365378</v>
      </c>
      <c r="F490" s="11">
        <v>0.23524974091187953</v>
      </c>
      <c r="G490" s="11">
        <v>4.5496195554733276E-2</v>
      </c>
      <c r="H490" s="40">
        <v>4.0048268727549283E-4</v>
      </c>
      <c r="I490" s="40">
        <v>1.4590419530860652</v>
      </c>
      <c r="J490" s="59">
        <v>0</v>
      </c>
      <c r="K490" s="59">
        <v>4600.9756624698639</v>
      </c>
      <c r="L490" s="59">
        <v>0</v>
      </c>
      <c r="M490" s="11">
        <v>0.81212413311004639</v>
      </c>
      <c r="N490" s="11">
        <v>0.69841301441192627</v>
      </c>
      <c r="O490" s="11">
        <v>0.25354409217834473</v>
      </c>
      <c r="Q490" s="59">
        <v>13.855277580350334</v>
      </c>
      <c r="R490" s="78">
        <v>487.45701333982112</v>
      </c>
      <c r="S490" s="78">
        <v>13.902398422350213</v>
      </c>
      <c r="T490" s="78">
        <v>599.12566030687208</v>
      </c>
      <c r="U490" s="59">
        <v>13.901024528237999</v>
      </c>
      <c r="V490" s="78">
        <v>810.25944851327677</v>
      </c>
      <c r="X490" s="134">
        <f t="shared" si="48"/>
        <v>1385040.3010216937</v>
      </c>
      <c r="Y490" s="134">
        <f t="shared" si="49"/>
        <v>1389640.7165747145</v>
      </c>
      <c r="Z490" s="134">
        <f t="shared" si="50"/>
        <v>1389292.1933752864</v>
      </c>
      <c r="AB490" s="127">
        <f t="shared" si="51"/>
        <v>0</v>
      </c>
      <c r="AC490" s="127">
        <f t="shared" si="52"/>
        <v>1</v>
      </c>
      <c r="AD490" s="127">
        <f t="shared" si="53"/>
        <v>0</v>
      </c>
    </row>
    <row r="491" spans="1:30" x14ac:dyDescent="0.25">
      <c r="A491">
        <v>486</v>
      </c>
      <c r="C491" s="11">
        <v>7.3055773973464966E-3</v>
      </c>
      <c r="D491" s="11">
        <v>2.39296555519104E-2</v>
      </c>
      <c r="E491" s="11">
        <v>0.33485482018979068</v>
      </c>
      <c r="F491" s="11">
        <v>0.31458229452029096</v>
      </c>
      <c r="G491" s="11">
        <v>2.599644660949707E-2</v>
      </c>
      <c r="H491" s="40">
        <v>4.4854402470514233E-4</v>
      </c>
      <c r="I491" s="40">
        <v>1.4288062440954865</v>
      </c>
      <c r="J491" s="59">
        <v>0</v>
      </c>
      <c r="K491" s="59">
        <v>5583.3626538515091</v>
      </c>
      <c r="L491" s="59">
        <v>0</v>
      </c>
      <c r="M491" s="11">
        <v>0.85198554396629333</v>
      </c>
      <c r="N491" s="11">
        <v>0.74395394325256348</v>
      </c>
      <c r="O491" s="11">
        <v>0.3060360848903656</v>
      </c>
      <c r="Q491" s="59">
        <v>14.881989477784684</v>
      </c>
      <c r="R491" s="78">
        <v>501.56055756670372</v>
      </c>
      <c r="S491" s="78">
        <v>14.919778829439826</v>
      </c>
      <c r="T491" s="78">
        <v>615.41737362906326</v>
      </c>
      <c r="U491" s="59">
        <v>14.920945746544252</v>
      </c>
      <c r="V491" s="78">
        <v>822.22420043534112</v>
      </c>
      <c r="X491" s="134">
        <f t="shared" si="48"/>
        <v>1487697.3872209017</v>
      </c>
      <c r="Y491" s="134">
        <f t="shared" si="49"/>
        <v>1491362.4655703537</v>
      </c>
      <c r="Z491" s="134">
        <f t="shared" si="50"/>
        <v>1491272.3504539898</v>
      </c>
      <c r="AB491" s="127">
        <f t="shared" si="51"/>
        <v>0</v>
      </c>
      <c r="AC491" s="127">
        <f t="shared" si="52"/>
        <v>1</v>
      </c>
      <c r="AD491" s="127">
        <f t="shared" si="53"/>
        <v>0</v>
      </c>
    </row>
    <row r="492" spans="1:30" x14ac:dyDescent="0.25">
      <c r="A492">
        <v>487</v>
      </c>
      <c r="C492" s="11">
        <v>1.3116553425788879E-2</v>
      </c>
      <c r="D492" s="11">
        <v>1.6206175088882446E-2</v>
      </c>
      <c r="E492" s="11">
        <v>0.3239296027649981</v>
      </c>
      <c r="F492" s="11">
        <v>8.3734311123994792E-2</v>
      </c>
      <c r="G492" s="11">
        <v>3.6355912685394287E-2</v>
      </c>
      <c r="H492" s="40">
        <v>5.1290660340163393E-4</v>
      </c>
      <c r="I492" s="40">
        <v>1.4679734952816461</v>
      </c>
      <c r="J492" s="59">
        <v>0</v>
      </c>
      <c r="K492" s="59">
        <v>7754.2848885059357</v>
      </c>
      <c r="L492" s="59">
        <v>0</v>
      </c>
      <c r="M492" s="11">
        <v>0.8703443706035614</v>
      </c>
      <c r="N492" s="11">
        <v>0.73332977294921875</v>
      </c>
      <c r="O492" s="11">
        <v>0.25259232521057129</v>
      </c>
      <c r="Q492" s="59">
        <v>15.085831623192439</v>
      </c>
      <c r="R492" s="78">
        <v>594.8427081836461</v>
      </c>
      <c r="S492" s="78">
        <v>15.143446250415911</v>
      </c>
      <c r="T492" s="78">
        <v>645.01054327822635</v>
      </c>
      <c r="U492" s="59">
        <v>15.164389044734239</v>
      </c>
      <c r="V492" s="78">
        <v>805.15244294494516</v>
      </c>
      <c r="X492" s="134">
        <f t="shared" si="48"/>
        <v>1507988.3196110602</v>
      </c>
      <c r="Y492" s="134">
        <f t="shared" si="49"/>
        <v>1513699.6144983128</v>
      </c>
      <c r="Z492" s="134">
        <f t="shared" si="50"/>
        <v>1515633.752030479</v>
      </c>
      <c r="AB492" s="127">
        <f t="shared" si="51"/>
        <v>0</v>
      </c>
      <c r="AC492" s="127">
        <f t="shared" si="52"/>
        <v>0</v>
      </c>
      <c r="AD492" s="127">
        <f t="shared" si="53"/>
        <v>1</v>
      </c>
    </row>
    <row r="493" spans="1:30" x14ac:dyDescent="0.25">
      <c r="A493">
        <v>488</v>
      </c>
      <c r="C493" s="11">
        <v>5.7826995849609375E-2</v>
      </c>
      <c r="D493" s="11">
        <v>3.4782588481903076E-3</v>
      </c>
      <c r="E493" s="11">
        <v>0.39682766812895331</v>
      </c>
      <c r="F493" s="11">
        <v>0.11409447636737288</v>
      </c>
      <c r="G493" s="11">
        <v>5.9237539768218994E-2</v>
      </c>
      <c r="H493" s="40">
        <v>4.0080526940368128E-4</v>
      </c>
      <c r="I493" s="40">
        <v>1.5175663270911455</v>
      </c>
      <c r="J493" s="59">
        <v>0</v>
      </c>
      <c r="K493" s="59">
        <v>4311.688244342804</v>
      </c>
      <c r="L493" s="59">
        <v>0</v>
      </c>
      <c r="M493" s="11">
        <v>0.89398097991943359</v>
      </c>
      <c r="N493" s="11">
        <v>0.72425156831741333</v>
      </c>
      <c r="O493" s="11">
        <v>0.34279251098632813</v>
      </c>
      <c r="Q493" s="59">
        <v>14.797261793380866</v>
      </c>
      <c r="R493" s="78">
        <v>502.26307776002807</v>
      </c>
      <c r="S493" s="78">
        <v>14.845374544796448</v>
      </c>
      <c r="T493" s="78">
        <v>622.47129017901341</v>
      </c>
      <c r="U493" s="59">
        <v>14.868389367903807</v>
      </c>
      <c r="V493" s="78">
        <v>800.56852302940422</v>
      </c>
      <c r="X493" s="134">
        <f t="shared" si="48"/>
        <v>1479223.9162603265</v>
      </c>
      <c r="Y493" s="134">
        <f t="shared" si="49"/>
        <v>1483914.9831894657</v>
      </c>
      <c r="Z493" s="134">
        <f t="shared" si="50"/>
        <v>1486038.3682673515</v>
      </c>
      <c r="AB493" s="127">
        <f t="shared" si="51"/>
        <v>0</v>
      </c>
      <c r="AC493" s="127">
        <f t="shared" si="52"/>
        <v>0</v>
      </c>
      <c r="AD493" s="127">
        <f t="shared" si="53"/>
        <v>1</v>
      </c>
    </row>
    <row r="494" spans="1:30" x14ac:dyDescent="0.25">
      <c r="A494">
        <v>489</v>
      </c>
      <c r="C494" s="11">
        <v>2.6221573352813721E-3</v>
      </c>
      <c r="D494" s="11">
        <v>2.4103373289108276E-2</v>
      </c>
      <c r="E494" s="11">
        <v>0.36614149022004938</v>
      </c>
      <c r="F494" s="11">
        <v>0.27792533043896767</v>
      </c>
      <c r="G494" s="11">
        <v>6.1480104923248291E-2</v>
      </c>
      <c r="H494" s="40">
        <v>4.1247334786469512E-4</v>
      </c>
      <c r="I494" s="40">
        <v>1.4550288441763697</v>
      </c>
      <c r="J494" s="59">
        <v>0</v>
      </c>
      <c r="K494" s="59">
        <v>3780.9833884239197</v>
      </c>
      <c r="L494" s="59">
        <v>0</v>
      </c>
      <c r="M494" s="11">
        <v>0.79446315765380859</v>
      </c>
      <c r="N494" s="11">
        <v>0.79773247241973877</v>
      </c>
      <c r="O494" s="11">
        <v>0.32075351476669312</v>
      </c>
      <c r="Q494" s="59">
        <v>13.967060975799294</v>
      </c>
      <c r="R494" s="78">
        <v>480.59392901794797</v>
      </c>
      <c r="S494" s="78">
        <v>13.985432281793431</v>
      </c>
      <c r="T494" s="78">
        <v>611.03263407939892</v>
      </c>
      <c r="U494" s="59">
        <v>13.988027272288228</v>
      </c>
      <c r="V494" s="78">
        <v>812.34978992682045</v>
      </c>
      <c r="X494" s="134">
        <f t="shared" si="48"/>
        <v>1396225.5036509114</v>
      </c>
      <c r="Y494" s="134">
        <f t="shared" si="49"/>
        <v>1397932.1955452636</v>
      </c>
      <c r="Z494" s="134">
        <f t="shared" si="50"/>
        <v>1397990.3774388961</v>
      </c>
      <c r="AB494" s="127">
        <f t="shared" si="51"/>
        <v>0</v>
      </c>
      <c r="AC494" s="127">
        <f t="shared" si="52"/>
        <v>0</v>
      </c>
      <c r="AD494" s="127">
        <f t="shared" si="53"/>
        <v>1</v>
      </c>
    </row>
    <row r="495" spans="1:30" x14ac:dyDescent="0.25">
      <c r="A495">
        <v>490</v>
      </c>
      <c r="C495" s="11">
        <v>4.1199803352355957E-2</v>
      </c>
      <c r="D495" s="11">
        <v>3.9931833744049072E-2</v>
      </c>
      <c r="E495" s="11">
        <v>0.28327056565223663</v>
      </c>
      <c r="F495" s="11">
        <v>0.14281310774724934</v>
      </c>
      <c r="G495" s="11">
        <v>5.0173938274383545E-2</v>
      </c>
      <c r="H495" s="40">
        <v>4.3031657046823524E-4</v>
      </c>
      <c r="I495" s="40">
        <v>1.451931600567397</v>
      </c>
      <c r="J495" s="59">
        <v>0</v>
      </c>
      <c r="K495" s="59">
        <v>2775.9559452533722</v>
      </c>
      <c r="L495" s="59">
        <v>0</v>
      </c>
      <c r="M495" s="11">
        <v>0.85625749826431274</v>
      </c>
      <c r="N495" s="11">
        <v>0.71243631839752197</v>
      </c>
      <c r="O495" s="11">
        <v>0.3081660270690918</v>
      </c>
      <c r="Q495" s="59">
        <v>14.427127175030272</v>
      </c>
      <c r="R495" s="78">
        <v>453.68376595784798</v>
      </c>
      <c r="S495" s="78">
        <v>14.480096469081023</v>
      </c>
      <c r="T495" s="78">
        <v>596.11250239500168</v>
      </c>
      <c r="U495" s="59">
        <v>14.4906508025893</v>
      </c>
      <c r="V495" s="78">
        <v>796.64801882295694</v>
      </c>
      <c r="X495" s="134">
        <f t="shared" si="48"/>
        <v>1442259.0337370692</v>
      </c>
      <c r="Y495" s="134">
        <f t="shared" si="49"/>
        <v>1447413.5344057074</v>
      </c>
      <c r="Z495" s="134">
        <f t="shared" si="50"/>
        <v>1448268.4322401071</v>
      </c>
      <c r="AB495" s="127">
        <f t="shared" si="51"/>
        <v>0</v>
      </c>
      <c r="AC495" s="127">
        <f t="shared" si="52"/>
        <v>0</v>
      </c>
      <c r="AD495" s="127">
        <f t="shared" si="53"/>
        <v>1</v>
      </c>
    </row>
    <row r="496" spans="1:30" x14ac:dyDescent="0.25">
      <c r="A496">
        <v>491</v>
      </c>
      <c r="C496" s="11">
        <v>9.8975449800491333E-3</v>
      </c>
      <c r="D496" s="11">
        <v>1.854369044303894E-2</v>
      </c>
      <c r="E496" s="11">
        <v>0.16685374812530088</v>
      </c>
      <c r="F496" s="11">
        <v>0.12278515508461429</v>
      </c>
      <c r="G496" s="11">
        <v>1.254880428314209E-2</v>
      </c>
      <c r="H496" s="40">
        <v>5.193840130252468E-4</v>
      </c>
      <c r="I496" s="40">
        <v>1.4554035291420446</v>
      </c>
      <c r="J496" s="59">
        <v>0</v>
      </c>
      <c r="K496" s="59">
        <v>3825.9243592619896</v>
      </c>
      <c r="L496" s="59">
        <v>0</v>
      </c>
      <c r="M496" s="11">
        <v>0.90211081504821777</v>
      </c>
      <c r="N496" s="11">
        <v>0.72812110185623169</v>
      </c>
      <c r="O496" s="11">
        <v>0.3013269305229187</v>
      </c>
      <c r="Q496" s="59">
        <v>15.684114678579544</v>
      </c>
      <c r="R496" s="78">
        <v>478.68064418124624</v>
      </c>
      <c r="S496" s="78">
        <v>15.761017772284914</v>
      </c>
      <c r="T496" s="78">
        <v>593.38410215160957</v>
      </c>
      <c r="U496" s="59">
        <v>15.765171692366723</v>
      </c>
      <c r="V496" s="78">
        <v>798.59513545015534</v>
      </c>
      <c r="X496" s="134">
        <f t="shared" si="48"/>
        <v>1567932.787213773</v>
      </c>
      <c r="Y496" s="134">
        <f t="shared" si="49"/>
        <v>1575508.3931263399</v>
      </c>
      <c r="Z496" s="134">
        <f t="shared" si="50"/>
        <v>1575718.5741012222</v>
      </c>
      <c r="AB496" s="127">
        <f t="shared" si="51"/>
        <v>0</v>
      </c>
      <c r="AC496" s="127">
        <f t="shared" si="52"/>
        <v>0</v>
      </c>
      <c r="AD496" s="127">
        <f t="shared" si="53"/>
        <v>1</v>
      </c>
    </row>
    <row r="497" spans="1:30" x14ac:dyDescent="0.25">
      <c r="A497">
        <v>492</v>
      </c>
      <c r="C497" s="11">
        <v>3.104245662689209E-2</v>
      </c>
      <c r="D497" s="11">
        <v>2.0731478929519653E-2</v>
      </c>
      <c r="E497" s="11">
        <v>0.48275000063963819</v>
      </c>
      <c r="F497" s="11">
        <v>0.1839096342002231</v>
      </c>
      <c r="G497" s="11">
        <v>6.2737345695495605E-2</v>
      </c>
      <c r="H497" s="40">
        <v>6.6200826485511273E-4</v>
      </c>
      <c r="I497" s="40">
        <v>1.3045804661129996</v>
      </c>
      <c r="J497" s="59">
        <v>0</v>
      </c>
      <c r="K497" s="59">
        <v>5370.9675557911396</v>
      </c>
      <c r="L497" s="59">
        <v>0</v>
      </c>
      <c r="M497" s="11">
        <v>0.87639224529266357</v>
      </c>
      <c r="N497" s="11">
        <v>0.7222132682800293</v>
      </c>
      <c r="O497" s="11">
        <v>0.32561546564102173</v>
      </c>
      <c r="Q497" s="59">
        <v>14.926081659855697</v>
      </c>
      <c r="R497" s="78">
        <v>518.69788017107351</v>
      </c>
      <c r="S497" s="78">
        <v>14.96382439705101</v>
      </c>
      <c r="T497" s="78">
        <v>639.67780688256539</v>
      </c>
      <c r="U497" s="59">
        <v>14.985946938990125</v>
      </c>
      <c r="V497" s="78">
        <v>811.22279929886997</v>
      </c>
      <c r="X497" s="134">
        <f t="shared" si="48"/>
        <v>1492089.4681053988</v>
      </c>
      <c r="Y497" s="134">
        <f t="shared" si="49"/>
        <v>1495742.7618982184</v>
      </c>
      <c r="Z497" s="134">
        <f t="shared" si="50"/>
        <v>1497783.4710997136</v>
      </c>
      <c r="AB497" s="127">
        <f t="shared" si="51"/>
        <v>0</v>
      </c>
      <c r="AC497" s="127">
        <f t="shared" si="52"/>
        <v>0</v>
      </c>
      <c r="AD497" s="127">
        <f t="shared" si="53"/>
        <v>1</v>
      </c>
    </row>
    <row r="498" spans="1:30" x14ac:dyDescent="0.25">
      <c r="A498">
        <v>493</v>
      </c>
      <c r="C498" s="11">
        <v>2.4538725614547729E-2</v>
      </c>
      <c r="D498" s="11">
        <v>2.734529972076416E-2</v>
      </c>
      <c r="E498" s="11">
        <v>0.13686375379305266</v>
      </c>
      <c r="F498" s="11">
        <v>0.36242477508367188</v>
      </c>
      <c r="G498" s="11">
        <v>5.1140010356903076E-2</v>
      </c>
      <c r="H498" s="40">
        <v>3.9797797357145071E-4</v>
      </c>
      <c r="I498" s="40">
        <v>1.4099684545622564</v>
      </c>
      <c r="J498" s="59">
        <v>0</v>
      </c>
      <c r="K498" s="59">
        <v>5034.0942107141018</v>
      </c>
      <c r="L498" s="59">
        <v>0</v>
      </c>
      <c r="M498" s="11">
        <v>0.87639111280441284</v>
      </c>
      <c r="N498" s="11">
        <v>0.76830917596817017</v>
      </c>
      <c r="O498" s="11">
        <v>0.2777513861656189</v>
      </c>
      <c r="Q498" s="59">
        <v>15.047087403794999</v>
      </c>
      <c r="R498" s="78">
        <v>485.17974252016705</v>
      </c>
      <c r="S498" s="78">
        <v>15.092950171386926</v>
      </c>
      <c r="T498" s="78">
        <v>591.62544238915234</v>
      </c>
      <c r="U498" s="59">
        <v>15.080843930932712</v>
      </c>
      <c r="V498" s="78">
        <v>821.33104561047719</v>
      </c>
      <c r="X498" s="134">
        <f t="shared" si="48"/>
        <v>1504223.5606369798</v>
      </c>
      <c r="Y498" s="134">
        <f t="shared" si="49"/>
        <v>1508703.3916963034</v>
      </c>
      <c r="Z498" s="134">
        <f t="shared" si="50"/>
        <v>1507263.0620476608</v>
      </c>
      <c r="AB498" s="127">
        <f t="shared" si="51"/>
        <v>0</v>
      </c>
      <c r="AC498" s="127">
        <f t="shared" si="52"/>
        <v>1</v>
      </c>
      <c r="AD498" s="127">
        <f t="shared" si="53"/>
        <v>0</v>
      </c>
    </row>
    <row r="499" spans="1:30" x14ac:dyDescent="0.25">
      <c r="A499">
        <v>494</v>
      </c>
      <c r="C499" s="11">
        <v>8.816257119178772E-3</v>
      </c>
      <c r="D499" s="11">
        <v>2.2116154432296753E-2</v>
      </c>
      <c r="E499" s="11">
        <v>0.28052793878067739</v>
      </c>
      <c r="F499" s="11">
        <v>0.25450246882854172</v>
      </c>
      <c r="G499" s="11">
        <v>5.3084969520568848E-2</v>
      </c>
      <c r="H499" s="40">
        <v>3.6159246573103543E-4</v>
      </c>
      <c r="I499" s="40">
        <v>1.4658549742380982</v>
      </c>
      <c r="J499" s="59">
        <v>0</v>
      </c>
      <c r="K499" s="59">
        <v>3231.1864197254181</v>
      </c>
      <c r="L499" s="59">
        <v>0</v>
      </c>
      <c r="M499" s="11">
        <v>0.88772702217102051</v>
      </c>
      <c r="N499" s="11">
        <v>0.71128940582275391</v>
      </c>
      <c r="O499" s="11">
        <v>0.33599913120269775</v>
      </c>
      <c r="Q499" s="59">
        <v>15.47059998294162</v>
      </c>
      <c r="R499" s="78">
        <v>458.22479883359836</v>
      </c>
      <c r="S499" s="78">
        <v>15.521860928803095</v>
      </c>
      <c r="T499" s="78">
        <v>597.21050912032092</v>
      </c>
      <c r="U499" s="59">
        <v>15.523738931371279</v>
      </c>
      <c r="V499" s="78">
        <v>804.52748393867932</v>
      </c>
      <c r="X499" s="134">
        <f t="shared" si="48"/>
        <v>1546601.7734953284</v>
      </c>
      <c r="Y499" s="134">
        <f t="shared" si="49"/>
        <v>1551588.8823711893</v>
      </c>
      <c r="Z499" s="134">
        <f t="shared" si="50"/>
        <v>1551569.3656531891</v>
      </c>
      <c r="AB499" s="127">
        <f t="shared" si="51"/>
        <v>0</v>
      </c>
      <c r="AC499" s="127">
        <f t="shared" si="52"/>
        <v>1</v>
      </c>
      <c r="AD499" s="127">
        <f t="shared" si="53"/>
        <v>0</v>
      </c>
    </row>
    <row r="500" spans="1:30" x14ac:dyDescent="0.25">
      <c r="A500">
        <v>495</v>
      </c>
      <c r="C500" s="11">
        <v>3.1672656536102295E-2</v>
      </c>
      <c r="D500" s="11">
        <v>2.2254705429077148E-2</v>
      </c>
      <c r="E500" s="11">
        <v>0.31921523036112309</v>
      </c>
      <c r="F500" s="11">
        <v>0.41971528152955839</v>
      </c>
      <c r="G500" s="11">
        <v>8.6520910263061523E-3</v>
      </c>
      <c r="H500" s="40">
        <v>6.0497161333293321E-4</v>
      </c>
      <c r="I500" s="40">
        <v>1.4856287942563278</v>
      </c>
      <c r="J500" s="59">
        <v>0</v>
      </c>
      <c r="K500" s="59">
        <v>4040.3055027127266</v>
      </c>
      <c r="L500" s="59">
        <v>0</v>
      </c>
      <c r="M500" s="11">
        <v>0.85298329591751099</v>
      </c>
      <c r="N500" s="11">
        <v>0.80051589012145996</v>
      </c>
      <c r="O500" s="11">
        <v>0.26522862911224365</v>
      </c>
      <c r="Q500" s="59">
        <v>14.527795585423682</v>
      </c>
      <c r="R500" s="78">
        <v>501.97034750459562</v>
      </c>
      <c r="S500" s="78">
        <v>14.569376266966605</v>
      </c>
      <c r="T500" s="78">
        <v>614.12442670969642</v>
      </c>
      <c r="U500" s="59">
        <v>14.563118923495853</v>
      </c>
      <c r="V500" s="78">
        <v>834.05305449619641</v>
      </c>
      <c r="X500" s="134">
        <f t="shared" si="48"/>
        <v>1452277.5881948636</v>
      </c>
      <c r="Y500" s="134">
        <f t="shared" si="49"/>
        <v>1456323.5022699509</v>
      </c>
      <c r="Z500" s="134">
        <f t="shared" si="50"/>
        <v>1455477.8392950892</v>
      </c>
      <c r="AB500" s="127">
        <f t="shared" si="51"/>
        <v>0</v>
      </c>
      <c r="AC500" s="127">
        <f t="shared" si="52"/>
        <v>1</v>
      </c>
      <c r="AD500" s="127">
        <f t="shared" si="53"/>
        <v>0</v>
      </c>
    </row>
    <row r="501" spans="1:30" x14ac:dyDescent="0.25">
      <c r="A501">
        <v>496</v>
      </c>
      <c r="C501" s="11">
        <v>7.2618275880813599E-3</v>
      </c>
      <c r="D501" s="11">
        <v>1.553519070148468E-2</v>
      </c>
      <c r="E501" s="11">
        <v>0.33886665760876022</v>
      </c>
      <c r="F501" s="11">
        <v>0.26730986948750912</v>
      </c>
      <c r="G501" s="11">
        <v>3.8107305765151978E-2</v>
      </c>
      <c r="H501" s="40">
        <v>4.5147116491493924E-4</v>
      </c>
      <c r="I501" s="40">
        <v>1.4222266408513815</v>
      </c>
      <c r="J501" s="59">
        <v>0</v>
      </c>
      <c r="K501" s="59">
        <v>5815.6182058155537</v>
      </c>
      <c r="L501" s="59">
        <v>0</v>
      </c>
      <c r="M501" s="11">
        <v>0.84259796142578125</v>
      </c>
      <c r="N501" s="11">
        <v>0.82095718383789063</v>
      </c>
      <c r="O501" s="11">
        <v>0.2941163182258606</v>
      </c>
      <c r="Q501" s="59">
        <v>14.742562467653585</v>
      </c>
      <c r="R501" s="78">
        <v>512.34107179409455</v>
      </c>
      <c r="S501" s="78">
        <v>14.764001958073248</v>
      </c>
      <c r="T501" s="78">
        <v>619.53165006793722</v>
      </c>
      <c r="U501" s="59">
        <v>14.766356909690046</v>
      </c>
      <c r="V501" s="78">
        <v>820.00988175728116</v>
      </c>
      <c r="X501" s="134">
        <f t="shared" si="48"/>
        <v>1473743.9056935643</v>
      </c>
      <c r="Y501" s="134">
        <f t="shared" si="49"/>
        <v>1475780.6641572567</v>
      </c>
      <c r="Z501" s="134">
        <f t="shared" si="50"/>
        <v>1475815.6810872473</v>
      </c>
      <c r="AB501" s="127">
        <f t="shared" si="51"/>
        <v>0</v>
      </c>
      <c r="AC501" s="127">
        <f t="shared" si="52"/>
        <v>0</v>
      </c>
      <c r="AD501" s="127">
        <f t="shared" si="53"/>
        <v>1</v>
      </c>
    </row>
    <row r="502" spans="1:30" x14ac:dyDescent="0.25">
      <c r="A502">
        <v>497</v>
      </c>
      <c r="C502" s="11">
        <v>4.5810341835021973E-3</v>
      </c>
      <c r="D502" s="11">
        <v>1.6464412212371826E-2</v>
      </c>
      <c r="E502" s="11">
        <v>0.29260079725610205</v>
      </c>
      <c r="F502" s="11">
        <v>0.32363439723455178</v>
      </c>
      <c r="G502" s="11">
        <v>5.7700634002685547E-2</v>
      </c>
      <c r="H502" s="40">
        <v>5.7692264880952163E-4</v>
      </c>
      <c r="I502" s="40">
        <v>1.4197923638967045</v>
      </c>
      <c r="J502" s="59">
        <v>0</v>
      </c>
      <c r="K502" s="59">
        <v>5093.191284686327</v>
      </c>
      <c r="L502" s="59">
        <v>0</v>
      </c>
      <c r="M502" s="11">
        <v>0.87456062436103821</v>
      </c>
      <c r="N502" s="11">
        <v>0.79374206066131592</v>
      </c>
      <c r="O502" s="11">
        <v>0.33182787895202637</v>
      </c>
      <c r="Q502" s="59">
        <v>15.311778537550797</v>
      </c>
      <c r="R502" s="78">
        <v>538.3528537241458</v>
      </c>
      <c r="S502" s="78">
        <v>15.357663625776112</v>
      </c>
      <c r="T502" s="78">
        <v>621.8405862843008</v>
      </c>
      <c r="U502" s="59">
        <v>15.355617923342498</v>
      </c>
      <c r="V502" s="78">
        <v>835.35469025583541</v>
      </c>
      <c r="X502" s="134">
        <f t="shared" si="48"/>
        <v>1530639.5009013556</v>
      </c>
      <c r="Y502" s="134">
        <f t="shared" si="49"/>
        <v>1535144.5219913269</v>
      </c>
      <c r="Z502" s="134">
        <f t="shared" si="50"/>
        <v>1534726.4376439939</v>
      </c>
      <c r="AB502" s="127">
        <f t="shared" si="51"/>
        <v>0</v>
      </c>
      <c r="AC502" s="127">
        <f t="shared" si="52"/>
        <v>1</v>
      </c>
      <c r="AD502" s="127">
        <f t="shared" si="53"/>
        <v>0</v>
      </c>
    </row>
    <row r="503" spans="1:30" x14ac:dyDescent="0.25">
      <c r="A503">
        <v>498</v>
      </c>
      <c r="C503" s="11">
        <v>4.5129656791687012E-2</v>
      </c>
      <c r="D503" s="11">
        <v>1.0777860879898071E-2</v>
      </c>
      <c r="E503" s="11">
        <v>0.21898786863285069</v>
      </c>
      <c r="F503" s="11">
        <v>0.15019401642931982</v>
      </c>
      <c r="G503" s="11">
        <v>3.8190484046936035E-2</v>
      </c>
      <c r="H503" s="40">
        <v>4.2454625684608442E-4</v>
      </c>
      <c r="I503" s="40">
        <v>1.3245847842958032</v>
      </c>
      <c r="J503" s="59">
        <v>0</v>
      </c>
      <c r="K503" s="59">
        <v>5326.8088959157467</v>
      </c>
      <c r="L503" s="59">
        <v>0</v>
      </c>
      <c r="M503" s="11">
        <v>0.83907991647720337</v>
      </c>
      <c r="N503" s="11">
        <v>0.77451711893081665</v>
      </c>
      <c r="O503" s="11">
        <v>0.28432071208953857</v>
      </c>
      <c r="Q503" s="59">
        <v>14.12313968660494</v>
      </c>
      <c r="R503" s="78">
        <v>468.18269077202979</v>
      </c>
      <c r="S503" s="78">
        <v>14.14583403834178</v>
      </c>
      <c r="T503" s="78">
        <v>595.3829257148069</v>
      </c>
      <c r="U503" s="59">
        <v>14.147855035803918</v>
      </c>
      <c r="V503" s="78">
        <v>799.24471343021753</v>
      </c>
      <c r="X503" s="134">
        <f t="shared" si="48"/>
        <v>1411845.7859697221</v>
      </c>
      <c r="Y503" s="134">
        <f t="shared" si="49"/>
        <v>1413988.0209084633</v>
      </c>
      <c r="Z503" s="134">
        <f t="shared" si="50"/>
        <v>1413986.2588669616</v>
      </c>
      <c r="AB503" s="127">
        <f t="shared" si="51"/>
        <v>0</v>
      </c>
      <c r="AC503" s="127">
        <f t="shared" si="52"/>
        <v>1</v>
      </c>
      <c r="AD503" s="127">
        <f t="shared" si="53"/>
        <v>0</v>
      </c>
    </row>
    <row r="504" spans="1:30" x14ac:dyDescent="0.25">
      <c r="A504">
        <v>499</v>
      </c>
      <c r="C504" s="11">
        <v>2.2208139300346375E-2</v>
      </c>
      <c r="D504" s="11">
        <v>2.0870998501777649E-2</v>
      </c>
      <c r="E504" s="11">
        <v>0.31622241296993137</v>
      </c>
      <c r="F504" s="11">
        <v>9.2595439943979632E-2</v>
      </c>
      <c r="G504" s="11">
        <v>6.1492264270782471E-2</v>
      </c>
      <c r="H504" s="40">
        <v>5.5892501390138053E-4</v>
      </c>
      <c r="I504" s="40">
        <v>1.4138179279068572</v>
      </c>
      <c r="J504" s="59">
        <v>0</v>
      </c>
      <c r="K504" s="59">
        <v>6979.4943556189537</v>
      </c>
      <c r="L504" s="59">
        <v>0</v>
      </c>
      <c r="M504" s="11">
        <v>0.87317132949829102</v>
      </c>
      <c r="N504" s="11">
        <v>0.6797022819519043</v>
      </c>
      <c r="O504" s="11">
        <v>0.26997065544128418</v>
      </c>
      <c r="Q504" s="59">
        <v>14.979246813636163</v>
      </c>
      <c r="R504" s="78">
        <v>582.0265514448439</v>
      </c>
      <c r="S504" s="78">
        <v>15.048208270688583</v>
      </c>
      <c r="T504" s="78">
        <v>639.23420982406174</v>
      </c>
      <c r="U504" s="59">
        <v>15.071213971318736</v>
      </c>
      <c r="V504" s="78">
        <v>805.71313985104621</v>
      </c>
      <c r="X504" s="134">
        <f t="shared" si="48"/>
        <v>1497342.6548121716</v>
      </c>
      <c r="Y504" s="134">
        <f t="shared" si="49"/>
        <v>1504181.5928590342</v>
      </c>
      <c r="Z504" s="134">
        <f t="shared" si="50"/>
        <v>1506315.6839920224</v>
      </c>
      <c r="AB504" s="127">
        <f t="shared" si="51"/>
        <v>0</v>
      </c>
      <c r="AC504" s="127">
        <f t="shared" si="52"/>
        <v>0</v>
      </c>
      <c r="AD504" s="127">
        <f t="shared" si="53"/>
        <v>1</v>
      </c>
    </row>
    <row r="505" spans="1:30" x14ac:dyDescent="0.25">
      <c r="A505">
        <v>500</v>
      </c>
      <c r="C505" s="11">
        <v>1.0732769966125488E-2</v>
      </c>
      <c r="D505" s="11">
        <v>6.0523509979248047E-2</v>
      </c>
      <c r="E505" s="11">
        <v>0.43803972405339259</v>
      </c>
      <c r="F505" s="11">
        <v>0.21512452460491543</v>
      </c>
      <c r="G505" s="11">
        <v>2.8537869453430176E-2</v>
      </c>
      <c r="H505" s="40">
        <v>3.7908606831076421E-4</v>
      </c>
      <c r="I505" s="40">
        <v>1.4530306635844294</v>
      </c>
      <c r="J505" s="59">
        <v>0</v>
      </c>
      <c r="K505" s="59">
        <v>4563.5481365025043</v>
      </c>
      <c r="L505" s="59">
        <v>0</v>
      </c>
      <c r="M505" s="11">
        <v>0.84477639198303223</v>
      </c>
      <c r="N505" s="11">
        <v>0.75710666179656982</v>
      </c>
      <c r="O505" s="11">
        <v>0.30787396430969238</v>
      </c>
      <c r="Q505" s="59">
        <v>14.70592955723761</v>
      </c>
      <c r="R505" s="78">
        <v>474.16729713865288</v>
      </c>
      <c r="S505" s="78">
        <v>14.736985920397883</v>
      </c>
      <c r="T505" s="78">
        <v>614.41896899007952</v>
      </c>
      <c r="U505" s="59">
        <v>14.749475424548065</v>
      </c>
      <c r="V505" s="78">
        <v>805.45410546577261</v>
      </c>
      <c r="X505" s="134">
        <f t="shared" si="48"/>
        <v>1470118.7884266225</v>
      </c>
      <c r="Y505" s="134">
        <f t="shared" si="49"/>
        <v>1473084.1730707984</v>
      </c>
      <c r="Z505" s="134">
        <f t="shared" si="50"/>
        <v>1474142.0883493407</v>
      </c>
      <c r="AB505" s="127">
        <f t="shared" si="51"/>
        <v>0</v>
      </c>
      <c r="AC505" s="127">
        <f t="shared" si="52"/>
        <v>0</v>
      </c>
      <c r="AD505" s="127">
        <f t="shared" si="53"/>
        <v>1</v>
      </c>
    </row>
    <row r="506" spans="1:30" x14ac:dyDescent="0.25">
      <c r="A506">
        <v>501</v>
      </c>
      <c r="C506" s="11">
        <v>1.127152144908905E-2</v>
      </c>
      <c r="D506" s="11">
        <v>4.6123266220092773E-3</v>
      </c>
      <c r="E506" s="11">
        <v>0.34063134215505758</v>
      </c>
      <c r="F506" s="11">
        <v>0.23864274885788214</v>
      </c>
      <c r="G506" s="11">
        <v>2.548786997795105E-2</v>
      </c>
      <c r="H506" s="40">
        <v>4.3085404435819885E-4</v>
      </c>
      <c r="I506" s="40">
        <v>1.390200977548506</v>
      </c>
      <c r="J506" s="59">
        <v>0</v>
      </c>
      <c r="K506" s="59">
        <v>4942.5708130002022</v>
      </c>
      <c r="L506" s="59">
        <v>0</v>
      </c>
      <c r="M506" s="11">
        <v>0.86749538779258728</v>
      </c>
      <c r="N506" s="11">
        <v>0.76475918292999268</v>
      </c>
      <c r="O506" s="11">
        <v>0.34987497329711914</v>
      </c>
      <c r="Q506" s="59">
        <v>15.108071354711095</v>
      </c>
      <c r="R506" s="78">
        <v>475.58563206651758</v>
      </c>
      <c r="S506" s="78">
        <v>15.135799960188002</v>
      </c>
      <c r="T506" s="78">
        <v>607.0476097700838</v>
      </c>
      <c r="U506" s="59">
        <v>15.140141931080407</v>
      </c>
      <c r="V506" s="78">
        <v>807.67798083904836</v>
      </c>
      <c r="X506" s="134">
        <f t="shared" si="48"/>
        <v>1510331.5498390431</v>
      </c>
      <c r="Y506" s="134">
        <f t="shared" si="49"/>
        <v>1512972.9484090302</v>
      </c>
      <c r="Z506" s="134">
        <f t="shared" si="50"/>
        <v>1513206.5151272018</v>
      </c>
      <c r="AB506" s="127">
        <f t="shared" si="51"/>
        <v>0</v>
      </c>
      <c r="AC506" s="127">
        <f t="shared" si="52"/>
        <v>0</v>
      </c>
      <c r="AD506" s="127">
        <f t="shared" si="53"/>
        <v>1</v>
      </c>
    </row>
    <row r="507" spans="1:30" x14ac:dyDescent="0.25">
      <c r="A507">
        <v>502</v>
      </c>
      <c r="C507" s="11">
        <v>6.6276341676712036E-3</v>
      </c>
      <c r="D507" s="11">
        <v>1.265418529510498E-2</v>
      </c>
      <c r="E507" s="11">
        <v>0.22111286027308097</v>
      </c>
      <c r="F507" s="11">
        <v>0.15014200543795433</v>
      </c>
      <c r="G507" s="11">
        <v>4.1793286800384521E-2</v>
      </c>
      <c r="H507" s="40">
        <v>4.4125763943455182E-4</v>
      </c>
      <c r="I507" s="40">
        <v>1.5386530493719255</v>
      </c>
      <c r="J507" s="59">
        <v>0</v>
      </c>
      <c r="K507" s="59">
        <v>4338.0632996559143</v>
      </c>
      <c r="L507" s="59">
        <v>0</v>
      </c>
      <c r="M507" s="11">
        <v>0.81378591060638428</v>
      </c>
      <c r="N507" s="11">
        <v>0.67651057243347168</v>
      </c>
      <c r="O507" s="11">
        <v>0.34219861030578613</v>
      </c>
      <c r="Q507" s="59">
        <v>14.196006158400298</v>
      </c>
      <c r="R507" s="78">
        <v>516.98179667349439</v>
      </c>
      <c r="S507" s="78">
        <v>14.260336400674637</v>
      </c>
      <c r="T507" s="78">
        <v>606.69619427118118</v>
      </c>
      <c r="U507" s="59">
        <v>14.266335018867784</v>
      </c>
      <c r="V507" s="78">
        <v>806.83825628815896</v>
      </c>
      <c r="X507" s="134">
        <f t="shared" si="48"/>
        <v>1419083.6340433564</v>
      </c>
      <c r="Y507" s="134">
        <f t="shared" si="49"/>
        <v>1425426.9438731926</v>
      </c>
      <c r="Z507" s="134">
        <f t="shared" si="50"/>
        <v>1425826.6636304902</v>
      </c>
      <c r="AB507" s="127">
        <f t="shared" si="51"/>
        <v>0</v>
      </c>
      <c r="AC507" s="127">
        <f t="shared" si="52"/>
        <v>0</v>
      </c>
      <c r="AD507" s="127">
        <f t="shared" si="53"/>
        <v>1</v>
      </c>
    </row>
    <row r="508" spans="1:30" x14ac:dyDescent="0.25">
      <c r="A508">
        <v>503</v>
      </c>
      <c r="C508" s="11">
        <v>2.5274217128753662E-2</v>
      </c>
      <c r="D508" s="11">
        <v>1.5107929706573486E-2</v>
      </c>
      <c r="E508" s="11">
        <v>0.51298858756026011</v>
      </c>
      <c r="F508" s="11">
        <v>8.9860859418374989E-2</v>
      </c>
      <c r="G508" s="11">
        <v>1.0964274406433105E-2</v>
      </c>
      <c r="H508" s="40">
        <v>6.7463280056689564E-4</v>
      </c>
      <c r="I508" s="40">
        <v>1.4321038206127339</v>
      </c>
      <c r="J508" s="59">
        <v>0</v>
      </c>
      <c r="K508" s="59">
        <v>5610.8715943992138</v>
      </c>
      <c r="L508" s="59">
        <v>0</v>
      </c>
      <c r="M508" s="11">
        <v>0.82084256410598755</v>
      </c>
      <c r="N508" s="11">
        <v>0.80084097385406494</v>
      </c>
      <c r="O508" s="11">
        <v>0.29847723245620728</v>
      </c>
      <c r="Q508" s="59">
        <v>14.092688857318892</v>
      </c>
      <c r="R508" s="78">
        <v>540.17503264996878</v>
      </c>
      <c r="S508" s="78">
        <v>14.11178963493794</v>
      </c>
      <c r="T508" s="78">
        <v>654.92642518650314</v>
      </c>
      <c r="U508" s="59">
        <v>14.12887607794303</v>
      </c>
      <c r="V508" s="78">
        <v>801.44632800395209</v>
      </c>
      <c r="X508" s="134">
        <f t="shared" si="48"/>
        <v>1408728.7106992393</v>
      </c>
      <c r="Y508" s="134">
        <f t="shared" si="49"/>
        <v>1410524.0370686075</v>
      </c>
      <c r="Z508" s="134">
        <f t="shared" si="50"/>
        <v>1412086.1614662991</v>
      </c>
      <c r="AB508" s="127">
        <f t="shared" si="51"/>
        <v>0</v>
      </c>
      <c r="AC508" s="127">
        <f t="shared" si="52"/>
        <v>0</v>
      </c>
      <c r="AD508" s="127">
        <f t="shared" si="53"/>
        <v>1</v>
      </c>
    </row>
    <row r="509" spans="1:30" x14ac:dyDescent="0.25">
      <c r="A509">
        <v>504</v>
      </c>
      <c r="C509" s="11">
        <v>1.9784241914749146E-2</v>
      </c>
      <c r="D509" s="11">
        <v>3.9282798767089844E-2</v>
      </c>
      <c r="E509" s="11">
        <v>0.23408732347237773</v>
      </c>
      <c r="F509" s="11">
        <v>0.32851008779803226</v>
      </c>
      <c r="G509" s="11">
        <v>1.9799858331680298E-2</v>
      </c>
      <c r="H509" s="40">
        <v>5.0128487670975162E-4</v>
      </c>
      <c r="I509" s="40">
        <v>1.3879568787576124</v>
      </c>
      <c r="J509" s="59">
        <v>0</v>
      </c>
      <c r="K509" s="59">
        <v>6142.9198831319809</v>
      </c>
      <c r="L509" s="59">
        <v>0</v>
      </c>
      <c r="M509" s="11">
        <v>0.80613386631011963</v>
      </c>
      <c r="N509" s="11">
        <v>0.76849246025085449</v>
      </c>
      <c r="O509" s="11">
        <v>0.25857895612716675</v>
      </c>
      <c r="Q509" s="59">
        <v>13.918046986035179</v>
      </c>
      <c r="R509" s="78">
        <v>505.54150772749034</v>
      </c>
      <c r="S509" s="78">
        <v>13.948124664108958</v>
      </c>
      <c r="T509" s="78">
        <v>605.43715392060142</v>
      </c>
      <c r="U509" s="59">
        <v>13.944368430842605</v>
      </c>
      <c r="V509" s="78">
        <v>825.04390741047519</v>
      </c>
      <c r="X509" s="134">
        <f t="shared" si="48"/>
        <v>1391299.1570957904</v>
      </c>
      <c r="Y509" s="134">
        <f t="shared" si="49"/>
        <v>1394207.0292569753</v>
      </c>
      <c r="Z509" s="134">
        <f t="shared" si="50"/>
        <v>1393611.7991768501</v>
      </c>
      <c r="AB509" s="127">
        <f t="shared" si="51"/>
        <v>0</v>
      </c>
      <c r="AC509" s="127">
        <f t="shared" si="52"/>
        <v>1</v>
      </c>
      <c r="AD509" s="127">
        <f t="shared" si="53"/>
        <v>0</v>
      </c>
    </row>
    <row r="510" spans="1:30" x14ac:dyDescent="0.25">
      <c r="A510">
        <v>505</v>
      </c>
      <c r="C510" s="11">
        <v>9.86785888671875E-2</v>
      </c>
      <c r="D510" s="11">
        <v>1.5326142311096191E-3</v>
      </c>
      <c r="E510" s="11">
        <v>0.46715518677569995</v>
      </c>
      <c r="F510" s="11">
        <v>0.16782344488860904</v>
      </c>
      <c r="G510" s="11">
        <v>4.2716473340988159E-2</v>
      </c>
      <c r="H510" s="40">
        <v>3.5698137687252096E-4</v>
      </c>
      <c r="I510" s="40">
        <v>1.428681694281039</v>
      </c>
      <c r="J510" s="59">
        <v>0</v>
      </c>
      <c r="K510" s="59">
        <v>4193.5266926884651</v>
      </c>
      <c r="L510" s="59">
        <v>0</v>
      </c>
      <c r="M510" s="11">
        <v>0.85475897789001465</v>
      </c>
      <c r="N510" s="11">
        <v>0.73403340578079224</v>
      </c>
      <c r="O510" s="11">
        <v>0.31054458022117615</v>
      </c>
      <c r="Q510" s="59">
        <v>13.56708879398408</v>
      </c>
      <c r="R510" s="78">
        <v>458.37447987226324</v>
      </c>
      <c r="S510" s="78">
        <v>13.588861156484013</v>
      </c>
      <c r="T510" s="78">
        <v>609.28168362765655</v>
      </c>
      <c r="U510" s="59">
        <v>13.601247901154931</v>
      </c>
      <c r="V510" s="78">
        <v>798.92112664918443</v>
      </c>
      <c r="X510" s="134">
        <f t="shared" si="48"/>
        <v>1356250.5049185359</v>
      </c>
      <c r="Y510" s="134">
        <f t="shared" si="49"/>
        <v>1358276.8339647735</v>
      </c>
      <c r="Z510" s="134">
        <f t="shared" si="50"/>
        <v>1359325.8689888439</v>
      </c>
      <c r="AB510" s="127">
        <f t="shared" si="51"/>
        <v>0</v>
      </c>
      <c r="AC510" s="127">
        <f t="shared" si="52"/>
        <v>0</v>
      </c>
      <c r="AD510" s="127">
        <f t="shared" si="53"/>
        <v>1</v>
      </c>
    </row>
    <row r="511" spans="1:30" x14ac:dyDescent="0.25">
      <c r="A511">
        <v>506</v>
      </c>
      <c r="C511" s="11">
        <v>3.5451054573059082E-2</v>
      </c>
      <c r="D511" s="11">
        <v>8.9621990919113159E-3</v>
      </c>
      <c r="E511" s="11">
        <v>0.22202011473960395</v>
      </c>
      <c r="F511" s="11">
        <v>0.13264365644870185</v>
      </c>
      <c r="G511" s="11">
        <v>1.4081358909606934E-2</v>
      </c>
      <c r="H511" s="40">
        <v>3.643745698693932E-4</v>
      </c>
      <c r="I511" s="40">
        <v>1.515199347101968</v>
      </c>
      <c r="J511" s="59">
        <v>0</v>
      </c>
      <c r="K511" s="59">
        <v>6894.3435326218605</v>
      </c>
      <c r="L511" s="59">
        <v>0</v>
      </c>
      <c r="M511" s="11">
        <v>0.87539130449295044</v>
      </c>
      <c r="N511" s="11">
        <v>0.76528632640838623</v>
      </c>
      <c r="O511" s="11">
        <v>0.31562125682830811</v>
      </c>
      <c r="Q511" s="59">
        <v>14.860263917502838</v>
      </c>
      <c r="R511" s="78">
        <v>520.15094828386191</v>
      </c>
      <c r="S511" s="78">
        <v>14.902163126670857</v>
      </c>
      <c r="T511" s="78">
        <v>607.41511236436418</v>
      </c>
      <c r="U511" s="59">
        <v>14.907066715955896</v>
      </c>
      <c r="V511" s="78">
        <v>805.00468175467881</v>
      </c>
      <c r="X511" s="134">
        <f t="shared" si="48"/>
        <v>1485506.2408019998</v>
      </c>
      <c r="Y511" s="134">
        <f t="shared" si="49"/>
        <v>1489608.8975547215</v>
      </c>
      <c r="Z511" s="134">
        <f t="shared" si="50"/>
        <v>1489901.6669138349</v>
      </c>
      <c r="AB511" s="127">
        <f t="shared" si="51"/>
        <v>0</v>
      </c>
      <c r="AC511" s="127">
        <f t="shared" si="52"/>
        <v>0</v>
      </c>
      <c r="AD511" s="127">
        <f t="shared" si="53"/>
        <v>1</v>
      </c>
    </row>
    <row r="512" spans="1:30" x14ac:dyDescent="0.25">
      <c r="A512">
        <v>507</v>
      </c>
      <c r="C512" s="11">
        <v>1.5907391905784607E-2</v>
      </c>
      <c r="D512" s="11">
        <v>1.0977983474731445E-2</v>
      </c>
      <c r="E512" s="11">
        <v>0.44396475394694268</v>
      </c>
      <c r="F512" s="11">
        <v>0.28587449334323833</v>
      </c>
      <c r="G512" s="11">
        <v>2.877342700958252E-2</v>
      </c>
      <c r="H512" s="40">
        <v>2.7556938725365951E-4</v>
      </c>
      <c r="I512" s="40">
        <v>1.4983173864587769</v>
      </c>
      <c r="J512" s="59">
        <v>0</v>
      </c>
      <c r="K512" s="59">
        <v>4787.021316587925</v>
      </c>
      <c r="L512" s="59">
        <v>0</v>
      </c>
      <c r="M512" s="11">
        <v>0.85320168733596802</v>
      </c>
      <c r="N512" s="11">
        <v>0.78307974338531494</v>
      </c>
      <c r="O512" s="11">
        <v>0.36732339859008789</v>
      </c>
      <c r="Q512" s="59">
        <v>14.799590068207651</v>
      </c>
      <c r="R512" s="78">
        <v>464.41801709412567</v>
      </c>
      <c r="S512" s="78">
        <v>14.816858168661216</v>
      </c>
      <c r="T512" s="78">
        <v>610.48986844088017</v>
      </c>
      <c r="U512" s="59">
        <v>14.821822172796093</v>
      </c>
      <c r="V512" s="78">
        <v>808.31859811817526</v>
      </c>
      <c r="X512" s="134">
        <f t="shared" si="48"/>
        <v>1479494.5888036711</v>
      </c>
      <c r="Y512" s="134">
        <f t="shared" si="49"/>
        <v>1481075.3269976808</v>
      </c>
      <c r="Z512" s="134">
        <f t="shared" si="50"/>
        <v>1481373.8986814911</v>
      </c>
      <c r="AB512" s="127">
        <f t="shared" si="51"/>
        <v>0</v>
      </c>
      <c r="AC512" s="127">
        <f t="shared" si="52"/>
        <v>0</v>
      </c>
      <c r="AD512" s="127">
        <f t="shared" si="53"/>
        <v>1</v>
      </c>
    </row>
    <row r="513" spans="1:30" x14ac:dyDescent="0.25">
      <c r="A513">
        <v>508</v>
      </c>
      <c r="C513" s="11">
        <v>1.0597839951515198E-2</v>
      </c>
      <c r="D513" s="11">
        <v>8.5899233818054199E-3</v>
      </c>
      <c r="E513" s="11">
        <v>0.14265604391729944</v>
      </c>
      <c r="F513" s="11">
        <v>0.23176905673882547</v>
      </c>
      <c r="G513" s="11">
        <v>4.6170502901077271E-2</v>
      </c>
      <c r="H513" s="40">
        <v>3.6628313481797473E-4</v>
      </c>
      <c r="I513" s="40">
        <v>1.5675025445333128</v>
      </c>
      <c r="J513" s="59">
        <v>0</v>
      </c>
      <c r="K513" s="59">
        <v>7047.6904511451721</v>
      </c>
      <c r="L513" s="59">
        <v>0</v>
      </c>
      <c r="M513" s="11">
        <v>0.89481997489929199</v>
      </c>
      <c r="N513" s="11">
        <v>0.73573184013366699</v>
      </c>
      <c r="O513" s="11">
        <v>0.35408616065979004</v>
      </c>
      <c r="Q513" s="59">
        <v>15.552525704804589</v>
      </c>
      <c r="R513" s="78">
        <v>578.30158506095665</v>
      </c>
      <c r="S513" s="78">
        <v>15.625726061638749</v>
      </c>
      <c r="T513" s="78">
        <v>605.78269749970821</v>
      </c>
      <c r="U513" s="59">
        <v>15.617969770569266</v>
      </c>
      <c r="V513" s="78">
        <v>831.4288177669273</v>
      </c>
      <c r="X513" s="134">
        <f t="shared" si="48"/>
        <v>1554674.2688953979</v>
      </c>
      <c r="Y513" s="134">
        <f t="shared" si="49"/>
        <v>1561966.8234663752</v>
      </c>
      <c r="Z513" s="134">
        <f t="shared" si="50"/>
        <v>1560965.5482391596</v>
      </c>
      <c r="AB513" s="127">
        <f t="shared" si="51"/>
        <v>0</v>
      </c>
      <c r="AC513" s="127">
        <f t="shared" si="52"/>
        <v>1</v>
      </c>
      <c r="AD513" s="127">
        <f t="shared" si="53"/>
        <v>0</v>
      </c>
    </row>
    <row r="514" spans="1:30" x14ac:dyDescent="0.25">
      <c r="A514">
        <v>509</v>
      </c>
      <c r="C514" s="11">
        <v>2.8659969568252563E-2</v>
      </c>
      <c r="D514" s="11">
        <v>2.1504595875740051E-2</v>
      </c>
      <c r="E514" s="11">
        <v>0.22606456878649772</v>
      </c>
      <c r="F514" s="11">
        <v>0.36034286023438467</v>
      </c>
      <c r="G514" s="11">
        <v>1.769295334815979E-2</v>
      </c>
      <c r="H514" s="40">
        <v>2.5996418107450371E-4</v>
      </c>
      <c r="I514" s="40">
        <v>1.487357410101261</v>
      </c>
      <c r="J514" s="59">
        <v>0</v>
      </c>
      <c r="K514" s="59">
        <v>7490.6088411808014</v>
      </c>
      <c r="L514" s="59">
        <v>0</v>
      </c>
      <c r="M514" s="11">
        <v>0.80179691314697266</v>
      </c>
      <c r="N514" s="11">
        <v>0.70961248874664307</v>
      </c>
      <c r="O514" s="11">
        <v>0.30523449182510376</v>
      </c>
      <c r="Q514" s="59">
        <v>13.723443240694177</v>
      </c>
      <c r="R514" s="78">
        <v>487.17520164523506</v>
      </c>
      <c r="S514" s="78">
        <v>13.749103075623122</v>
      </c>
      <c r="T514" s="78">
        <v>600.25988607157217</v>
      </c>
      <c r="U514" s="59">
        <v>13.744611658693923</v>
      </c>
      <c r="V514" s="78">
        <v>821.83320763423592</v>
      </c>
      <c r="X514" s="134">
        <f t="shared" si="48"/>
        <v>1371857.1488677727</v>
      </c>
      <c r="Y514" s="134">
        <f t="shared" si="49"/>
        <v>1374310.0476762406</v>
      </c>
      <c r="Z514" s="134">
        <f t="shared" si="50"/>
        <v>1373639.3326617579</v>
      </c>
      <c r="AB514" s="127">
        <f t="shared" si="51"/>
        <v>0</v>
      </c>
      <c r="AC514" s="127">
        <f t="shared" si="52"/>
        <v>1</v>
      </c>
      <c r="AD514" s="127">
        <f t="shared" si="53"/>
        <v>0</v>
      </c>
    </row>
    <row r="515" spans="1:30" x14ac:dyDescent="0.25">
      <c r="A515">
        <v>510</v>
      </c>
      <c r="C515" s="11">
        <v>1.0210186243057251E-2</v>
      </c>
      <c r="D515" s="11">
        <v>3.9894282817840576E-2</v>
      </c>
      <c r="E515" s="11">
        <v>0.31673407545950544</v>
      </c>
      <c r="F515" s="11">
        <v>0.20738934137880141</v>
      </c>
      <c r="G515" s="11">
        <v>9.6736907958984375E-2</v>
      </c>
      <c r="H515" s="40">
        <v>5.225273278731639E-4</v>
      </c>
      <c r="I515" s="40">
        <v>1.4736801572538116</v>
      </c>
      <c r="J515" s="59">
        <v>0</v>
      </c>
      <c r="K515" s="59">
        <v>5320.5154836177826</v>
      </c>
      <c r="L515" s="59">
        <v>0</v>
      </c>
      <c r="M515" s="11">
        <v>0.85158836841583252</v>
      </c>
      <c r="N515" s="11">
        <v>0.7650684118270874</v>
      </c>
      <c r="O515" s="11">
        <v>0.26962578296661377</v>
      </c>
      <c r="Q515" s="59">
        <v>14.79721030604904</v>
      </c>
      <c r="R515" s="78">
        <v>576.95664179876599</v>
      </c>
      <c r="S515" s="78">
        <v>14.859087809287525</v>
      </c>
      <c r="T515" s="78">
        <v>637.80054172176949</v>
      </c>
      <c r="U515" s="59">
        <v>14.869192544610515</v>
      </c>
      <c r="V515" s="78">
        <v>826.59180437858629</v>
      </c>
      <c r="X515" s="134">
        <f t="shared" si="48"/>
        <v>1479144.0739631052</v>
      </c>
      <c r="Y515" s="134">
        <f t="shared" si="49"/>
        <v>1485270.9803870306</v>
      </c>
      <c r="Z515" s="134">
        <f t="shared" si="50"/>
        <v>1486092.6626566728</v>
      </c>
      <c r="AB515" s="127">
        <f t="shared" si="51"/>
        <v>0</v>
      </c>
      <c r="AC515" s="127">
        <f t="shared" si="52"/>
        <v>0</v>
      </c>
      <c r="AD515" s="127">
        <f t="shared" si="53"/>
        <v>1</v>
      </c>
    </row>
    <row r="516" spans="1:30" x14ac:dyDescent="0.25">
      <c r="A516">
        <v>511</v>
      </c>
      <c r="C516" s="11">
        <v>8.8654309511184692E-3</v>
      </c>
      <c r="D516" s="11">
        <v>4.2938053607940674E-2</v>
      </c>
      <c r="E516" s="11">
        <v>0.31673425986054216</v>
      </c>
      <c r="F516" s="11">
        <v>0.19977308132124164</v>
      </c>
      <c r="G516" s="11">
        <v>6.2463521957397461E-2</v>
      </c>
      <c r="H516" s="40">
        <v>6.0794268922153975E-4</v>
      </c>
      <c r="I516" s="40">
        <v>1.4390391322717313</v>
      </c>
      <c r="J516" s="59">
        <v>0</v>
      </c>
      <c r="K516" s="59">
        <v>5411.2495854496956</v>
      </c>
      <c r="L516" s="59">
        <v>0</v>
      </c>
      <c r="M516" s="11">
        <v>0.87937486171722412</v>
      </c>
      <c r="N516" s="11">
        <v>0.76032304763793945</v>
      </c>
      <c r="O516" s="11">
        <v>0.28046083450317383</v>
      </c>
      <c r="Q516" s="59">
        <v>15.292715165701447</v>
      </c>
      <c r="R516" s="78">
        <v>565.55842628725145</v>
      </c>
      <c r="S516" s="78">
        <v>15.362154038282615</v>
      </c>
      <c r="T516" s="78">
        <v>634.18035381429399</v>
      </c>
      <c r="U516" s="59">
        <v>15.374292658696998</v>
      </c>
      <c r="V516" s="78">
        <v>822.8962232897029</v>
      </c>
      <c r="X516" s="134">
        <f t="shared" si="48"/>
        <v>1528705.9581438573</v>
      </c>
      <c r="Y516" s="134">
        <f t="shared" si="49"/>
        <v>1535581.2234744471</v>
      </c>
      <c r="Z516" s="134">
        <f t="shared" si="50"/>
        <v>1536606.3696464102</v>
      </c>
      <c r="AB516" s="127">
        <f t="shared" si="51"/>
        <v>0</v>
      </c>
      <c r="AC516" s="127">
        <f t="shared" si="52"/>
        <v>0</v>
      </c>
      <c r="AD516" s="127">
        <f t="shared" si="53"/>
        <v>1</v>
      </c>
    </row>
    <row r="517" spans="1:30" x14ac:dyDescent="0.25">
      <c r="A517">
        <v>512</v>
      </c>
      <c r="C517" s="11">
        <v>2.4007409811019897E-2</v>
      </c>
      <c r="D517" s="11">
        <v>3.8847446441650391E-2</v>
      </c>
      <c r="E517" s="11">
        <v>0.26109021267387789</v>
      </c>
      <c r="F517" s="11">
        <v>0.23993573476160135</v>
      </c>
      <c r="G517" s="11">
        <v>2.2090375423431396E-2</v>
      </c>
      <c r="H517" s="40">
        <v>3.5769545525023323E-4</v>
      </c>
      <c r="I517" s="40">
        <v>1.5382341128371297</v>
      </c>
      <c r="J517" s="59">
        <v>0</v>
      </c>
      <c r="K517" s="59">
        <v>3705.3297273814678</v>
      </c>
      <c r="L517" s="59">
        <v>0</v>
      </c>
      <c r="M517" s="11">
        <v>0.83158701658248901</v>
      </c>
      <c r="N517" s="11">
        <v>0.67310571670532227</v>
      </c>
      <c r="O517" s="11">
        <v>0.34170174598693848</v>
      </c>
      <c r="Q517" s="59">
        <v>14.258187147989306</v>
      </c>
      <c r="R517" s="78">
        <v>469.20642180823324</v>
      </c>
      <c r="S517" s="78">
        <v>14.315472041803279</v>
      </c>
      <c r="T517" s="78">
        <v>598.92119984298199</v>
      </c>
      <c r="U517" s="59">
        <v>14.317139551945045</v>
      </c>
      <c r="V517" s="78">
        <v>806.31473024736545</v>
      </c>
      <c r="X517" s="134">
        <f t="shared" si="48"/>
        <v>1425349.5083771222</v>
      </c>
      <c r="Y517" s="134">
        <f t="shared" si="49"/>
        <v>1430948.2829804849</v>
      </c>
      <c r="Z517" s="134">
        <f t="shared" si="50"/>
        <v>1430907.6404642572</v>
      </c>
      <c r="AB517" s="127">
        <f t="shared" si="51"/>
        <v>0</v>
      </c>
      <c r="AC517" s="127">
        <f t="shared" si="52"/>
        <v>1</v>
      </c>
      <c r="AD517" s="127">
        <f t="shared" si="53"/>
        <v>0</v>
      </c>
    </row>
    <row r="518" spans="1:30" x14ac:dyDescent="0.25">
      <c r="A518">
        <v>513</v>
      </c>
      <c r="C518" s="11">
        <v>1.0285526514053345E-2</v>
      </c>
      <c r="D518" s="11">
        <v>9.9958926439285278E-3</v>
      </c>
      <c r="E518" s="11">
        <v>0.22279668713154008</v>
      </c>
      <c r="F518" s="11">
        <v>0.15080833173287883</v>
      </c>
      <c r="G518" s="11">
        <v>3.7180274724960327E-2</v>
      </c>
      <c r="H518" s="40">
        <v>4.3508303881177243E-4</v>
      </c>
      <c r="I518" s="40">
        <v>1.4637904411121234</v>
      </c>
      <c r="J518" s="59">
        <v>0</v>
      </c>
      <c r="K518" s="59">
        <v>5654.9720466136932</v>
      </c>
      <c r="L518" s="59">
        <v>0</v>
      </c>
      <c r="M518" s="11">
        <v>0.82956528663635254</v>
      </c>
      <c r="N518" s="11">
        <v>0.74198561906814575</v>
      </c>
      <c r="O518" s="11">
        <v>0.30095911026000977</v>
      </c>
      <c r="Q518" s="59">
        <v>14.450215424874687</v>
      </c>
      <c r="R518" s="78">
        <v>518.24038867558477</v>
      </c>
      <c r="S518" s="78">
        <v>14.490561614639891</v>
      </c>
      <c r="T518" s="78">
        <v>607.0699700119153</v>
      </c>
      <c r="U518" s="59">
        <v>14.494366754785826</v>
      </c>
      <c r="V518" s="78">
        <v>807.02499538832467</v>
      </c>
      <c r="X518" s="134">
        <f t="shared" si="48"/>
        <v>1444503.302098793</v>
      </c>
      <c r="Y518" s="134">
        <f t="shared" si="49"/>
        <v>1448449.091493977</v>
      </c>
      <c r="Z518" s="134">
        <f t="shared" si="50"/>
        <v>1448629.6504831943</v>
      </c>
      <c r="AB518" s="127">
        <f t="shared" si="51"/>
        <v>0</v>
      </c>
      <c r="AC518" s="127">
        <f t="shared" si="52"/>
        <v>0</v>
      </c>
      <c r="AD518" s="127">
        <f t="shared" si="53"/>
        <v>1</v>
      </c>
    </row>
    <row r="519" spans="1:30" x14ac:dyDescent="0.25">
      <c r="A519">
        <v>514</v>
      </c>
      <c r="C519" s="11">
        <v>2.769961953163147E-2</v>
      </c>
      <c r="D519" s="11">
        <v>1.8120616674423218E-2</v>
      </c>
      <c r="E519" s="11">
        <v>0.38897464333302217</v>
      </c>
      <c r="F519" s="11">
        <v>0.24544734722836745</v>
      </c>
      <c r="G519" s="11">
        <v>2.508053183555603E-2</v>
      </c>
      <c r="H519" s="40">
        <v>4.7525407259368246E-4</v>
      </c>
      <c r="I519" s="40">
        <v>1.4257106740023788</v>
      </c>
      <c r="J519" s="59">
        <v>0</v>
      </c>
      <c r="K519" s="59">
        <v>6230.412982404232</v>
      </c>
      <c r="L519" s="59">
        <v>0</v>
      </c>
      <c r="M519" s="11">
        <v>0.83074104785919189</v>
      </c>
      <c r="N519" s="11">
        <v>0.76233398914337158</v>
      </c>
      <c r="O519" s="11">
        <v>0.35715913772583008</v>
      </c>
      <c r="Q519" s="59">
        <v>14.224496024726381</v>
      </c>
      <c r="R519" s="78">
        <v>516.82302792786106</v>
      </c>
      <c r="S519" s="78">
        <v>14.250502095039918</v>
      </c>
      <c r="T519" s="78">
        <v>627.28607047422611</v>
      </c>
      <c r="U519" s="59">
        <v>14.256705454999974</v>
      </c>
      <c r="V519" s="78">
        <v>818.54571648081435</v>
      </c>
      <c r="X519" s="134">
        <f t="shared" si="48"/>
        <v>1421932.7794447101</v>
      </c>
      <c r="Y519" s="134">
        <f t="shared" si="49"/>
        <v>1424422.9234335176</v>
      </c>
      <c r="Z519" s="134">
        <f t="shared" si="50"/>
        <v>1424851.9997835166</v>
      </c>
      <c r="AB519" s="127">
        <f t="shared" si="51"/>
        <v>0</v>
      </c>
      <c r="AC519" s="127">
        <f t="shared" si="52"/>
        <v>0</v>
      </c>
      <c r="AD519" s="127">
        <f t="shared" si="53"/>
        <v>1</v>
      </c>
    </row>
    <row r="520" spans="1:30" x14ac:dyDescent="0.25">
      <c r="A520">
        <v>515</v>
      </c>
      <c r="C520" s="11">
        <v>3.3960163593292236E-2</v>
      </c>
      <c r="D520" s="11">
        <v>4.6309232711791992E-3</v>
      </c>
      <c r="E520" s="11">
        <v>0.48858505676867831</v>
      </c>
      <c r="F520" s="11">
        <v>0.15820193119272893</v>
      </c>
      <c r="G520" s="11">
        <v>3.5602658987045288E-2</v>
      </c>
      <c r="H520" s="40">
        <v>5.6824616792486759E-4</v>
      </c>
      <c r="I520" s="40">
        <v>1.4391412947047897</v>
      </c>
      <c r="J520" s="59">
        <v>0</v>
      </c>
      <c r="K520" s="59">
        <v>5253.4253336489201</v>
      </c>
      <c r="L520" s="59">
        <v>0</v>
      </c>
      <c r="M520" s="11">
        <v>0.88063657283782959</v>
      </c>
      <c r="N520" s="11">
        <v>0.76346689462661743</v>
      </c>
      <c r="O520" s="11">
        <v>0.28151369094848633</v>
      </c>
      <c r="Q520" s="59">
        <v>14.953548525444633</v>
      </c>
      <c r="R520" s="78">
        <v>529.43431063151343</v>
      </c>
      <c r="S520" s="78">
        <v>14.99061632242436</v>
      </c>
      <c r="T520" s="78">
        <v>645.90216057884072</v>
      </c>
      <c r="U520" s="59">
        <v>15.015076809913971</v>
      </c>
      <c r="V520" s="78">
        <v>809.81815477555836</v>
      </c>
      <c r="X520" s="134">
        <f t="shared" si="48"/>
        <v>1494825.4182338316</v>
      </c>
      <c r="Y520" s="134">
        <f t="shared" si="49"/>
        <v>1498415.7300818572</v>
      </c>
      <c r="Z520" s="134">
        <f t="shared" si="50"/>
        <v>1500697.8628366215</v>
      </c>
      <c r="AB520" s="127">
        <f t="shared" si="51"/>
        <v>0</v>
      </c>
      <c r="AC520" s="127">
        <f t="shared" si="52"/>
        <v>0</v>
      </c>
      <c r="AD520" s="127">
        <f t="shared" si="53"/>
        <v>1</v>
      </c>
    </row>
    <row r="521" spans="1:30" x14ac:dyDescent="0.25">
      <c r="A521">
        <v>516</v>
      </c>
      <c r="C521" s="11">
        <v>1.2196585536003113E-2</v>
      </c>
      <c r="D521" s="11">
        <v>5.2927970886230469E-2</v>
      </c>
      <c r="E521" s="11">
        <v>0.25548525805495731</v>
      </c>
      <c r="F521" s="11">
        <v>0.31137167943012894</v>
      </c>
      <c r="G521" s="11">
        <v>4.4852256774902344E-2</v>
      </c>
      <c r="H521" s="40">
        <v>6.2118976449940591E-4</v>
      </c>
      <c r="I521" s="40">
        <v>1.3865604577669692</v>
      </c>
      <c r="J521" s="59">
        <v>0</v>
      </c>
      <c r="K521" s="59">
        <v>5177.247803658247</v>
      </c>
      <c r="L521" s="59">
        <v>0</v>
      </c>
      <c r="M521" s="11">
        <v>0.86012715101242065</v>
      </c>
      <c r="N521" s="11">
        <v>0.64115142822265625</v>
      </c>
      <c r="O521" s="11">
        <v>0.32134675979614258</v>
      </c>
      <c r="Q521" s="59">
        <v>14.890755148133557</v>
      </c>
      <c r="R521" s="78">
        <v>526.48326507069498</v>
      </c>
      <c r="S521" s="78">
        <v>14.977277337627122</v>
      </c>
      <c r="T521" s="78">
        <v>613.34191789771398</v>
      </c>
      <c r="U521" s="59">
        <v>14.970684853629596</v>
      </c>
      <c r="V521" s="78">
        <v>829.80829222780471</v>
      </c>
      <c r="X521" s="134">
        <f t="shared" si="48"/>
        <v>1488549.0315482849</v>
      </c>
      <c r="Y521" s="134">
        <f t="shared" si="49"/>
        <v>1497114.3918448144</v>
      </c>
      <c r="Z521" s="134">
        <f t="shared" si="50"/>
        <v>1496238.6770707318</v>
      </c>
      <c r="AB521" s="127">
        <f t="shared" si="51"/>
        <v>0</v>
      </c>
      <c r="AC521" s="127">
        <f t="shared" si="52"/>
        <v>1</v>
      </c>
      <c r="AD521" s="127">
        <f t="shared" si="53"/>
        <v>0</v>
      </c>
    </row>
    <row r="522" spans="1:30" x14ac:dyDescent="0.25">
      <c r="A522">
        <v>517</v>
      </c>
      <c r="C522" s="11">
        <v>2.0395636558532715E-2</v>
      </c>
      <c r="D522" s="11">
        <v>3.1647920608520508E-2</v>
      </c>
      <c r="E522" s="11">
        <v>0.30237195216774793</v>
      </c>
      <c r="F522" s="11">
        <v>9.4152633633208332E-2</v>
      </c>
      <c r="G522" s="11">
        <v>6.8654417991638184E-2</v>
      </c>
      <c r="H522" s="40">
        <v>4.231749294431107E-4</v>
      </c>
      <c r="I522" s="40">
        <v>1.4826215658731139</v>
      </c>
      <c r="J522" s="59">
        <v>0</v>
      </c>
      <c r="K522" s="59">
        <v>3928.9635606110096</v>
      </c>
      <c r="L522" s="59">
        <v>0</v>
      </c>
      <c r="M522" s="11">
        <v>0.87140652537345886</v>
      </c>
      <c r="N522" s="11">
        <v>0.72954577207565308</v>
      </c>
      <c r="O522" s="11">
        <v>0.29647853970527649</v>
      </c>
      <c r="Q522" s="59">
        <v>14.995084541408094</v>
      </c>
      <c r="R522" s="78">
        <v>494.77622480934377</v>
      </c>
      <c r="S522" s="78">
        <v>15.0527096857793</v>
      </c>
      <c r="T522" s="78">
        <v>609.86110741429047</v>
      </c>
      <c r="U522" s="59">
        <v>15.070243951648688</v>
      </c>
      <c r="V522" s="78">
        <v>797.64627807141017</v>
      </c>
      <c r="X522" s="134">
        <f t="shared" si="48"/>
        <v>1499013.6779160001</v>
      </c>
      <c r="Y522" s="134">
        <f t="shared" si="49"/>
        <v>1504661.1074705156</v>
      </c>
      <c r="Z522" s="134">
        <f t="shared" si="50"/>
        <v>1506226.7488867973</v>
      </c>
      <c r="AB522" s="127">
        <f t="shared" si="51"/>
        <v>0</v>
      </c>
      <c r="AC522" s="127">
        <f t="shared" si="52"/>
        <v>0</v>
      </c>
      <c r="AD522" s="127">
        <f t="shared" si="53"/>
        <v>1</v>
      </c>
    </row>
    <row r="523" spans="1:30" x14ac:dyDescent="0.25">
      <c r="A523">
        <v>518</v>
      </c>
      <c r="C523" s="11">
        <v>2.0250886678695679E-2</v>
      </c>
      <c r="D523" s="11">
        <v>1.5388831496238708E-2</v>
      </c>
      <c r="E523" s="11">
        <v>0.43009997071287659</v>
      </c>
      <c r="F523" s="11">
        <v>0.21840366820644191</v>
      </c>
      <c r="G523" s="11">
        <v>7.932734489440918E-2</v>
      </c>
      <c r="H523" s="40">
        <v>3.0907923362093062E-4</v>
      </c>
      <c r="I523" s="40">
        <v>1.4605710924749231</v>
      </c>
      <c r="J523" s="59">
        <v>0</v>
      </c>
      <c r="K523" s="59">
        <v>7632.7100396156311</v>
      </c>
      <c r="L523" s="59">
        <v>0</v>
      </c>
      <c r="M523" s="11">
        <v>0.84135138988494873</v>
      </c>
      <c r="N523" s="11">
        <v>0.68754005432128906</v>
      </c>
      <c r="O523" s="11">
        <v>0.31459838151931763</v>
      </c>
      <c r="Q523" s="59">
        <v>14.505490878733845</v>
      </c>
      <c r="R523" s="78">
        <v>535.92194892064663</v>
      </c>
      <c r="S523" s="78">
        <v>14.536545430365901</v>
      </c>
      <c r="T523" s="78">
        <v>640.4673724041038</v>
      </c>
      <c r="U523" s="59">
        <v>14.548211315314095</v>
      </c>
      <c r="V523" s="78">
        <v>819.29420115488324</v>
      </c>
      <c r="X523" s="134">
        <f t="shared" si="48"/>
        <v>1450013.1659244639</v>
      </c>
      <c r="Y523" s="134">
        <f t="shared" si="49"/>
        <v>1453014.0756641859</v>
      </c>
      <c r="Z523" s="134">
        <f t="shared" si="50"/>
        <v>1454001.8373302545</v>
      </c>
      <c r="AB523" s="127">
        <f t="shared" si="51"/>
        <v>0</v>
      </c>
      <c r="AC523" s="127">
        <f t="shared" si="52"/>
        <v>0</v>
      </c>
      <c r="AD523" s="127">
        <f t="shared" si="53"/>
        <v>1</v>
      </c>
    </row>
    <row r="524" spans="1:30" x14ac:dyDescent="0.25">
      <c r="A524">
        <v>519</v>
      </c>
      <c r="C524" s="11">
        <v>2.4583935737609863E-2</v>
      </c>
      <c r="D524" s="11">
        <v>7.5624138116836548E-3</v>
      </c>
      <c r="E524" s="11">
        <v>0.325432914626757</v>
      </c>
      <c r="F524" s="11">
        <v>0.12211079645090858</v>
      </c>
      <c r="G524" s="11">
        <v>5.7318925857543945E-2</v>
      </c>
      <c r="H524" s="40">
        <v>3.1847850922914179E-4</v>
      </c>
      <c r="I524" s="40">
        <v>1.5023101674467105</v>
      </c>
      <c r="J524" s="59">
        <v>0</v>
      </c>
      <c r="K524" s="59">
        <v>7930.6308180093765</v>
      </c>
      <c r="L524" s="59">
        <v>0</v>
      </c>
      <c r="M524" s="11">
        <v>0.88211309909820557</v>
      </c>
      <c r="N524" s="11">
        <v>0.7217942476272583</v>
      </c>
      <c r="O524" s="11">
        <v>0.30841150879859924</v>
      </c>
      <c r="Q524" s="59">
        <v>15.135097357203229</v>
      </c>
      <c r="R524" s="78">
        <v>549.80907958450575</v>
      </c>
      <c r="S524" s="78">
        <v>15.177439521561974</v>
      </c>
      <c r="T524" s="78">
        <v>630.21420023952055</v>
      </c>
      <c r="U524" s="59">
        <v>15.190397704174559</v>
      </c>
      <c r="V524" s="78">
        <v>807.27514293201432</v>
      </c>
      <c r="X524" s="134">
        <f t="shared" si="48"/>
        <v>1512959.9266407385</v>
      </c>
      <c r="Y524" s="134">
        <f t="shared" si="49"/>
        <v>1517113.7379559577</v>
      </c>
      <c r="Z524" s="134">
        <f t="shared" si="50"/>
        <v>1518232.495274524</v>
      </c>
      <c r="AB524" s="127">
        <f t="shared" si="51"/>
        <v>0</v>
      </c>
      <c r="AC524" s="127">
        <f t="shared" si="52"/>
        <v>0</v>
      </c>
      <c r="AD524" s="127">
        <f t="shared" si="53"/>
        <v>1</v>
      </c>
    </row>
    <row r="525" spans="1:30" x14ac:dyDescent="0.25">
      <c r="A525">
        <v>520</v>
      </c>
      <c r="C525" s="11">
        <v>4.8417896032333374E-3</v>
      </c>
      <c r="D525" s="11">
        <v>9.6346735954284668E-3</v>
      </c>
      <c r="E525" s="11">
        <v>0.28553125737148144</v>
      </c>
      <c r="F525" s="11">
        <v>0.12371464306808375</v>
      </c>
      <c r="G525" s="11">
        <v>5.0808042287826538E-2</v>
      </c>
      <c r="H525" s="40">
        <v>4.9358688574760088E-4</v>
      </c>
      <c r="I525" s="40">
        <v>1.4314564226981534</v>
      </c>
      <c r="J525" s="59">
        <v>0</v>
      </c>
      <c r="K525" s="59">
        <v>5204.7637291252613</v>
      </c>
      <c r="L525" s="59">
        <v>0</v>
      </c>
      <c r="M525" s="11">
        <v>0.8546302318572998</v>
      </c>
      <c r="N525" s="11">
        <v>0.81778073310852051</v>
      </c>
      <c r="O525" s="11">
        <v>0.26793438196182251</v>
      </c>
      <c r="Q525" s="59">
        <v>14.979381638202785</v>
      </c>
      <c r="R525" s="78">
        <v>521.00795219890472</v>
      </c>
      <c r="S525" s="78">
        <v>15.010158395825748</v>
      </c>
      <c r="T525" s="78">
        <v>615.7333818136558</v>
      </c>
      <c r="U525" s="59">
        <v>15.017266976631237</v>
      </c>
      <c r="V525" s="78">
        <v>803.96246336655202</v>
      </c>
      <c r="X525" s="134">
        <f t="shared" si="48"/>
        <v>1497417.1558680797</v>
      </c>
      <c r="Y525" s="134">
        <f t="shared" si="49"/>
        <v>1500400.1062007612</v>
      </c>
      <c r="Z525" s="134">
        <f t="shared" si="50"/>
        <v>1500922.7351997572</v>
      </c>
      <c r="AB525" s="127">
        <f t="shared" si="51"/>
        <v>0</v>
      </c>
      <c r="AC525" s="127">
        <f t="shared" si="52"/>
        <v>0</v>
      </c>
      <c r="AD525" s="127">
        <f t="shared" si="53"/>
        <v>1</v>
      </c>
    </row>
    <row r="526" spans="1:30" x14ac:dyDescent="0.25">
      <c r="A526">
        <v>521</v>
      </c>
      <c r="C526" s="11">
        <v>2.0765125751495361E-2</v>
      </c>
      <c r="D526" s="11">
        <v>2.0218074321746826E-2</v>
      </c>
      <c r="E526" s="11">
        <v>0.24829917230495585</v>
      </c>
      <c r="F526" s="11">
        <v>0.13190588478602791</v>
      </c>
      <c r="G526" s="11">
        <v>2.4200975894927979E-2</v>
      </c>
      <c r="H526" s="40">
        <v>5.3181592814408225E-4</v>
      </c>
      <c r="I526" s="40">
        <v>1.4433804302966604</v>
      </c>
      <c r="J526" s="59">
        <v>0</v>
      </c>
      <c r="K526" s="59">
        <v>5429.568700492382</v>
      </c>
      <c r="L526" s="59">
        <v>0</v>
      </c>
      <c r="M526" s="11">
        <v>0.81688761711120605</v>
      </c>
      <c r="N526" s="11">
        <v>0.69619035720825195</v>
      </c>
      <c r="O526" s="11">
        <v>0.26973158121109009</v>
      </c>
      <c r="Q526" s="59">
        <v>14.05746501792685</v>
      </c>
      <c r="R526" s="78">
        <v>519.97023937120923</v>
      </c>
      <c r="S526" s="78">
        <v>14.111318338693115</v>
      </c>
      <c r="T526" s="78">
        <v>610.7697179370025</v>
      </c>
      <c r="U526" s="59">
        <v>14.119830553637362</v>
      </c>
      <c r="V526" s="78">
        <v>804.91837181447295</v>
      </c>
      <c r="X526" s="134">
        <f t="shared" si="48"/>
        <v>1405226.5315533136</v>
      </c>
      <c r="Y526" s="134">
        <f t="shared" si="49"/>
        <v>1410521.0641513744</v>
      </c>
      <c r="Z526" s="134">
        <f t="shared" si="50"/>
        <v>1411178.1369919216</v>
      </c>
      <c r="AB526" s="127">
        <f t="shared" si="51"/>
        <v>0</v>
      </c>
      <c r="AC526" s="127">
        <f t="shared" si="52"/>
        <v>0</v>
      </c>
      <c r="AD526" s="127">
        <f t="shared" si="53"/>
        <v>1</v>
      </c>
    </row>
    <row r="527" spans="1:30" x14ac:dyDescent="0.25">
      <c r="A527">
        <v>522</v>
      </c>
      <c r="C527" s="11">
        <v>2.3375511169433594E-2</v>
      </c>
      <c r="D527" s="11">
        <v>2.3329019546508789E-2</v>
      </c>
      <c r="E527" s="11">
        <v>0.32015223480510852</v>
      </c>
      <c r="F527" s="11">
        <v>7.3130991130098466E-2</v>
      </c>
      <c r="G527" s="11">
        <v>2.7918130159378052E-2</v>
      </c>
      <c r="H527" s="40">
        <v>4.7908742976483239E-4</v>
      </c>
      <c r="I527" s="40">
        <v>1.4648438768265362</v>
      </c>
      <c r="J527" s="59">
        <v>0</v>
      </c>
      <c r="K527" s="59">
        <v>6197.4744312465191</v>
      </c>
      <c r="L527" s="59">
        <v>0</v>
      </c>
      <c r="M527" s="11">
        <v>0.89191067218780518</v>
      </c>
      <c r="N527" s="11">
        <v>0.71766245365142822</v>
      </c>
      <c r="O527" s="11">
        <v>0.30921882390975952</v>
      </c>
      <c r="Q527" s="59">
        <v>15.296040020733802</v>
      </c>
      <c r="R527" s="78">
        <v>534.517140731513</v>
      </c>
      <c r="S527" s="78">
        <v>15.356798645595688</v>
      </c>
      <c r="T527" s="78">
        <v>624.60434281086259</v>
      </c>
      <c r="U527" s="59">
        <v>15.379344335457652</v>
      </c>
      <c r="V527" s="78">
        <v>798.46934568656263</v>
      </c>
      <c r="X527" s="134">
        <f t="shared" si="48"/>
        <v>1529069.4849326487</v>
      </c>
      <c r="Y527" s="134">
        <f t="shared" si="49"/>
        <v>1535055.2602167581</v>
      </c>
      <c r="Z527" s="134">
        <f t="shared" si="50"/>
        <v>1537135.9642000787</v>
      </c>
      <c r="AB527" s="127">
        <f t="shared" si="51"/>
        <v>0</v>
      </c>
      <c r="AC527" s="127">
        <f t="shared" si="52"/>
        <v>0</v>
      </c>
      <c r="AD527" s="127">
        <f t="shared" si="53"/>
        <v>1</v>
      </c>
    </row>
    <row r="528" spans="1:30" x14ac:dyDescent="0.25">
      <c r="A528">
        <v>523</v>
      </c>
      <c r="C528" s="11">
        <v>4.4392645359039307E-3</v>
      </c>
      <c r="D528" s="11">
        <v>1.0304927825927734E-2</v>
      </c>
      <c r="E528" s="11">
        <v>0.25977027340348685</v>
      </c>
      <c r="F528" s="11">
        <v>0.1288141556903756</v>
      </c>
      <c r="G528" s="11">
        <v>4.2006820440292358E-2</v>
      </c>
      <c r="H528" s="40">
        <v>5.1469508583945416E-4</v>
      </c>
      <c r="I528" s="40">
        <v>1.4399347753722866</v>
      </c>
      <c r="J528" s="59">
        <v>0</v>
      </c>
      <c r="K528" s="59">
        <v>3950.3211155533791</v>
      </c>
      <c r="L528" s="59">
        <v>0</v>
      </c>
      <c r="M528" s="11">
        <v>0.85582473874092102</v>
      </c>
      <c r="N528" s="11">
        <v>0.77540743350982666</v>
      </c>
      <c r="O528" s="11">
        <v>0.28533262014389038</v>
      </c>
      <c r="Q528" s="59">
        <v>14.991495397268871</v>
      </c>
      <c r="R528" s="78">
        <v>492.5594031672635</v>
      </c>
      <c r="S528" s="78">
        <v>15.034405762205397</v>
      </c>
      <c r="T528" s="78">
        <v>604.97414157808123</v>
      </c>
      <c r="U528" s="59">
        <v>15.042152421792471</v>
      </c>
      <c r="V528" s="78">
        <v>800.91307836586748</v>
      </c>
      <c r="X528" s="134">
        <f t="shared" si="48"/>
        <v>1498656.9803237198</v>
      </c>
      <c r="Y528" s="134">
        <f t="shared" si="49"/>
        <v>1502835.6020789614</v>
      </c>
      <c r="Z528" s="134">
        <f t="shared" si="50"/>
        <v>1503414.3291008812</v>
      </c>
      <c r="AB528" s="127">
        <f t="shared" si="51"/>
        <v>0</v>
      </c>
      <c r="AC528" s="127">
        <f t="shared" si="52"/>
        <v>0</v>
      </c>
      <c r="AD528" s="127">
        <f t="shared" si="53"/>
        <v>1</v>
      </c>
    </row>
    <row r="529" spans="1:30" x14ac:dyDescent="0.25">
      <c r="A529">
        <v>524</v>
      </c>
      <c r="C529" s="11">
        <v>1.9251763820648193E-2</v>
      </c>
      <c r="D529" s="11">
        <v>3.5402238368988037E-2</v>
      </c>
      <c r="E529" s="11">
        <v>0.27495234399640622</v>
      </c>
      <c r="F529" s="11">
        <v>0.33997159155022943</v>
      </c>
      <c r="G529" s="11">
        <v>6.2991499900817871E-2</v>
      </c>
      <c r="H529" s="40">
        <v>4.8643600704622643E-4</v>
      </c>
      <c r="I529" s="40">
        <v>1.394720981899003</v>
      </c>
      <c r="J529" s="59">
        <v>0</v>
      </c>
      <c r="K529" s="59">
        <v>4728.3247113227844</v>
      </c>
      <c r="L529" s="59">
        <v>0</v>
      </c>
      <c r="M529" s="11">
        <v>0.84703963994979858</v>
      </c>
      <c r="N529" s="11">
        <v>0.78845536708831787</v>
      </c>
      <c r="O529" s="11">
        <v>0.2920452356338501</v>
      </c>
      <c r="Q529" s="59">
        <v>14.621868657775046</v>
      </c>
      <c r="R529" s="78">
        <v>499.6017593402961</v>
      </c>
      <c r="S529" s="78">
        <v>14.659265261092836</v>
      </c>
      <c r="T529" s="78">
        <v>608.36304117235386</v>
      </c>
      <c r="U529" s="59">
        <v>14.655870756124871</v>
      </c>
      <c r="V529" s="78">
        <v>824.2699869107621</v>
      </c>
      <c r="X529" s="134">
        <f t="shared" si="48"/>
        <v>1461687.2640181642</v>
      </c>
      <c r="Y529" s="134">
        <f t="shared" si="49"/>
        <v>1465318.1630681113</v>
      </c>
      <c r="Z529" s="134">
        <f t="shared" si="50"/>
        <v>1464762.8056255763</v>
      </c>
      <c r="AB529" s="127">
        <f t="shared" si="51"/>
        <v>0</v>
      </c>
      <c r="AC529" s="127">
        <f t="shared" si="52"/>
        <v>1</v>
      </c>
      <c r="AD529" s="127">
        <f t="shared" si="53"/>
        <v>0</v>
      </c>
    </row>
    <row r="530" spans="1:30" x14ac:dyDescent="0.25">
      <c r="A530">
        <v>525</v>
      </c>
      <c r="C530" s="11">
        <v>3.1842678785324097E-2</v>
      </c>
      <c r="D530" s="11">
        <v>3.2188773155212402E-2</v>
      </c>
      <c r="E530" s="11">
        <v>0.20812980220622529</v>
      </c>
      <c r="F530" s="11">
        <v>0.2553100418255449</v>
      </c>
      <c r="G530" s="11">
        <v>4.4475704431533813E-2</v>
      </c>
      <c r="H530" s="40">
        <v>3.8771738082898932E-4</v>
      </c>
      <c r="I530" s="40">
        <v>1.5197351531129644</v>
      </c>
      <c r="J530" s="59">
        <v>0</v>
      </c>
      <c r="K530" s="59">
        <v>5905.4023586213589</v>
      </c>
      <c r="L530" s="59">
        <v>0</v>
      </c>
      <c r="M530" s="11">
        <v>0.82598388195037842</v>
      </c>
      <c r="N530" s="11">
        <v>0.73263156414031982</v>
      </c>
      <c r="O530" s="11">
        <v>0.29577448964118958</v>
      </c>
      <c r="Q530" s="59">
        <v>14.061760224361922</v>
      </c>
      <c r="R530" s="78">
        <v>531.20199885169802</v>
      </c>
      <c r="S530" s="78">
        <v>14.111797174288268</v>
      </c>
      <c r="T530" s="78">
        <v>607.99735128824943</v>
      </c>
      <c r="U530" s="59">
        <v>14.108765102694468</v>
      </c>
      <c r="V530" s="78">
        <v>823.53794848174903</v>
      </c>
      <c r="X530" s="134">
        <f t="shared" si="48"/>
        <v>1405644.8204373405</v>
      </c>
      <c r="Y530" s="134">
        <f t="shared" si="49"/>
        <v>1410571.7200775384</v>
      </c>
      <c r="Z530" s="134">
        <f t="shared" si="50"/>
        <v>1410052.972320965</v>
      </c>
      <c r="AB530" s="127">
        <f t="shared" si="51"/>
        <v>0</v>
      </c>
      <c r="AC530" s="127">
        <f t="shared" si="52"/>
        <v>1</v>
      </c>
      <c r="AD530" s="127">
        <f t="shared" si="53"/>
        <v>0</v>
      </c>
    </row>
    <row r="531" spans="1:30" x14ac:dyDescent="0.25">
      <c r="A531">
        <v>526</v>
      </c>
      <c r="C531" s="11">
        <v>1.4483466744422913E-2</v>
      </c>
      <c r="D531" s="11">
        <v>4.7818273305892944E-3</v>
      </c>
      <c r="E531" s="11">
        <v>0.4489854596274237</v>
      </c>
      <c r="F531" s="11">
        <v>0.14321140010634353</v>
      </c>
      <c r="G531" s="11">
        <v>2.7671277523040771E-2</v>
      </c>
      <c r="H531" s="40">
        <v>5.9026367357333496E-4</v>
      </c>
      <c r="I531" s="40">
        <v>1.330528196257845</v>
      </c>
      <c r="J531" s="59">
        <v>0</v>
      </c>
      <c r="K531" s="59">
        <v>5898.1543406844139</v>
      </c>
      <c r="L531" s="59">
        <v>0</v>
      </c>
      <c r="M531" s="11">
        <v>0.83066534996032715</v>
      </c>
      <c r="N531" s="11">
        <v>0.76588445901870728</v>
      </c>
      <c r="O531" s="11">
        <v>0.34593963623046875</v>
      </c>
      <c r="Q531" s="59">
        <v>14.423276975263226</v>
      </c>
      <c r="R531" s="78">
        <v>506.81680786301359</v>
      </c>
      <c r="S531" s="78">
        <v>14.443352547440909</v>
      </c>
      <c r="T531" s="78">
        <v>630.0865858411529</v>
      </c>
      <c r="U531" s="59">
        <v>14.454669059949646</v>
      </c>
      <c r="V531" s="78">
        <v>804.37256737226107</v>
      </c>
      <c r="X531" s="134">
        <f t="shared" si="48"/>
        <v>1441820.8807184596</v>
      </c>
      <c r="Y531" s="134">
        <f t="shared" si="49"/>
        <v>1443705.1681582497</v>
      </c>
      <c r="Z531" s="134">
        <f t="shared" si="50"/>
        <v>1444662.5334275924</v>
      </c>
      <c r="AB531" s="127">
        <f t="shared" si="51"/>
        <v>0</v>
      </c>
      <c r="AC531" s="127">
        <f t="shared" si="52"/>
        <v>0</v>
      </c>
      <c r="AD531" s="127">
        <f t="shared" si="53"/>
        <v>1</v>
      </c>
    </row>
    <row r="532" spans="1:30" x14ac:dyDescent="0.25">
      <c r="A532">
        <v>527</v>
      </c>
      <c r="C532" s="11">
        <v>6.3689053058624268E-3</v>
      </c>
      <c r="D532" s="11">
        <v>1.8505573272705078E-2</v>
      </c>
      <c r="E532" s="11">
        <v>0.3503200189365992</v>
      </c>
      <c r="F532" s="11">
        <v>9.3334628624944571E-2</v>
      </c>
      <c r="G532" s="11">
        <v>1.5558570623397827E-2</v>
      </c>
      <c r="H532" s="40">
        <v>4.4878884833997058E-4</v>
      </c>
      <c r="I532" s="40">
        <v>1.4646770744768924</v>
      </c>
      <c r="J532" s="59">
        <v>0</v>
      </c>
      <c r="K532" s="59">
        <v>3857.3448546230793</v>
      </c>
      <c r="L532" s="59">
        <v>0</v>
      </c>
      <c r="M532" s="11">
        <v>0.83245152235031128</v>
      </c>
      <c r="N532" s="11">
        <v>0.73570722341537476</v>
      </c>
      <c r="O532" s="11">
        <v>0.32454037666320801</v>
      </c>
      <c r="Q532" s="59">
        <v>14.555102258738906</v>
      </c>
      <c r="R532" s="78">
        <v>471.70192902057772</v>
      </c>
      <c r="S532" s="78">
        <v>14.590766494888021</v>
      </c>
      <c r="T532" s="78">
        <v>606.55981731749421</v>
      </c>
      <c r="U532" s="59">
        <v>14.605156602817406</v>
      </c>
      <c r="V532" s="78">
        <v>795.37900452884401</v>
      </c>
      <c r="X532" s="134">
        <f t="shared" ref="X532:X595" si="54">Q532*cRatio-R532</f>
        <v>1455038.5239448701</v>
      </c>
      <c r="Y532" s="134">
        <f t="shared" ref="Y532:Y595" si="55">S532*cRatio-T532</f>
        <v>1458470.0896714847</v>
      </c>
      <c r="Z532" s="134">
        <f t="shared" ref="Z532:Z595" si="56">U532*cRatio-V532</f>
        <v>1459720.2812772118</v>
      </c>
      <c r="AB532" s="127">
        <f t="shared" ref="AB532:AB595" si="57">IF(X532=MAX($X532:$Z532),1,0)</f>
        <v>0</v>
      </c>
      <c r="AC532" s="127">
        <f t="shared" ref="AC532:AC595" si="58">IF(Y532=MAX($X532:$Z532),1,0)</f>
        <v>0</v>
      </c>
      <c r="AD532" s="127">
        <f t="shared" ref="AD532:AD595" si="59">IF(Z532=MAX($X532:$Z532),1,0)</f>
        <v>1</v>
      </c>
    </row>
    <row r="533" spans="1:30" x14ac:dyDescent="0.25">
      <c r="A533">
        <v>528</v>
      </c>
      <c r="C533" s="11">
        <v>4.1942894458770752E-3</v>
      </c>
      <c r="D533" s="11">
        <v>5.855947732925415E-3</v>
      </c>
      <c r="E533" s="11">
        <v>0.3861815284113283</v>
      </c>
      <c r="F533" s="11">
        <v>0.22458606759095684</v>
      </c>
      <c r="G533" s="11">
        <v>3.1376540660858154E-2</v>
      </c>
      <c r="H533" s="40">
        <v>4.7218009780054235E-4</v>
      </c>
      <c r="I533" s="40">
        <v>1.5230810478516921</v>
      </c>
      <c r="J533" s="59">
        <v>0</v>
      </c>
      <c r="K533" s="59">
        <v>8174.6000796556473</v>
      </c>
      <c r="L533" s="59">
        <v>0</v>
      </c>
      <c r="M533" s="11">
        <v>0.84317362308502197</v>
      </c>
      <c r="N533" s="11">
        <v>0.70165812969207764</v>
      </c>
      <c r="O533" s="11">
        <v>0.33421814441680908</v>
      </c>
      <c r="Q533" s="59">
        <v>14.746044531528241</v>
      </c>
      <c r="R533" s="78">
        <v>619.20967059226518</v>
      </c>
      <c r="S533" s="78">
        <v>14.797628495473855</v>
      </c>
      <c r="T533" s="78">
        <v>667.2658861557245</v>
      </c>
      <c r="U533" s="59">
        <v>14.811503123635557</v>
      </c>
      <c r="V533" s="78">
        <v>839.53318226837541</v>
      </c>
      <c r="X533" s="134">
        <f t="shared" si="54"/>
        <v>1473985.2434822319</v>
      </c>
      <c r="Y533" s="134">
        <f t="shared" si="55"/>
        <v>1479095.5836612298</v>
      </c>
      <c r="Z533" s="134">
        <f t="shared" si="56"/>
        <v>1480310.7791812874</v>
      </c>
      <c r="AB533" s="127">
        <f t="shared" si="57"/>
        <v>0</v>
      </c>
      <c r="AC533" s="127">
        <f t="shared" si="58"/>
        <v>0</v>
      </c>
      <c r="AD533" s="127">
        <f t="shared" si="59"/>
        <v>1</v>
      </c>
    </row>
    <row r="534" spans="1:30" x14ac:dyDescent="0.25">
      <c r="A534">
        <v>529</v>
      </c>
      <c r="C534" s="11">
        <v>2.1250247955322266E-2</v>
      </c>
      <c r="D534" s="11">
        <v>5.3774118423461914E-3</v>
      </c>
      <c r="E534" s="11">
        <v>9.331823117124613E-2</v>
      </c>
      <c r="F534" s="11">
        <v>0.44671024728968239</v>
      </c>
      <c r="G534" s="11">
        <v>1.8866688013076782E-2</v>
      </c>
      <c r="H534" s="40">
        <v>5.2464959051371624E-4</v>
      </c>
      <c r="I534" s="40">
        <v>1.3102248908216281</v>
      </c>
      <c r="J534" s="59">
        <v>0</v>
      </c>
      <c r="K534" s="59">
        <v>4832.1252688765526</v>
      </c>
      <c r="L534" s="59">
        <v>0</v>
      </c>
      <c r="M534" s="11">
        <v>0.83514893054962158</v>
      </c>
      <c r="N534" s="11">
        <v>0.77662646770477295</v>
      </c>
      <c r="O534" s="11">
        <v>0.33563458919525146</v>
      </c>
      <c r="Q534" s="59">
        <v>14.409429398558244</v>
      </c>
      <c r="R534" s="78">
        <v>467.11653363638237</v>
      </c>
      <c r="S534" s="78">
        <v>14.435514318065302</v>
      </c>
      <c r="T534" s="78">
        <v>585.90391217180047</v>
      </c>
      <c r="U534" s="59">
        <v>14.425260979783721</v>
      </c>
      <c r="V534" s="78">
        <v>820.89698850707487</v>
      </c>
      <c r="X534" s="134">
        <f t="shared" si="54"/>
        <v>1440475.8233221881</v>
      </c>
      <c r="Y534" s="134">
        <f t="shared" si="55"/>
        <v>1442965.5278943584</v>
      </c>
      <c r="Z534" s="134">
        <f t="shared" si="56"/>
        <v>1441705.200989865</v>
      </c>
      <c r="AB534" s="127">
        <f t="shared" si="57"/>
        <v>0</v>
      </c>
      <c r="AC534" s="127">
        <f t="shared" si="58"/>
        <v>1</v>
      </c>
      <c r="AD534" s="127">
        <f t="shared" si="59"/>
        <v>0</v>
      </c>
    </row>
    <row r="535" spans="1:30" x14ac:dyDescent="0.25">
      <c r="A535">
        <v>530</v>
      </c>
      <c r="C535" s="11">
        <v>1.3121634721755981E-2</v>
      </c>
      <c r="D535" s="11">
        <v>4.0168464183807373E-3</v>
      </c>
      <c r="E535" s="11">
        <v>0.21262818512293932</v>
      </c>
      <c r="F535" s="11">
        <v>0.14526705204408699</v>
      </c>
      <c r="G535" s="11">
        <v>3.1921893358230591E-2</v>
      </c>
      <c r="H535" s="40">
        <v>4.1551068151889949E-4</v>
      </c>
      <c r="I535" s="40">
        <v>1.4211144631976931</v>
      </c>
      <c r="J535" s="59">
        <v>0</v>
      </c>
      <c r="K535" s="59">
        <v>5953.4725733101368</v>
      </c>
      <c r="L535" s="59">
        <v>0</v>
      </c>
      <c r="M535" s="11">
        <v>0.8876689076423645</v>
      </c>
      <c r="N535" s="11">
        <v>0.70935094356536865</v>
      </c>
      <c r="O535" s="11">
        <v>0.27577865123748779</v>
      </c>
      <c r="Q535" s="59">
        <v>15.406105810250056</v>
      </c>
      <c r="R535" s="78">
        <v>501.32576731205342</v>
      </c>
      <c r="S535" s="78">
        <v>15.459110476368039</v>
      </c>
      <c r="T535" s="78">
        <v>602.08968592584142</v>
      </c>
      <c r="U535" s="59">
        <v>15.463711352071629</v>
      </c>
      <c r="V535" s="78">
        <v>803.7907366823772</v>
      </c>
      <c r="X535" s="134">
        <f t="shared" si="54"/>
        <v>1540109.2552576936</v>
      </c>
      <c r="Y535" s="134">
        <f t="shared" si="55"/>
        <v>1545308.9579508782</v>
      </c>
      <c r="Z535" s="134">
        <f t="shared" si="56"/>
        <v>1545567.3444704805</v>
      </c>
      <c r="AB535" s="127">
        <f t="shared" si="57"/>
        <v>0</v>
      </c>
      <c r="AC535" s="127">
        <f t="shared" si="58"/>
        <v>0</v>
      </c>
      <c r="AD535" s="127">
        <f t="shared" si="59"/>
        <v>1</v>
      </c>
    </row>
    <row r="536" spans="1:30" x14ac:dyDescent="0.25">
      <c r="A536">
        <v>531</v>
      </c>
      <c r="C536" s="11">
        <v>1.4968320727348328E-2</v>
      </c>
      <c r="D536" s="11">
        <v>1.226729154586792E-2</v>
      </c>
      <c r="E536" s="11">
        <v>0.11688878711561947</v>
      </c>
      <c r="F536" s="11">
        <v>0.16031424580369627</v>
      </c>
      <c r="G536" s="11">
        <v>3.6184042692184448E-2</v>
      </c>
      <c r="H536" s="40">
        <v>6.5871923063053148E-4</v>
      </c>
      <c r="I536" s="40">
        <v>1.445696982550849</v>
      </c>
      <c r="J536" s="59">
        <v>0</v>
      </c>
      <c r="K536" s="59">
        <v>2735.5365455150604</v>
      </c>
      <c r="L536" s="59">
        <v>0</v>
      </c>
      <c r="M536" s="11">
        <v>0.89309608936309814</v>
      </c>
      <c r="N536" s="11">
        <v>0.7554735541343689</v>
      </c>
      <c r="O536" s="11">
        <v>0.25927478075027466</v>
      </c>
      <c r="Q536" s="59">
        <v>15.436935801794704</v>
      </c>
      <c r="R536" s="78">
        <v>478.74166363065353</v>
      </c>
      <c r="S536" s="78">
        <v>15.526879976151861</v>
      </c>
      <c r="T536" s="78">
        <v>589.13106219593249</v>
      </c>
      <c r="U536" s="59">
        <v>15.522345947008576</v>
      </c>
      <c r="V536" s="78">
        <v>801.87933437106926</v>
      </c>
      <c r="X536" s="134">
        <f t="shared" si="54"/>
        <v>1543214.8385158398</v>
      </c>
      <c r="Y536" s="134">
        <f t="shared" si="55"/>
        <v>1552098.8665529902</v>
      </c>
      <c r="Z536" s="134">
        <f t="shared" si="56"/>
        <v>1551432.7153664865</v>
      </c>
      <c r="AB536" s="127">
        <f t="shared" si="57"/>
        <v>0</v>
      </c>
      <c r="AC536" s="127">
        <f t="shared" si="58"/>
        <v>1</v>
      </c>
      <c r="AD536" s="127">
        <f t="shared" si="59"/>
        <v>0</v>
      </c>
    </row>
    <row r="537" spans="1:30" x14ac:dyDescent="0.25">
      <c r="A537">
        <v>532</v>
      </c>
      <c r="C537" s="11">
        <v>1.726163923740387E-2</v>
      </c>
      <c r="D537" s="11">
        <v>1.5169441699981689E-2</v>
      </c>
      <c r="E537" s="11">
        <v>0.2563298589537335</v>
      </c>
      <c r="F537" s="11">
        <v>0.2277738299322925</v>
      </c>
      <c r="G537" s="11">
        <v>2.4711400270462036E-2</v>
      </c>
      <c r="H537" s="40">
        <v>4.3581674707678374E-4</v>
      </c>
      <c r="I537" s="40">
        <v>1.4622360814201372</v>
      </c>
      <c r="J537" s="59">
        <v>0</v>
      </c>
      <c r="K537" s="59">
        <v>7339.2782360315323</v>
      </c>
      <c r="L537" s="59">
        <v>0</v>
      </c>
      <c r="M537" s="11">
        <v>0.88513058423995972</v>
      </c>
      <c r="N537" s="11">
        <v>0.72716057300567627</v>
      </c>
      <c r="O537" s="11">
        <v>0.2930564284324646</v>
      </c>
      <c r="Q537" s="59">
        <v>15.289854709101018</v>
      </c>
      <c r="R537" s="78">
        <v>542.97961654039204</v>
      </c>
      <c r="S537" s="78">
        <v>15.345214581587271</v>
      </c>
      <c r="T537" s="78">
        <v>617.70732225012239</v>
      </c>
      <c r="U537" s="59">
        <v>15.347374465084005</v>
      </c>
      <c r="V537" s="78">
        <v>822.41314765453853</v>
      </c>
      <c r="X537" s="134">
        <f t="shared" si="54"/>
        <v>1528442.4912935614</v>
      </c>
      <c r="Y537" s="134">
        <f t="shared" si="55"/>
        <v>1533903.7508364769</v>
      </c>
      <c r="Z537" s="134">
        <f t="shared" si="56"/>
        <v>1533915.033360746</v>
      </c>
      <c r="AB537" s="127">
        <f t="shared" si="57"/>
        <v>0</v>
      </c>
      <c r="AC537" s="127">
        <f t="shared" si="58"/>
        <v>0</v>
      </c>
      <c r="AD537" s="127">
        <f t="shared" si="59"/>
        <v>1</v>
      </c>
    </row>
    <row r="538" spans="1:30" x14ac:dyDescent="0.25">
      <c r="A538">
        <v>533</v>
      </c>
      <c r="C538" s="11">
        <v>1.9177898764610291E-2</v>
      </c>
      <c r="D538" s="11">
        <v>2.3814141750335693E-3</v>
      </c>
      <c r="E538" s="11">
        <v>0.31448477749280213</v>
      </c>
      <c r="F538" s="11">
        <v>0.27940479888753406</v>
      </c>
      <c r="G538" s="11">
        <v>2.0556330680847168E-2</v>
      </c>
      <c r="H538" s="40">
        <v>4.8312562400751514E-4</v>
      </c>
      <c r="I538" s="40">
        <v>1.4756405036972564</v>
      </c>
      <c r="J538" s="59">
        <v>0</v>
      </c>
      <c r="K538" s="59">
        <v>6415.1640981435776</v>
      </c>
      <c r="L538" s="59">
        <v>0</v>
      </c>
      <c r="M538" s="11">
        <v>0.8607943058013916</v>
      </c>
      <c r="N538" s="11">
        <v>0.77875989675521851</v>
      </c>
      <c r="O538" s="11">
        <v>0.35912251472473145</v>
      </c>
      <c r="Q538" s="59">
        <v>14.861903553905453</v>
      </c>
      <c r="R538" s="78">
        <v>540.16089702564614</v>
      </c>
      <c r="S538" s="78">
        <v>14.896731936634147</v>
      </c>
      <c r="T538" s="78">
        <v>625.63707658504393</v>
      </c>
      <c r="U538" s="59">
        <v>14.898546416565056</v>
      </c>
      <c r="V538" s="78">
        <v>829.46580340412322</v>
      </c>
      <c r="X538" s="134">
        <f t="shared" si="54"/>
        <v>1485650.1944935196</v>
      </c>
      <c r="Y538" s="134">
        <f t="shared" si="55"/>
        <v>1489047.5565868297</v>
      </c>
      <c r="Z538" s="134">
        <f t="shared" si="56"/>
        <v>1489025.1758531015</v>
      </c>
      <c r="AB538" s="127">
        <f t="shared" si="57"/>
        <v>0</v>
      </c>
      <c r="AC538" s="127">
        <f t="shared" si="58"/>
        <v>1</v>
      </c>
      <c r="AD538" s="127">
        <f t="shared" si="59"/>
        <v>0</v>
      </c>
    </row>
    <row r="539" spans="1:30" x14ac:dyDescent="0.25">
      <c r="A539">
        <v>534</v>
      </c>
      <c r="C539" s="11">
        <v>3.9553284645080566E-2</v>
      </c>
      <c r="D539" s="11">
        <v>2.2149980068206787E-2</v>
      </c>
      <c r="E539" s="11">
        <v>0.3019765297980942</v>
      </c>
      <c r="F539" s="11">
        <v>0.57386118308712597</v>
      </c>
      <c r="G539" s="11">
        <v>6.895291805267334E-2</v>
      </c>
      <c r="H539" s="40">
        <v>3.244415039655232E-4</v>
      </c>
      <c r="I539" s="40">
        <v>1.5355033674633063</v>
      </c>
      <c r="J539" s="59">
        <v>0</v>
      </c>
      <c r="K539" s="59">
        <v>5875.9958483278751</v>
      </c>
      <c r="L539" s="59">
        <v>0</v>
      </c>
      <c r="M539" s="11">
        <v>0.85594525933265686</v>
      </c>
      <c r="N539" s="11">
        <v>0.74991613626480103</v>
      </c>
      <c r="O539" s="11">
        <v>0.29677665233612061</v>
      </c>
      <c r="Q539" s="59">
        <v>14.460235154806844</v>
      </c>
      <c r="R539" s="78">
        <v>527.12515225538152</v>
      </c>
      <c r="S539" s="78">
        <v>14.50242521035479</v>
      </c>
      <c r="T539" s="78">
        <v>619.67458687271312</v>
      </c>
      <c r="U539" s="59">
        <v>14.485851477146788</v>
      </c>
      <c r="V539" s="78">
        <v>864.94275859856509</v>
      </c>
      <c r="X539" s="134">
        <f t="shared" si="54"/>
        <v>1445496.3903284289</v>
      </c>
      <c r="Y539" s="134">
        <f t="shared" si="55"/>
        <v>1449622.8464486061</v>
      </c>
      <c r="Z539" s="134">
        <f t="shared" si="56"/>
        <v>1447720.2049560803</v>
      </c>
      <c r="AB539" s="127">
        <f t="shared" si="57"/>
        <v>0</v>
      </c>
      <c r="AC539" s="127">
        <f t="shared" si="58"/>
        <v>1</v>
      </c>
      <c r="AD539" s="127">
        <f t="shared" si="59"/>
        <v>0</v>
      </c>
    </row>
    <row r="540" spans="1:30" x14ac:dyDescent="0.25">
      <c r="A540">
        <v>535</v>
      </c>
      <c r="C540" s="11">
        <v>1.7588391900062561E-2</v>
      </c>
      <c r="D540" s="11">
        <v>2.8493881225585938E-2</v>
      </c>
      <c r="E540" s="11">
        <v>0.20142430058373298</v>
      </c>
      <c r="F540" s="11">
        <v>0.35101011252717323</v>
      </c>
      <c r="G540" s="11">
        <v>5.1541388034820557E-2</v>
      </c>
      <c r="H540" s="40">
        <v>4.9990732085967863E-4</v>
      </c>
      <c r="I540" s="40">
        <v>1.2895099848721008</v>
      </c>
      <c r="J540" s="59">
        <v>0</v>
      </c>
      <c r="K540" s="59">
        <v>5183.173343539238</v>
      </c>
      <c r="L540" s="59">
        <v>0</v>
      </c>
      <c r="M540" s="11">
        <v>0.83780932426452637</v>
      </c>
      <c r="N540" s="11">
        <v>0.75625121593475342</v>
      </c>
      <c r="O540" s="11">
        <v>0.26035070419311523</v>
      </c>
      <c r="Q540" s="59">
        <v>14.497332019468328</v>
      </c>
      <c r="R540" s="78">
        <v>477.88585731002985</v>
      </c>
      <c r="S540" s="78">
        <v>14.530061100891063</v>
      </c>
      <c r="T540" s="78">
        <v>596.0477256673571</v>
      </c>
      <c r="U540" s="59">
        <v>14.5238783915461</v>
      </c>
      <c r="V540" s="78">
        <v>817.65841909073276</v>
      </c>
      <c r="X540" s="134">
        <f t="shared" si="54"/>
        <v>1449255.3160895226</v>
      </c>
      <c r="Y540" s="134">
        <f t="shared" si="55"/>
        <v>1452410.062363439</v>
      </c>
      <c r="Z540" s="134">
        <f t="shared" si="56"/>
        <v>1451570.1807355192</v>
      </c>
      <c r="AB540" s="127">
        <f t="shared" si="57"/>
        <v>0</v>
      </c>
      <c r="AC540" s="127">
        <f t="shared" si="58"/>
        <v>1</v>
      </c>
      <c r="AD540" s="127">
        <f t="shared" si="59"/>
        <v>0</v>
      </c>
    </row>
    <row r="541" spans="1:30" x14ac:dyDescent="0.25">
      <c r="A541">
        <v>536</v>
      </c>
      <c r="C541" s="11">
        <v>7.4275970458984375E-2</v>
      </c>
      <c r="D541" s="11">
        <v>2.2996574640274048E-2</v>
      </c>
      <c r="E541" s="11">
        <v>0.18542543357807631</v>
      </c>
      <c r="F541" s="11">
        <v>0.14955601888180545</v>
      </c>
      <c r="G541" s="11">
        <v>5.0038933753967285E-2</v>
      </c>
      <c r="H541" s="40">
        <v>4.2231092597888814E-4</v>
      </c>
      <c r="I541" s="40">
        <v>1.4208812785498441</v>
      </c>
      <c r="J541" s="59">
        <v>0</v>
      </c>
      <c r="K541" s="59">
        <v>2350.19251704216</v>
      </c>
      <c r="L541" s="59">
        <v>0</v>
      </c>
      <c r="M541" s="11">
        <v>0.84451597929000854</v>
      </c>
      <c r="N541" s="11">
        <v>0.75923359394073486</v>
      </c>
      <c r="O541" s="11">
        <v>0.3133280873298645</v>
      </c>
      <c r="Q541" s="59">
        <v>13.763113385159086</v>
      </c>
      <c r="R541" s="78">
        <v>438.03238082671538</v>
      </c>
      <c r="S541" s="78">
        <v>13.800520436304042</v>
      </c>
      <c r="T541" s="78">
        <v>587.26426172315132</v>
      </c>
      <c r="U541" s="59">
        <v>13.802192361955827</v>
      </c>
      <c r="V541" s="78">
        <v>794.66916782336398</v>
      </c>
      <c r="X541" s="134">
        <f t="shared" si="54"/>
        <v>1375873.3061350817</v>
      </c>
      <c r="Y541" s="134">
        <f t="shared" si="55"/>
        <v>1379464.7793686809</v>
      </c>
      <c r="Z541" s="134">
        <f t="shared" si="56"/>
        <v>1379424.5670277593</v>
      </c>
      <c r="AB541" s="127">
        <f t="shared" si="57"/>
        <v>0</v>
      </c>
      <c r="AC541" s="127">
        <f t="shared" si="58"/>
        <v>1</v>
      </c>
      <c r="AD541" s="127">
        <f t="shared" si="59"/>
        <v>0</v>
      </c>
    </row>
    <row r="542" spans="1:30" x14ac:dyDescent="0.25">
      <c r="A542">
        <v>537</v>
      </c>
      <c r="C542" s="11">
        <v>1.5993520617485046E-2</v>
      </c>
      <c r="D542" s="11">
        <v>2.3330658674240112E-2</v>
      </c>
      <c r="E542" s="11">
        <v>0.20432683198568083</v>
      </c>
      <c r="F542" s="11">
        <v>0.39702412232349438</v>
      </c>
      <c r="G542" s="11">
        <v>4.5421391725540161E-2</v>
      </c>
      <c r="H542" s="40">
        <v>4.0782906961167386E-4</v>
      </c>
      <c r="I542" s="40">
        <v>1.4538189404039703</v>
      </c>
      <c r="J542" s="59">
        <v>0</v>
      </c>
      <c r="K542" s="59">
        <v>7415.1623994112015</v>
      </c>
      <c r="L542" s="59">
        <v>0</v>
      </c>
      <c r="M542" s="11">
        <v>0.82840514183044434</v>
      </c>
      <c r="N542" s="11">
        <v>0.76583117246627808</v>
      </c>
      <c r="O542" s="11">
        <v>0.34588909149169922</v>
      </c>
      <c r="Q542" s="59">
        <v>14.355004152286565</v>
      </c>
      <c r="R542" s="78">
        <v>547.3934109020646</v>
      </c>
      <c r="S542" s="78">
        <v>14.389532932464835</v>
      </c>
      <c r="T542" s="78">
        <v>610.74841641066644</v>
      </c>
      <c r="U542" s="59">
        <v>14.381073505126299</v>
      </c>
      <c r="V542" s="78">
        <v>849.49701664978841</v>
      </c>
      <c r="X542" s="134">
        <f t="shared" si="54"/>
        <v>1434953.0218177545</v>
      </c>
      <c r="Y542" s="134">
        <f t="shared" si="55"/>
        <v>1438342.5448300727</v>
      </c>
      <c r="Z542" s="134">
        <f t="shared" si="56"/>
        <v>1437257.8534959801</v>
      </c>
      <c r="AB542" s="127">
        <f t="shared" si="57"/>
        <v>0</v>
      </c>
      <c r="AC542" s="127">
        <f t="shared" si="58"/>
        <v>1</v>
      </c>
      <c r="AD542" s="127">
        <f t="shared" si="59"/>
        <v>0</v>
      </c>
    </row>
    <row r="543" spans="1:30" x14ac:dyDescent="0.25">
      <c r="A543">
        <v>538</v>
      </c>
      <c r="C543" s="11">
        <v>6.9249421358108521E-3</v>
      </c>
      <c r="D543" s="11">
        <v>2.1326243877410889E-2</v>
      </c>
      <c r="E543" s="11">
        <v>0.46174071745312356</v>
      </c>
      <c r="F543" s="11">
        <v>0.40726619624921112</v>
      </c>
      <c r="G543" s="11">
        <v>3.8301706314086914E-2</v>
      </c>
      <c r="H543" s="40">
        <v>3.042030189678573E-4</v>
      </c>
      <c r="I543" s="40">
        <v>1.5261589796466957</v>
      </c>
      <c r="J543" s="59">
        <v>0</v>
      </c>
      <c r="K543" s="59">
        <v>5264.6431140601635</v>
      </c>
      <c r="L543" s="59">
        <v>0</v>
      </c>
      <c r="M543" s="11">
        <v>0.82907307147979736</v>
      </c>
      <c r="N543" s="11">
        <v>0.70273613929748535</v>
      </c>
      <c r="O543" s="11">
        <v>0.30759066343307495</v>
      </c>
      <c r="Q543" s="59">
        <v>14.486385557401185</v>
      </c>
      <c r="R543" s="78">
        <v>491.97482148095395</v>
      </c>
      <c r="S543" s="78">
        <v>14.516595157256262</v>
      </c>
      <c r="T543" s="78">
        <v>624.62139268710769</v>
      </c>
      <c r="U543" s="59">
        <v>14.519685499146327</v>
      </c>
      <c r="V543" s="78">
        <v>828.27358253106297</v>
      </c>
      <c r="X543" s="134">
        <f t="shared" si="54"/>
        <v>1448146.5809186376</v>
      </c>
      <c r="Y543" s="134">
        <f t="shared" si="55"/>
        <v>1451034.8943329391</v>
      </c>
      <c r="Z543" s="134">
        <f t="shared" si="56"/>
        <v>1451140.2763321016</v>
      </c>
      <c r="AB543" s="127">
        <f t="shared" si="57"/>
        <v>0</v>
      </c>
      <c r="AC543" s="127">
        <f t="shared" si="58"/>
        <v>0</v>
      </c>
      <c r="AD543" s="127">
        <f t="shared" si="59"/>
        <v>1</v>
      </c>
    </row>
    <row r="544" spans="1:30" x14ac:dyDescent="0.25">
      <c r="A544">
        <v>539</v>
      </c>
      <c r="C544" s="11">
        <v>6.0328483581542969E-2</v>
      </c>
      <c r="D544" s="11">
        <v>3.0694574117660522E-2</v>
      </c>
      <c r="E544" s="11">
        <v>0.15799978987036412</v>
      </c>
      <c r="F544" s="11">
        <v>0.25077497101592194</v>
      </c>
      <c r="G544" s="11">
        <v>4.6521842479705811E-2</v>
      </c>
      <c r="H544" s="40">
        <v>5.3001350575572709E-4</v>
      </c>
      <c r="I544" s="40">
        <v>1.552434114540773</v>
      </c>
      <c r="J544" s="59">
        <v>0</v>
      </c>
      <c r="K544" s="59">
        <v>5769.4967836141586</v>
      </c>
      <c r="L544" s="59">
        <v>0</v>
      </c>
      <c r="M544" s="11">
        <v>0.84361481666564941</v>
      </c>
      <c r="N544" s="11">
        <v>0.73732674121856689</v>
      </c>
      <c r="O544" s="11">
        <v>0.3230322003364563</v>
      </c>
      <c r="Q544" s="59">
        <v>13.905387723900597</v>
      </c>
      <c r="R544" s="78">
        <v>589.78241816876186</v>
      </c>
      <c r="S544" s="78">
        <v>13.98652505802117</v>
      </c>
      <c r="T544" s="78">
        <v>610.71187906727482</v>
      </c>
      <c r="U544" s="59">
        <v>13.977351398978687</v>
      </c>
      <c r="V544" s="78">
        <v>838.1936156837487</v>
      </c>
      <c r="X544" s="134">
        <f t="shared" si="54"/>
        <v>1389948.9899718908</v>
      </c>
      <c r="Y544" s="134">
        <f t="shared" si="55"/>
        <v>1398041.7939230497</v>
      </c>
      <c r="Z544" s="134">
        <f t="shared" si="56"/>
        <v>1396896.9462821849</v>
      </c>
      <c r="AB544" s="127">
        <f t="shared" si="57"/>
        <v>0</v>
      </c>
      <c r="AC544" s="127">
        <f t="shared" si="58"/>
        <v>1</v>
      </c>
      <c r="AD544" s="127">
        <f t="shared" si="59"/>
        <v>0</v>
      </c>
    </row>
    <row r="545" spans="1:30" x14ac:dyDescent="0.25">
      <c r="A545">
        <v>540</v>
      </c>
      <c r="C545" s="11">
        <v>2.1081268787384033E-3</v>
      </c>
      <c r="D545" s="11">
        <v>2.5419145822525024E-2</v>
      </c>
      <c r="E545" s="11">
        <v>0.19919177198786228</v>
      </c>
      <c r="F545" s="11">
        <v>0.2305420753214901</v>
      </c>
      <c r="G545" s="11">
        <v>4.3520241975784302E-2</v>
      </c>
      <c r="H545" s="40">
        <v>3.7748118158815894E-4</v>
      </c>
      <c r="I545" s="40">
        <v>1.4855032979219756</v>
      </c>
      <c r="J545" s="59">
        <v>0</v>
      </c>
      <c r="K545" s="59">
        <v>3797.5260056555271</v>
      </c>
      <c r="L545" s="59">
        <v>0</v>
      </c>
      <c r="M545" s="11">
        <v>0.87309139966964722</v>
      </c>
      <c r="N545" s="11">
        <v>0.71118044853210449</v>
      </c>
      <c r="O545" s="11">
        <v>0.31012314558029175</v>
      </c>
      <c r="Q545" s="59">
        <v>15.313595124779871</v>
      </c>
      <c r="R545" s="78">
        <v>474.07374702878047</v>
      </c>
      <c r="S545" s="78">
        <v>15.374071436422565</v>
      </c>
      <c r="T545" s="78">
        <v>595.16555422883539</v>
      </c>
      <c r="U545" s="59">
        <v>15.371668632799155</v>
      </c>
      <c r="V545" s="78">
        <v>806.69992676416211</v>
      </c>
      <c r="X545" s="134">
        <f t="shared" si="54"/>
        <v>1530885.4387309584</v>
      </c>
      <c r="Y545" s="134">
        <f t="shared" si="55"/>
        <v>1536811.9780880276</v>
      </c>
      <c r="Z545" s="134">
        <f t="shared" si="56"/>
        <v>1536360.1633531512</v>
      </c>
      <c r="AB545" s="127">
        <f t="shared" si="57"/>
        <v>0</v>
      </c>
      <c r="AC545" s="127">
        <f t="shared" si="58"/>
        <v>1</v>
      </c>
      <c r="AD545" s="127">
        <f t="shared" si="59"/>
        <v>0</v>
      </c>
    </row>
    <row r="546" spans="1:30" x14ac:dyDescent="0.25">
      <c r="A546">
        <v>541</v>
      </c>
      <c r="C546" s="11">
        <v>1.4013409614562988E-2</v>
      </c>
      <c r="D546" s="11">
        <v>2.9909223318099976E-2</v>
      </c>
      <c r="E546" s="11">
        <v>0.30833133362340298</v>
      </c>
      <c r="F546" s="11">
        <v>0.36751493809133157</v>
      </c>
      <c r="G546" s="11">
        <v>1.3285577297210693E-2</v>
      </c>
      <c r="H546" s="40">
        <v>3.742536132212256E-4</v>
      </c>
      <c r="I546" s="40">
        <v>1.4599120856918464</v>
      </c>
      <c r="J546" s="59">
        <v>0</v>
      </c>
      <c r="K546" s="59">
        <v>3225.1887023448944</v>
      </c>
      <c r="L546" s="59">
        <v>0</v>
      </c>
      <c r="M546" s="11">
        <v>0.83896195888519287</v>
      </c>
      <c r="N546" s="11">
        <v>0.77511024475097656</v>
      </c>
      <c r="O546" s="11">
        <v>0.24924731254577637</v>
      </c>
      <c r="Q546" s="59">
        <v>14.569564027581706</v>
      </c>
      <c r="R546" s="78">
        <v>446.393194400455</v>
      </c>
      <c r="S546" s="78">
        <v>14.598337662094393</v>
      </c>
      <c r="T546" s="78">
        <v>595.33109906617665</v>
      </c>
      <c r="U546" s="59">
        <v>14.595846667150839</v>
      </c>
      <c r="V546" s="78">
        <v>807.44764120019852</v>
      </c>
      <c r="X546" s="134">
        <f t="shared" si="54"/>
        <v>1456510.0095637701</v>
      </c>
      <c r="Y546" s="134">
        <f t="shared" si="55"/>
        <v>1459238.435110373</v>
      </c>
      <c r="Z546" s="134">
        <f t="shared" si="56"/>
        <v>1458777.2190738837</v>
      </c>
      <c r="AB546" s="127">
        <f t="shared" si="57"/>
        <v>0</v>
      </c>
      <c r="AC546" s="127">
        <f t="shared" si="58"/>
        <v>1</v>
      </c>
      <c r="AD546" s="127">
        <f t="shared" si="59"/>
        <v>0</v>
      </c>
    </row>
    <row r="547" spans="1:30" x14ac:dyDescent="0.25">
      <c r="A547">
        <v>542</v>
      </c>
      <c r="C547" s="11">
        <v>2.2208243608474731E-2</v>
      </c>
      <c r="D547" s="11">
        <v>2.4346709251403809E-3</v>
      </c>
      <c r="E547" s="11">
        <v>0.2239073129645146</v>
      </c>
      <c r="F547" s="11">
        <v>0.21740325475747282</v>
      </c>
      <c r="G547" s="11">
        <v>5.6691288948059082E-2</v>
      </c>
      <c r="H547" s="40">
        <v>4.5502271497146779E-4</v>
      </c>
      <c r="I547" s="40">
        <v>1.4180185758355626</v>
      </c>
      <c r="J547" s="59">
        <v>0</v>
      </c>
      <c r="K547" s="59">
        <v>7226.6533970832825</v>
      </c>
      <c r="L547" s="59">
        <v>0</v>
      </c>
      <c r="M547" s="11">
        <v>0.82938855886459351</v>
      </c>
      <c r="N547" s="11">
        <v>0.76192712783813477</v>
      </c>
      <c r="O547" s="11">
        <v>0.34178376197814941</v>
      </c>
      <c r="Q547" s="59">
        <v>14.2845412628504</v>
      </c>
      <c r="R547" s="78">
        <v>552.65953501420404</v>
      </c>
      <c r="S547" s="78">
        <v>14.315511966252698</v>
      </c>
      <c r="T547" s="78">
        <v>614.96178714799828</v>
      </c>
      <c r="U547" s="59">
        <v>14.315775414888106</v>
      </c>
      <c r="V547" s="78">
        <v>822.92076419633599</v>
      </c>
      <c r="X547" s="134">
        <f t="shared" si="54"/>
        <v>1427901.4667500257</v>
      </c>
      <c r="Y547" s="134">
        <f t="shared" si="55"/>
        <v>1430936.2348381218</v>
      </c>
      <c r="Z547" s="134">
        <f t="shared" si="56"/>
        <v>1430754.6207246142</v>
      </c>
      <c r="AB547" s="127">
        <f t="shared" si="57"/>
        <v>0</v>
      </c>
      <c r="AC547" s="127">
        <f t="shared" si="58"/>
        <v>1</v>
      </c>
      <c r="AD547" s="127">
        <f t="shared" si="59"/>
        <v>0</v>
      </c>
    </row>
    <row r="548" spans="1:30" x14ac:dyDescent="0.25">
      <c r="A548">
        <v>543</v>
      </c>
      <c r="C548" s="11">
        <v>2.163676917552948E-2</v>
      </c>
      <c r="D548" s="11">
        <v>2.6974886655807495E-2</v>
      </c>
      <c r="E548" s="11">
        <v>0.32361220418426939</v>
      </c>
      <c r="F548" s="11">
        <v>0.29414697696808662</v>
      </c>
      <c r="G548" s="11">
        <v>3.3704474568367004E-2</v>
      </c>
      <c r="H548" s="40">
        <v>4.9860861316307478E-4</v>
      </c>
      <c r="I548" s="40">
        <v>1.4071368471719006</v>
      </c>
      <c r="J548" s="59">
        <v>0</v>
      </c>
      <c r="K548" s="59">
        <v>6923.3076646924019</v>
      </c>
      <c r="L548" s="59">
        <v>0</v>
      </c>
      <c r="M548" s="11">
        <v>0.85490834712982178</v>
      </c>
      <c r="N548" s="11">
        <v>0.71482539176940918</v>
      </c>
      <c r="O548" s="11">
        <v>0.29454308748245239</v>
      </c>
      <c r="Q548" s="59">
        <v>14.703831315321571</v>
      </c>
      <c r="R548" s="78">
        <v>536.83528056373484</v>
      </c>
      <c r="S548" s="78">
        <v>14.750999966569559</v>
      </c>
      <c r="T548" s="78">
        <v>625.75695928568825</v>
      </c>
      <c r="U548" s="59">
        <v>14.753082983140002</v>
      </c>
      <c r="V548" s="78">
        <v>830.52105658366031</v>
      </c>
      <c r="X548" s="134">
        <f t="shared" si="54"/>
        <v>1469846.2962515934</v>
      </c>
      <c r="Y548" s="134">
        <f t="shared" si="55"/>
        <v>1474474.2396976703</v>
      </c>
      <c r="Z548" s="134">
        <f t="shared" si="56"/>
        <v>1474477.7772574166</v>
      </c>
      <c r="AB548" s="127">
        <f t="shared" si="57"/>
        <v>0</v>
      </c>
      <c r="AC548" s="127">
        <f t="shared" si="58"/>
        <v>0</v>
      </c>
      <c r="AD548" s="127">
        <f t="shared" si="59"/>
        <v>1</v>
      </c>
    </row>
    <row r="549" spans="1:30" x14ac:dyDescent="0.25">
      <c r="A549">
        <v>544</v>
      </c>
      <c r="C549" s="11">
        <v>2.093835175037384E-2</v>
      </c>
      <c r="D549" s="11">
        <v>2.898019552230835E-2</v>
      </c>
      <c r="E549" s="11">
        <v>0.33482269008873189</v>
      </c>
      <c r="F549" s="11">
        <v>0.18086761844182694</v>
      </c>
      <c r="G549" s="11">
        <v>3.547397255897522E-2</v>
      </c>
      <c r="H549" s="40">
        <v>4.0406355810647626E-4</v>
      </c>
      <c r="I549" s="40">
        <v>1.4861328898395718</v>
      </c>
      <c r="J549" s="59">
        <v>0</v>
      </c>
      <c r="K549" s="59">
        <v>3779.9938581883907</v>
      </c>
      <c r="L549" s="59">
        <v>0</v>
      </c>
      <c r="M549" s="11">
        <v>0.80225002765655518</v>
      </c>
      <c r="N549" s="11">
        <v>0.73655694723129272</v>
      </c>
      <c r="O549" s="11">
        <v>0.24706673622131348</v>
      </c>
      <c r="Q549" s="59">
        <v>13.822789564806319</v>
      </c>
      <c r="R549" s="78">
        <v>474.36601184112021</v>
      </c>
      <c r="S549" s="78">
        <v>13.85653853899494</v>
      </c>
      <c r="T549" s="78">
        <v>606.23422500132324</v>
      </c>
      <c r="U549" s="59">
        <v>13.864488707263931</v>
      </c>
      <c r="V549" s="78">
        <v>802.75294729247855</v>
      </c>
      <c r="X549" s="134">
        <f t="shared" si="54"/>
        <v>1381804.5904687906</v>
      </c>
      <c r="Y549" s="134">
        <f t="shared" si="55"/>
        <v>1385047.6196744926</v>
      </c>
      <c r="Z549" s="134">
        <f t="shared" si="56"/>
        <v>1385646.1177791005</v>
      </c>
      <c r="AB549" s="127">
        <f t="shared" si="57"/>
        <v>0</v>
      </c>
      <c r="AC549" s="127">
        <f t="shared" si="58"/>
        <v>0</v>
      </c>
      <c r="AD549" s="127">
        <f t="shared" si="59"/>
        <v>1</v>
      </c>
    </row>
    <row r="550" spans="1:30" x14ac:dyDescent="0.25">
      <c r="A550">
        <v>545</v>
      </c>
      <c r="C550" s="11">
        <v>2.3618116974830627E-2</v>
      </c>
      <c r="D550" s="11">
        <v>5.0199627876281738E-3</v>
      </c>
      <c r="E550" s="11">
        <v>9.9092907296573648E-2</v>
      </c>
      <c r="F550" s="11">
        <v>0.11884726457429282</v>
      </c>
      <c r="G550" s="11">
        <v>2.9576987028121948E-2</v>
      </c>
      <c r="H550" s="40">
        <v>4.6259366157977915E-4</v>
      </c>
      <c r="I550" s="40">
        <v>1.4910594690297136</v>
      </c>
      <c r="J550" s="59">
        <v>0</v>
      </c>
      <c r="K550" s="59">
        <v>6905.5799394845963</v>
      </c>
      <c r="L550" s="59">
        <v>0</v>
      </c>
      <c r="M550" s="11">
        <v>0.8276907205581665</v>
      </c>
      <c r="N550" s="11">
        <v>0.74477666616439819</v>
      </c>
      <c r="O550" s="11">
        <v>0.31078371405601501</v>
      </c>
      <c r="Q550" s="59">
        <v>14.220406023874586</v>
      </c>
      <c r="R550" s="78">
        <v>559.1867939029587</v>
      </c>
      <c r="S550" s="78">
        <v>14.269181699107543</v>
      </c>
      <c r="T550" s="78">
        <v>595.684499774458</v>
      </c>
      <c r="U550" s="59">
        <v>14.268088278973194</v>
      </c>
      <c r="V550" s="78">
        <v>808.00213841367031</v>
      </c>
      <c r="X550" s="134">
        <f t="shared" si="54"/>
        <v>1421481.4155935557</v>
      </c>
      <c r="Y550" s="134">
        <f t="shared" si="55"/>
        <v>1426322.4854109799</v>
      </c>
      <c r="Z550" s="134">
        <f t="shared" si="56"/>
        <v>1426000.8257589056</v>
      </c>
      <c r="AB550" s="127">
        <f t="shared" si="57"/>
        <v>0</v>
      </c>
      <c r="AC550" s="127">
        <f t="shared" si="58"/>
        <v>1</v>
      </c>
      <c r="AD550" s="127">
        <f t="shared" si="59"/>
        <v>0</v>
      </c>
    </row>
    <row r="551" spans="1:30" x14ac:dyDescent="0.25">
      <c r="A551">
        <v>546</v>
      </c>
      <c r="C551" s="11">
        <v>1.7486020922660828E-2</v>
      </c>
      <c r="D551" s="11">
        <v>9.7247064113616943E-3</v>
      </c>
      <c r="E551" s="11">
        <v>0.22073186449349808</v>
      </c>
      <c r="F551" s="11">
        <v>0.20149519647419292</v>
      </c>
      <c r="G551" s="11">
        <v>1.5504509210586548E-2</v>
      </c>
      <c r="H551" s="40">
        <v>6.765925533013758E-4</v>
      </c>
      <c r="I551" s="40">
        <v>1.3582197373681291</v>
      </c>
      <c r="J551" s="59">
        <v>0</v>
      </c>
      <c r="K551" s="59">
        <v>6257.2956085205078</v>
      </c>
      <c r="L551" s="59">
        <v>0</v>
      </c>
      <c r="M551" s="11">
        <v>0.84108960628509521</v>
      </c>
      <c r="N551" s="11">
        <v>0.81870889663696289</v>
      </c>
      <c r="O551" s="11">
        <v>0.30230328440666199</v>
      </c>
      <c r="Q551" s="59">
        <v>14.563865469963126</v>
      </c>
      <c r="R551" s="78">
        <v>531.23743518141259</v>
      </c>
      <c r="S551" s="78">
        <v>14.589442030418738</v>
      </c>
      <c r="T551" s="78">
        <v>609.76394149571297</v>
      </c>
      <c r="U551" s="59">
        <v>14.590085965316572</v>
      </c>
      <c r="V551" s="78">
        <v>816.09365174853554</v>
      </c>
      <c r="X551" s="134">
        <f t="shared" si="54"/>
        <v>1455855.3095611313</v>
      </c>
      <c r="Y551" s="134">
        <f t="shared" si="55"/>
        <v>1458334.4391003782</v>
      </c>
      <c r="Z551" s="134">
        <f t="shared" si="56"/>
        <v>1458192.5028799088</v>
      </c>
      <c r="AB551" s="127">
        <f t="shared" si="57"/>
        <v>0</v>
      </c>
      <c r="AC551" s="127">
        <f t="shared" si="58"/>
        <v>1</v>
      </c>
      <c r="AD551" s="127">
        <f t="shared" si="59"/>
        <v>0</v>
      </c>
    </row>
    <row r="552" spans="1:30" x14ac:dyDescent="0.25">
      <c r="A552">
        <v>547</v>
      </c>
      <c r="C552" s="11">
        <v>6.2207579612731934E-3</v>
      </c>
      <c r="D552" s="11">
        <v>3.4196615219116211E-2</v>
      </c>
      <c r="E552" s="11">
        <v>0.16422495639077334</v>
      </c>
      <c r="F552" s="11">
        <v>0.11287586943665871</v>
      </c>
      <c r="G552" s="11">
        <v>1.8272310495376587E-2</v>
      </c>
      <c r="H552" s="40">
        <v>6.429729841015572E-4</v>
      </c>
      <c r="I552" s="40">
        <v>1.354121431078031</v>
      </c>
      <c r="J552" s="59">
        <v>0</v>
      </c>
      <c r="K552" s="59">
        <v>2210.3637456893921</v>
      </c>
      <c r="L552" s="59">
        <v>0</v>
      </c>
      <c r="M552" s="11">
        <v>0.84358331561088562</v>
      </c>
      <c r="N552" s="11">
        <v>0.78172284364700317</v>
      </c>
      <c r="O552" s="11">
        <v>0.27694153785705566</v>
      </c>
      <c r="Q552" s="59">
        <v>14.754866701917734</v>
      </c>
      <c r="R552" s="78">
        <v>440.74495340146632</v>
      </c>
      <c r="S552" s="78">
        <v>14.799120605093924</v>
      </c>
      <c r="T552" s="78">
        <v>586.79645126873424</v>
      </c>
      <c r="U552" s="59">
        <v>14.801892025555365</v>
      </c>
      <c r="V552" s="78">
        <v>793.36382633094445</v>
      </c>
      <c r="X552" s="134">
        <f t="shared" si="54"/>
        <v>1475045.9252383721</v>
      </c>
      <c r="Y552" s="134">
        <f t="shared" si="55"/>
        <v>1479325.2640581236</v>
      </c>
      <c r="Z552" s="134">
        <f t="shared" si="56"/>
        <v>1479395.8387292055</v>
      </c>
      <c r="AB552" s="127">
        <f t="shared" si="57"/>
        <v>0</v>
      </c>
      <c r="AC552" s="127">
        <f t="shared" si="58"/>
        <v>0</v>
      </c>
      <c r="AD552" s="127">
        <f t="shared" si="59"/>
        <v>1</v>
      </c>
    </row>
    <row r="553" spans="1:30" x14ac:dyDescent="0.25">
      <c r="A553">
        <v>548</v>
      </c>
      <c r="C553" s="11">
        <v>5.5267810821533203E-3</v>
      </c>
      <c r="D553" s="11">
        <v>1.7691060900688171E-2</v>
      </c>
      <c r="E553" s="11">
        <v>0.15856051195420581</v>
      </c>
      <c r="F553" s="11">
        <v>0.30697283817219279</v>
      </c>
      <c r="G553" s="11">
        <v>2.3892402648925781E-2</v>
      </c>
      <c r="H553" s="40">
        <v>3.8320804631137759E-4</v>
      </c>
      <c r="I553" s="40">
        <v>1.4492849498300819</v>
      </c>
      <c r="J553" s="59">
        <v>0</v>
      </c>
      <c r="K553" s="59">
        <v>6348.4138809144497</v>
      </c>
      <c r="L553" s="59">
        <v>0</v>
      </c>
      <c r="M553" s="11">
        <v>0.82561200857162476</v>
      </c>
      <c r="N553" s="11">
        <v>0.73492276668548584</v>
      </c>
      <c r="O553" s="11">
        <v>0.34946632385253906</v>
      </c>
      <c r="Q553" s="59">
        <v>14.459129230032378</v>
      </c>
      <c r="R553" s="78">
        <v>504.12589007021211</v>
      </c>
      <c r="S553" s="78">
        <v>14.49565743082683</v>
      </c>
      <c r="T553" s="78">
        <v>596.68806866034708</v>
      </c>
      <c r="U553" s="59">
        <v>14.489135404395</v>
      </c>
      <c r="V553" s="78">
        <v>822.1659790696599</v>
      </c>
      <c r="X553" s="134">
        <f t="shared" si="54"/>
        <v>1445408.7971131676</v>
      </c>
      <c r="Y553" s="134">
        <f t="shared" si="55"/>
        <v>1448969.0550140226</v>
      </c>
      <c r="Z553" s="134">
        <f t="shared" si="56"/>
        <v>1448091.3744604304</v>
      </c>
      <c r="AB553" s="127">
        <f t="shared" si="57"/>
        <v>0</v>
      </c>
      <c r="AC553" s="127">
        <f t="shared" si="58"/>
        <v>1</v>
      </c>
      <c r="AD553" s="127">
        <f t="shared" si="59"/>
        <v>0</v>
      </c>
    </row>
    <row r="554" spans="1:30" x14ac:dyDescent="0.25">
      <c r="A554">
        <v>549</v>
      </c>
      <c r="C554" s="11">
        <v>2.3006170988082886E-2</v>
      </c>
      <c r="D554" s="11">
        <v>1.8203094601631165E-2</v>
      </c>
      <c r="E554" s="11">
        <v>0.28150964769847603</v>
      </c>
      <c r="F554" s="11">
        <v>0.23298089096991259</v>
      </c>
      <c r="G554" s="11">
        <v>3.040766716003418E-2</v>
      </c>
      <c r="H554" s="40">
        <v>4.9103798074611577E-4</v>
      </c>
      <c r="I554" s="40">
        <v>1.4966332729969256</v>
      </c>
      <c r="J554" s="59">
        <v>0</v>
      </c>
      <c r="K554" s="59">
        <v>7725.8795499801636</v>
      </c>
      <c r="L554" s="59">
        <v>0</v>
      </c>
      <c r="M554" s="11">
        <v>0.87074196338653564</v>
      </c>
      <c r="N554" s="11">
        <v>0.76401561498641968</v>
      </c>
      <c r="O554" s="11">
        <v>0.29811346530914307</v>
      </c>
      <c r="Q554" s="59">
        <v>14.951528943511001</v>
      </c>
      <c r="R554" s="78">
        <v>593.56130054272762</v>
      </c>
      <c r="S554" s="78">
        <v>15.00503972856273</v>
      </c>
      <c r="T554" s="78">
        <v>636.1095860666278</v>
      </c>
      <c r="U554" s="59">
        <v>15.008728690906086</v>
      </c>
      <c r="V554" s="78">
        <v>835.31751943628706</v>
      </c>
      <c r="X554" s="134">
        <f t="shared" si="54"/>
        <v>1494559.3330505574</v>
      </c>
      <c r="Y554" s="134">
        <f t="shared" si="55"/>
        <v>1499867.8632702064</v>
      </c>
      <c r="Z554" s="134">
        <f t="shared" si="56"/>
        <v>1500037.5515711722</v>
      </c>
      <c r="AB554" s="127">
        <f t="shared" si="57"/>
        <v>0</v>
      </c>
      <c r="AC554" s="127">
        <f t="shared" si="58"/>
        <v>0</v>
      </c>
      <c r="AD554" s="127">
        <f t="shared" si="59"/>
        <v>1</v>
      </c>
    </row>
    <row r="555" spans="1:30" x14ac:dyDescent="0.25">
      <c r="A555">
        <v>550</v>
      </c>
      <c r="C555" s="11">
        <v>1.8232762813568115E-2</v>
      </c>
      <c r="D555" s="11">
        <v>1.870235800743103E-2</v>
      </c>
      <c r="E555" s="11">
        <v>0.23707322552374199</v>
      </c>
      <c r="F555" s="11">
        <v>0.21083126149317749</v>
      </c>
      <c r="G555" s="11">
        <v>3.6799401044845581E-2</v>
      </c>
      <c r="H555" s="40">
        <v>3.5733383964441583E-4</v>
      </c>
      <c r="I555" s="40">
        <v>1.4945609457157736</v>
      </c>
      <c r="J555" s="59">
        <v>0</v>
      </c>
      <c r="K555" s="59">
        <v>2482.198178768158</v>
      </c>
      <c r="L555" s="59">
        <v>0</v>
      </c>
      <c r="M555" s="11">
        <v>0.88570600748062134</v>
      </c>
      <c r="N555" s="11">
        <v>0.73919409513473511</v>
      </c>
      <c r="O555" s="11">
        <v>0.3172905445098877</v>
      </c>
      <c r="Q555" s="59">
        <v>15.293188532724141</v>
      </c>
      <c r="R555" s="78">
        <v>442.50308892892872</v>
      </c>
      <c r="S555" s="78">
        <v>15.343542917241235</v>
      </c>
      <c r="T555" s="78">
        <v>590.64427773556122</v>
      </c>
      <c r="U555" s="59">
        <v>15.345301047825407</v>
      </c>
      <c r="V555" s="78">
        <v>798.35986173281071</v>
      </c>
      <c r="X555" s="134">
        <f t="shared" si="54"/>
        <v>1528876.3501834851</v>
      </c>
      <c r="Y555" s="134">
        <f t="shared" si="55"/>
        <v>1533763.6474463879</v>
      </c>
      <c r="Z555" s="134">
        <f t="shared" si="56"/>
        <v>1533731.7449208077</v>
      </c>
      <c r="AB555" s="127">
        <f t="shared" si="57"/>
        <v>0</v>
      </c>
      <c r="AC555" s="127">
        <f t="shared" si="58"/>
        <v>1</v>
      </c>
      <c r="AD555" s="127">
        <f t="shared" si="59"/>
        <v>0</v>
      </c>
    </row>
    <row r="556" spans="1:30" x14ac:dyDescent="0.25">
      <c r="A556">
        <v>551</v>
      </c>
      <c r="C556" s="11">
        <v>1.2419745326042175E-2</v>
      </c>
      <c r="D556" s="11">
        <v>3.6000669002532959E-2</v>
      </c>
      <c r="E556" s="11">
        <v>0.26940367084885353</v>
      </c>
      <c r="F556" s="11">
        <v>5.8711171278188951E-2</v>
      </c>
      <c r="G556" s="11">
        <v>5.1564514636993408E-2</v>
      </c>
      <c r="H556" s="40">
        <v>5.7058476589819205E-4</v>
      </c>
      <c r="I556" s="40">
        <v>1.5597024151832393</v>
      </c>
      <c r="J556" s="59">
        <v>0</v>
      </c>
      <c r="K556" s="59">
        <v>4162.4740697443485</v>
      </c>
      <c r="L556" s="59">
        <v>0</v>
      </c>
      <c r="M556" s="11">
        <v>0.82779818773269653</v>
      </c>
      <c r="N556" s="11">
        <v>0.76712632179260254</v>
      </c>
      <c r="O556" s="11">
        <v>0.33579403162002563</v>
      </c>
      <c r="Q556" s="59">
        <v>14.349082330355291</v>
      </c>
      <c r="R556" s="78">
        <v>560.32673777669038</v>
      </c>
      <c r="S556" s="78">
        <v>14.415009031371614</v>
      </c>
      <c r="T556" s="78">
        <v>624.88076056117836</v>
      </c>
      <c r="U556" s="59">
        <v>14.434725367092561</v>
      </c>
      <c r="V556" s="78">
        <v>798.0681601665043</v>
      </c>
      <c r="X556" s="134">
        <f t="shared" si="54"/>
        <v>1434347.9062977524</v>
      </c>
      <c r="Y556" s="134">
        <f t="shared" si="55"/>
        <v>1440876.0223766002</v>
      </c>
      <c r="Z556" s="134">
        <f t="shared" si="56"/>
        <v>1442674.4685490895</v>
      </c>
      <c r="AB556" s="127">
        <f t="shared" si="57"/>
        <v>0</v>
      </c>
      <c r="AC556" s="127">
        <f t="shared" si="58"/>
        <v>0</v>
      </c>
      <c r="AD556" s="127">
        <f t="shared" si="59"/>
        <v>1</v>
      </c>
    </row>
    <row r="557" spans="1:30" x14ac:dyDescent="0.25">
      <c r="A557">
        <v>552</v>
      </c>
      <c r="C557" s="11">
        <v>1.7538756132125854E-2</v>
      </c>
      <c r="D557" s="11">
        <v>1.1728242039680481E-2</v>
      </c>
      <c r="E557" s="11">
        <v>0.17289059893276432</v>
      </c>
      <c r="F557" s="11">
        <v>6.7555467852406653E-2</v>
      </c>
      <c r="G557" s="11">
        <v>3.229483962059021E-2</v>
      </c>
      <c r="H557" s="40">
        <v>3.4038272082261662E-4</v>
      </c>
      <c r="I557" s="40">
        <v>1.4333356267226085</v>
      </c>
      <c r="J557" s="59">
        <v>0</v>
      </c>
      <c r="K557" s="59">
        <v>5594.310350716114</v>
      </c>
      <c r="L557" s="59">
        <v>0</v>
      </c>
      <c r="M557" s="11">
        <v>0.85165923833847046</v>
      </c>
      <c r="N557" s="11">
        <v>0.70656991004943848</v>
      </c>
      <c r="O557" s="11">
        <v>0.27927860617637634</v>
      </c>
      <c r="Q557" s="59">
        <v>14.728956743180314</v>
      </c>
      <c r="R557" s="78">
        <v>479.46209771633926</v>
      </c>
      <c r="S557" s="78">
        <v>14.770661657064899</v>
      </c>
      <c r="T557" s="78">
        <v>593.93224808281207</v>
      </c>
      <c r="U557" s="59">
        <v>14.77604581337752</v>
      </c>
      <c r="V557" s="78">
        <v>793.84252506130281</v>
      </c>
      <c r="X557" s="134">
        <f t="shared" si="54"/>
        <v>1472416.2122203151</v>
      </c>
      <c r="Y557" s="134">
        <f t="shared" si="55"/>
        <v>1476472.2334584072</v>
      </c>
      <c r="Z557" s="134">
        <f t="shared" si="56"/>
        <v>1476810.7388126908</v>
      </c>
      <c r="AB557" s="127">
        <f t="shared" si="57"/>
        <v>0</v>
      </c>
      <c r="AC557" s="127">
        <f t="shared" si="58"/>
        <v>0</v>
      </c>
      <c r="AD557" s="127">
        <f t="shared" si="59"/>
        <v>1</v>
      </c>
    </row>
    <row r="558" spans="1:30" x14ac:dyDescent="0.25">
      <c r="A558">
        <v>553</v>
      </c>
      <c r="C558" s="11">
        <v>2.6075899600982666E-2</v>
      </c>
      <c r="D558" s="11">
        <v>4.5452713966369629E-2</v>
      </c>
      <c r="E558" s="11">
        <v>0.23750737814736037</v>
      </c>
      <c r="F558" s="11">
        <v>0.33725486058054699</v>
      </c>
      <c r="G558" s="11">
        <v>1.7521202564239502E-2</v>
      </c>
      <c r="H558" s="40">
        <v>2.6981722078911306E-4</v>
      </c>
      <c r="I558" s="40">
        <v>1.4845278974586933</v>
      </c>
      <c r="J558" s="59">
        <v>0</v>
      </c>
      <c r="K558" s="59">
        <v>7954.9197107553482</v>
      </c>
      <c r="L558" s="59">
        <v>0</v>
      </c>
      <c r="M558" s="11">
        <v>0.86361753940582275</v>
      </c>
      <c r="N558" s="11">
        <v>0.73636972904205322</v>
      </c>
      <c r="O558" s="11">
        <v>0.29156023263931274</v>
      </c>
      <c r="Q558" s="59">
        <v>14.809397363366022</v>
      </c>
      <c r="R558" s="78">
        <v>495.67673617830525</v>
      </c>
      <c r="S558" s="78">
        <v>14.845420506382206</v>
      </c>
      <c r="T558" s="78">
        <v>603.37694472833675</v>
      </c>
      <c r="U558" s="59">
        <v>14.840664370178853</v>
      </c>
      <c r="V558" s="78">
        <v>822.57201585969813</v>
      </c>
      <c r="X558" s="134">
        <f t="shared" si="54"/>
        <v>1480444.0596004238</v>
      </c>
      <c r="Y558" s="134">
        <f t="shared" si="55"/>
        <v>1483938.6736934923</v>
      </c>
      <c r="Z558" s="134">
        <f t="shared" si="56"/>
        <v>1483243.8650020256</v>
      </c>
      <c r="AB558" s="127">
        <f t="shared" si="57"/>
        <v>0</v>
      </c>
      <c r="AC558" s="127">
        <f t="shared" si="58"/>
        <v>1</v>
      </c>
      <c r="AD558" s="127">
        <f t="shared" si="59"/>
        <v>0</v>
      </c>
    </row>
    <row r="559" spans="1:30" x14ac:dyDescent="0.25">
      <c r="A559">
        <v>554</v>
      </c>
      <c r="C559" s="11">
        <v>1.0094776749610901E-2</v>
      </c>
      <c r="D559" s="11">
        <v>5.66902756690979E-3</v>
      </c>
      <c r="E559" s="11">
        <v>0.15001889161120019</v>
      </c>
      <c r="F559" s="11">
        <v>0.19240309684098816</v>
      </c>
      <c r="G559" s="11">
        <v>5.4287195205688477E-2</v>
      </c>
      <c r="H559" s="40">
        <v>5.2931575544161501E-4</v>
      </c>
      <c r="I559" s="40">
        <v>1.5923732131993034</v>
      </c>
      <c r="J559" s="59">
        <v>0</v>
      </c>
      <c r="K559" s="59">
        <v>3129.4161453843117</v>
      </c>
      <c r="L559" s="59">
        <v>0</v>
      </c>
      <c r="M559" s="11">
        <v>0.79296731948852539</v>
      </c>
      <c r="N559" s="11">
        <v>0.70006716251373291</v>
      </c>
      <c r="O559" s="11">
        <v>0.31154608726501465</v>
      </c>
      <c r="Q559" s="59">
        <v>13.772891170815454</v>
      </c>
      <c r="R559" s="78">
        <v>524.79928992655141</v>
      </c>
      <c r="S559" s="78">
        <v>13.850909228739757</v>
      </c>
      <c r="T559" s="78">
        <v>599.19016315774365</v>
      </c>
      <c r="U559" s="59">
        <v>13.846890496695648</v>
      </c>
      <c r="V559" s="78">
        <v>813.85712529755517</v>
      </c>
      <c r="X559" s="134">
        <f t="shared" si="54"/>
        <v>1376764.3177916186</v>
      </c>
      <c r="Y559" s="134">
        <f t="shared" si="55"/>
        <v>1384491.7327108181</v>
      </c>
      <c r="Z559" s="134">
        <f t="shared" si="56"/>
        <v>1383875.1925442673</v>
      </c>
      <c r="AB559" s="127">
        <f t="shared" si="57"/>
        <v>0</v>
      </c>
      <c r="AC559" s="127">
        <f t="shared" si="58"/>
        <v>1</v>
      </c>
      <c r="AD559" s="127">
        <f t="shared" si="59"/>
        <v>0</v>
      </c>
    </row>
    <row r="560" spans="1:30" x14ac:dyDescent="0.25">
      <c r="A560">
        <v>555</v>
      </c>
      <c r="C560" s="11">
        <v>9.292110800743103E-3</v>
      </c>
      <c r="D560" s="11">
        <v>1.6089022159576416E-2</v>
      </c>
      <c r="E560" s="11">
        <v>0.19896244364741486</v>
      </c>
      <c r="F560" s="11">
        <v>0.1492487428122414</v>
      </c>
      <c r="G560" s="11">
        <v>2.8985261917114258E-2</v>
      </c>
      <c r="H560" s="40">
        <v>5.8962637027888741E-4</v>
      </c>
      <c r="I560" s="40">
        <v>1.3892836571460598</v>
      </c>
      <c r="J560" s="59">
        <v>0</v>
      </c>
      <c r="K560" s="59">
        <v>7772.054523229599</v>
      </c>
      <c r="L560" s="59">
        <v>0</v>
      </c>
      <c r="M560" s="11">
        <v>0.82042461633682251</v>
      </c>
      <c r="N560" s="11">
        <v>0.78682911396026611</v>
      </c>
      <c r="O560" s="11">
        <v>0.34443759918212891</v>
      </c>
      <c r="Q560" s="59">
        <v>14.319696175903745</v>
      </c>
      <c r="R560" s="78">
        <v>571.67924991877044</v>
      </c>
      <c r="S560" s="78">
        <v>14.349421371432229</v>
      </c>
      <c r="T560" s="78">
        <v>614.8920189425379</v>
      </c>
      <c r="U560" s="59">
        <v>14.351302552949694</v>
      </c>
      <c r="V560" s="78">
        <v>814.9494052376873</v>
      </c>
      <c r="X560" s="134">
        <f t="shared" si="54"/>
        <v>1431397.9383404558</v>
      </c>
      <c r="Y560" s="134">
        <f t="shared" si="55"/>
        <v>1434327.2451242802</v>
      </c>
      <c r="Z560" s="134">
        <f t="shared" si="56"/>
        <v>1434315.3058897315</v>
      </c>
      <c r="AB560" s="127">
        <f t="shared" si="57"/>
        <v>0</v>
      </c>
      <c r="AC560" s="127">
        <f t="shared" si="58"/>
        <v>1</v>
      </c>
      <c r="AD560" s="127">
        <f t="shared" si="59"/>
        <v>0</v>
      </c>
    </row>
    <row r="561" spans="1:30" x14ac:dyDescent="0.25">
      <c r="A561">
        <v>556</v>
      </c>
      <c r="C561" s="11">
        <v>1.9234240055084229E-2</v>
      </c>
      <c r="D561" s="11">
        <v>3.8251399993896484E-2</v>
      </c>
      <c r="E561" s="11">
        <v>0.17088184571322237</v>
      </c>
      <c r="F561" s="11">
        <v>0.16683568872350207</v>
      </c>
      <c r="G561" s="11">
        <v>5.892711877822876E-2</v>
      </c>
      <c r="H561" s="40">
        <v>3.5315024235770649E-4</v>
      </c>
      <c r="I561" s="40">
        <v>1.465545824217046</v>
      </c>
      <c r="J561" s="59">
        <v>0</v>
      </c>
      <c r="K561" s="59">
        <v>5175.7204346358776</v>
      </c>
      <c r="L561" s="59">
        <v>0</v>
      </c>
      <c r="M561" s="11">
        <v>0.83652308583259583</v>
      </c>
      <c r="N561" s="11">
        <v>0.75870639085769653</v>
      </c>
      <c r="O561" s="11">
        <v>0.295829176902771</v>
      </c>
      <c r="Q561" s="59">
        <v>14.441282678302109</v>
      </c>
      <c r="R561" s="78">
        <v>495.38930889888474</v>
      </c>
      <c r="S561" s="78">
        <v>14.483032763114553</v>
      </c>
      <c r="T561" s="78">
        <v>596.53452423899694</v>
      </c>
      <c r="U561" s="59">
        <v>14.483239423420434</v>
      </c>
      <c r="V561" s="78">
        <v>805.12034685239053</v>
      </c>
      <c r="X561" s="134">
        <f t="shared" si="54"/>
        <v>1443632.878521312</v>
      </c>
      <c r="Y561" s="134">
        <f t="shared" si="55"/>
        <v>1447706.7417872164</v>
      </c>
      <c r="Z561" s="134">
        <f t="shared" si="56"/>
        <v>1447518.821995191</v>
      </c>
      <c r="AB561" s="127">
        <f t="shared" si="57"/>
        <v>0</v>
      </c>
      <c r="AC561" s="127">
        <f t="shared" si="58"/>
        <v>1</v>
      </c>
      <c r="AD561" s="127">
        <f t="shared" si="59"/>
        <v>0</v>
      </c>
    </row>
    <row r="562" spans="1:30" x14ac:dyDescent="0.25">
      <c r="A562">
        <v>557</v>
      </c>
      <c r="C562" s="11">
        <v>2.0133495330810547E-2</v>
      </c>
      <c r="D562" s="11">
        <v>3.8172602653503418E-3</v>
      </c>
      <c r="E562" s="11">
        <v>0.21199896042549785</v>
      </c>
      <c r="F562" s="11">
        <v>0.25535753797701394</v>
      </c>
      <c r="G562" s="11">
        <v>3.646618127822876E-2</v>
      </c>
      <c r="H562" s="40">
        <v>4.785199058217774E-4</v>
      </c>
      <c r="I562" s="40">
        <v>1.441209779295463</v>
      </c>
      <c r="J562" s="59">
        <v>0</v>
      </c>
      <c r="K562" s="59">
        <v>5982.3505580425262</v>
      </c>
      <c r="L562" s="59">
        <v>0</v>
      </c>
      <c r="M562" s="11">
        <v>0.77137947082519531</v>
      </c>
      <c r="N562" s="11">
        <v>0.7486535906791687</v>
      </c>
      <c r="O562" s="11">
        <v>0.35838484764099121</v>
      </c>
      <c r="Q562" s="59">
        <v>13.324775112493308</v>
      </c>
      <c r="R562" s="78">
        <v>527.60657005584062</v>
      </c>
      <c r="S562" s="78">
        <v>13.345335764997401</v>
      </c>
      <c r="T562" s="78">
        <v>607.73544825387967</v>
      </c>
      <c r="U562" s="59">
        <v>13.344184941928511</v>
      </c>
      <c r="V562" s="78">
        <v>822.5849113614139</v>
      </c>
      <c r="X562" s="134">
        <f t="shared" si="54"/>
        <v>1331949.9046792749</v>
      </c>
      <c r="Y562" s="134">
        <f t="shared" si="55"/>
        <v>1333925.8410514863</v>
      </c>
      <c r="Z562" s="134">
        <f t="shared" si="56"/>
        <v>1333595.9092814897</v>
      </c>
      <c r="AB562" s="127">
        <f t="shared" si="57"/>
        <v>0</v>
      </c>
      <c r="AC562" s="127">
        <f t="shared" si="58"/>
        <v>1</v>
      </c>
      <c r="AD562" s="127">
        <f t="shared" si="59"/>
        <v>0</v>
      </c>
    </row>
    <row r="563" spans="1:30" x14ac:dyDescent="0.25">
      <c r="A563">
        <v>558</v>
      </c>
      <c r="C563" s="11">
        <v>1.5216156840324402E-2</v>
      </c>
      <c r="D563" s="11">
        <v>4.707634449005127E-3</v>
      </c>
      <c r="E563" s="11">
        <v>0.29362936791439498</v>
      </c>
      <c r="F563" s="11">
        <v>0.2986494492973556</v>
      </c>
      <c r="G563" s="11">
        <v>2.076604962348938E-2</v>
      </c>
      <c r="H563" s="40">
        <v>6.0508935655505095E-4</v>
      </c>
      <c r="I563" s="40">
        <v>1.3314455059231087</v>
      </c>
      <c r="J563" s="59">
        <v>0</v>
      </c>
      <c r="K563" s="59">
        <v>5329.0370851755142</v>
      </c>
      <c r="L563" s="59">
        <v>0</v>
      </c>
      <c r="M563" s="11">
        <v>0.86603689193725586</v>
      </c>
      <c r="N563" s="11">
        <v>0.83925819396972656</v>
      </c>
      <c r="O563" s="11">
        <v>0.24405097961425781</v>
      </c>
      <c r="Q563" s="59">
        <v>15.033549840989737</v>
      </c>
      <c r="R563" s="78">
        <v>494.46060249864638</v>
      </c>
      <c r="S563" s="78">
        <v>15.055312903107131</v>
      </c>
      <c r="T563" s="78">
        <v>608.83443693147228</v>
      </c>
      <c r="U563" s="59">
        <v>15.055156037623433</v>
      </c>
      <c r="V563" s="78">
        <v>818.34205093807077</v>
      </c>
      <c r="X563" s="134">
        <f t="shared" si="54"/>
        <v>1502860.5234964751</v>
      </c>
      <c r="Y563" s="134">
        <f t="shared" si="55"/>
        <v>1504922.4558737816</v>
      </c>
      <c r="Z563" s="134">
        <f t="shared" si="56"/>
        <v>1504697.2617114051</v>
      </c>
      <c r="AB563" s="127">
        <f t="shared" si="57"/>
        <v>0</v>
      </c>
      <c r="AC563" s="127">
        <f t="shared" si="58"/>
        <v>1</v>
      </c>
      <c r="AD563" s="127">
        <f t="shared" si="59"/>
        <v>0</v>
      </c>
    </row>
    <row r="564" spans="1:30" x14ac:dyDescent="0.25">
      <c r="A564">
        <v>559</v>
      </c>
      <c r="C564" s="11">
        <v>1.175437867641449E-2</v>
      </c>
      <c r="D564" s="11">
        <v>1.3811230659484863E-2</v>
      </c>
      <c r="E564" s="11">
        <v>0.37954783779396173</v>
      </c>
      <c r="F564" s="11">
        <v>9.7972842529065726E-2</v>
      </c>
      <c r="G564" s="11">
        <v>2.3517608642578125E-2</v>
      </c>
      <c r="H564" s="40">
        <v>4.2831653944553651E-4</v>
      </c>
      <c r="I564" s="40">
        <v>1.4566548261535945</v>
      </c>
      <c r="J564" s="59">
        <v>0</v>
      </c>
      <c r="K564" s="59">
        <v>5947.9917399585247</v>
      </c>
      <c r="L564" s="59">
        <v>0</v>
      </c>
      <c r="M564" s="11">
        <v>0.88710176944732666</v>
      </c>
      <c r="N564" s="11">
        <v>0.74224120378494263</v>
      </c>
      <c r="O564" s="11">
        <v>0.29240894317626953</v>
      </c>
      <c r="Q564" s="59">
        <v>15.416604347611674</v>
      </c>
      <c r="R564" s="78">
        <v>510.68071827210349</v>
      </c>
      <c r="S564" s="78">
        <v>15.458844628377502</v>
      </c>
      <c r="T564" s="78">
        <v>623.76998004239886</v>
      </c>
      <c r="U564" s="59">
        <v>15.478363589988644</v>
      </c>
      <c r="V564" s="78">
        <v>799.61403679627085</v>
      </c>
      <c r="X564" s="134">
        <f t="shared" si="54"/>
        <v>1541149.7540428955</v>
      </c>
      <c r="Y564" s="134">
        <f t="shared" si="55"/>
        <v>1545260.6928577076</v>
      </c>
      <c r="Z564" s="134">
        <f t="shared" si="56"/>
        <v>1547036.744962068</v>
      </c>
      <c r="AB564" s="127">
        <f t="shared" si="57"/>
        <v>0</v>
      </c>
      <c r="AC564" s="127">
        <f t="shared" si="58"/>
        <v>0</v>
      </c>
      <c r="AD564" s="127">
        <f t="shared" si="59"/>
        <v>1</v>
      </c>
    </row>
    <row r="565" spans="1:30" x14ac:dyDescent="0.25">
      <c r="A565">
        <v>560</v>
      </c>
      <c r="C565" s="11">
        <v>4.2913317680358887E-2</v>
      </c>
      <c r="D565" s="11">
        <v>3.502047061920166E-2</v>
      </c>
      <c r="E565" s="11">
        <v>0.23947597101276341</v>
      </c>
      <c r="F565" s="11">
        <v>0.26073710660710658</v>
      </c>
      <c r="G565" s="11">
        <v>2.8133794665336609E-2</v>
      </c>
      <c r="H565" s="40">
        <v>5.4032133847462731E-4</v>
      </c>
      <c r="I565" s="40">
        <v>1.3842463662559359</v>
      </c>
      <c r="J565" s="59">
        <v>0</v>
      </c>
      <c r="K565" s="59">
        <v>4924.1352826356888</v>
      </c>
      <c r="L565" s="59">
        <v>0</v>
      </c>
      <c r="M565" s="11">
        <v>0.86750888824462891</v>
      </c>
      <c r="N565" s="11">
        <v>0.71072113513946533</v>
      </c>
      <c r="O565" s="11">
        <v>0.29883426427841187</v>
      </c>
      <c r="Q565" s="59">
        <v>14.590017793172239</v>
      </c>
      <c r="R565" s="78">
        <v>491.54474316489382</v>
      </c>
      <c r="S565" s="78">
        <v>14.647337159947067</v>
      </c>
      <c r="T565" s="78">
        <v>602.66532228488848</v>
      </c>
      <c r="U565" s="59">
        <v>14.64571183634772</v>
      </c>
      <c r="V565" s="78">
        <v>813.75696240956324</v>
      </c>
      <c r="X565" s="134">
        <f t="shared" si="54"/>
        <v>1458510.234574059</v>
      </c>
      <c r="Y565" s="134">
        <f t="shared" si="55"/>
        <v>1464131.0506724219</v>
      </c>
      <c r="Z565" s="134">
        <f t="shared" si="56"/>
        <v>1463757.4266723625</v>
      </c>
      <c r="AB565" s="127">
        <f t="shared" si="57"/>
        <v>0</v>
      </c>
      <c r="AC565" s="127">
        <f t="shared" si="58"/>
        <v>1</v>
      </c>
      <c r="AD565" s="127">
        <f t="shared" si="59"/>
        <v>0</v>
      </c>
    </row>
    <row r="566" spans="1:30" x14ac:dyDescent="0.25">
      <c r="A566">
        <v>561</v>
      </c>
      <c r="C566" s="11">
        <v>1.1973604559898376E-2</v>
      </c>
      <c r="D566" s="11">
        <v>1.7260611057281494E-2</v>
      </c>
      <c r="E566" s="11">
        <v>0.23711052427571258</v>
      </c>
      <c r="F566" s="11">
        <v>0.11066722542866213</v>
      </c>
      <c r="G566" s="11">
        <v>4.1722238063812256E-2</v>
      </c>
      <c r="H566" s="40">
        <v>3.6319545434118536E-4</v>
      </c>
      <c r="I566" s="40">
        <v>1.4670426848027183</v>
      </c>
      <c r="J566" s="59">
        <v>0</v>
      </c>
      <c r="K566" s="59">
        <v>5392.7162662148476</v>
      </c>
      <c r="L566" s="59">
        <v>0</v>
      </c>
      <c r="M566" s="11">
        <v>0.89024871587753296</v>
      </c>
      <c r="N566" s="11">
        <v>0.68805265426635742</v>
      </c>
      <c r="O566" s="11">
        <v>0.28493010997772217</v>
      </c>
      <c r="Q566" s="59">
        <v>15.458875057266189</v>
      </c>
      <c r="R566" s="78">
        <v>496.1115201151012</v>
      </c>
      <c r="S566" s="78">
        <v>15.517997157939204</v>
      </c>
      <c r="T566" s="78">
        <v>603.49304277505894</v>
      </c>
      <c r="U566" s="59">
        <v>15.52794780164793</v>
      </c>
      <c r="V566" s="78">
        <v>799.45374161549819</v>
      </c>
      <c r="X566" s="134">
        <f t="shared" si="54"/>
        <v>1545391.3942065039</v>
      </c>
      <c r="Y566" s="134">
        <f t="shared" si="55"/>
        <v>1551196.2227511455</v>
      </c>
      <c r="Z566" s="134">
        <f t="shared" si="56"/>
        <v>1551995.3264231775</v>
      </c>
      <c r="AB566" s="127">
        <f t="shared" si="57"/>
        <v>0</v>
      </c>
      <c r="AC566" s="127">
        <f t="shared" si="58"/>
        <v>0</v>
      </c>
      <c r="AD566" s="127">
        <f t="shared" si="59"/>
        <v>1</v>
      </c>
    </row>
    <row r="567" spans="1:30" x14ac:dyDescent="0.25">
      <c r="A567">
        <v>562</v>
      </c>
      <c r="C567" s="11">
        <v>2.5279343128204346E-2</v>
      </c>
      <c r="D567" s="11">
        <v>2.9381304979324341E-2</v>
      </c>
      <c r="E567" s="11">
        <v>0.38677961629368607</v>
      </c>
      <c r="F567" s="11">
        <v>7.0178287251846161E-2</v>
      </c>
      <c r="G567" s="11">
        <v>3.8743704557418823E-2</v>
      </c>
      <c r="H567" s="40">
        <v>4.6142861500902553E-4</v>
      </c>
      <c r="I567" s="40">
        <v>1.3590995373805428</v>
      </c>
      <c r="J567" s="59">
        <v>0</v>
      </c>
      <c r="K567" s="59">
        <v>5736.0506616532803</v>
      </c>
      <c r="L567" s="59">
        <v>0</v>
      </c>
      <c r="M567" s="11">
        <v>0.88279622793197632</v>
      </c>
      <c r="N567" s="11">
        <v>0.75851589441299438</v>
      </c>
      <c r="O567" s="11">
        <v>0.34483122825622559</v>
      </c>
      <c r="Q567" s="59">
        <v>15.145779700468227</v>
      </c>
      <c r="R567" s="78">
        <v>491.60214636754546</v>
      </c>
      <c r="S567" s="78">
        <v>15.178315825281759</v>
      </c>
      <c r="T567" s="78">
        <v>617.05820119963357</v>
      </c>
      <c r="U567" s="59">
        <v>15.195352029834877</v>
      </c>
      <c r="V567" s="78">
        <v>794.93452527165107</v>
      </c>
      <c r="X567" s="134">
        <f t="shared" si="54"/>
        <v>1514086.3679004551</v>
      </c>
      <c r="Y567" s="134">
        <f t="shared" si="55"/>
        <v>1517214.5243269762</v>
      </c>
      <c r="Z567" s="134">
        <f t="shared" si="56"/>
        <v>1518740.268458216</v>
      </c>
      <c r="AB567" s="127">
        <f t="shared" si="57"/>
        <v>0</v>
      </c>
      <c r="AC567" s="127">
        <f t="shared" si="58"/>
        <v>0</v>
      </c>
      <c r="AD567" s="127">
        <f t="shared" si="59"/>
        <v>1</v>
      </c>
    </row>
    <row r="568" spans="1:30" x14ac:dyDescent="0.25">
      <c r="A568">
        <v>563</v>
      </c>
      <c r="C568" s="11">
        <v>8.8484585285186768E-3</v>
      </c>
      <c r="D568" s="11">
        <v>2.5317370891571045E-2</v>
      </c>
      <c r="E568" s="11">
        <v>0.16559266031058162</v>
      </c>
      <c r="F568" s="11">
        <v>0.13568893663590495</v>
      </c>
      <c r="G568" s="11">
        <v>2.7175962924957275E-2</v>
      </c>
      <c r="H568" s="40">
        <v>5.5012746674321675E-4</v>
      </c>
      <c r="I568" s="40">
        <v>1.4342430391092178</v>
      </c>
      <c r="J568" s="59">
        <v>0</v>
      </c>
      <c r="K568" s="59">
        <v>5252.910777926445</v>
      </c>
      <c r="L568" s="59">
        <v>0</v>
      </c>
      <c r="M568" s="11">
        <v>0.81919902563095093</v>
      </c>
      <c r="N568" s="11">
        <v>0.72193986177444458</v>
      </c>
      <c r="O568" s="11">
        <v>0.2584068775177002</v>
      </c>
      <c r="Q568" s="59">
        <v>14.27375496438153</v>
      </c>
      <c r="R568" s="78">
        <v>520.19599434539339</v>
      </c>
      <c r="S568" s="78">
        <v>14.330428117560098</v>
      </c>
      <c r="T568" s="78">
        <v>600.26161203769266</v>
      </c>
      <c r="U568" s="59">
        <v>14.332501748048577</v>
      </c>
      <c r="V568" s="78">
        <v>805.43294326760122</v>
      </c>
      <c r="X568" s="134">
        <f t="shared" si="54"/>
        <v>1426855.3004438074</v>
      </c>
      <c r="Y568" s="134">
        <f t="shared" si="55"/>
        <v>1432442.550143972</v>
      </c>
      <c r="Z568" s="134">
        <f t="shared" si="56"/>
        <v>1432444.7418615902</v>
      </c>
      <c r="AB568" s="127">
        <f t="shared" si="57"/>
        <v>0</v>
      </c>
      <c r="AC568" s="127">
        <f t="shared" si="58"/>
        <v>0</v>
      </c>
      <c r="AD568" s="127">
        <f t="shared" si="59"/>
        <v>1</v>
      </c>
    </row>
    <row r="569" spans="1:30" x14ac:dyDescent="0.25">
      <c r="A569">
        <v>564</v>
      </c>
      <c r="C569" s="11">
        <v>6.2200069427490234E-2</v>
      </c>
      <c r="D569" s="11">
        <v>1.0955587029457092E-2</v>
      </c>
      <c r="E569" s="11">
        <v>0.31591914058442677</v>
      </c>
      <c r="F569" s="11">
        <v>0.23032329419598807</v>
      </c>
      <c r="G569" s="11">
        <v>2.7544870972633362E-2</v>
      </c>
      <c r="H569" s="40">
        <v>4.6179121994204653E-4</v>
      </c>
      <c r="I569" s="40">
        <v>1.5656379629433472</v>
      </c>
      <c r="J569" s="59">
        <v>0</v>
      </c>
      <c r="K569" s="59">
        <v>4803.5569489002228</v>
      </c>
      <c r="L569" s="59">
        <v>0</v>
      </c>
      <c r="M569" s="11">
        <v>0.82243919372558594</v>
      </c>
      <c r="N569" s="11">
        <v>0.7365410327911377</v>
      </c>
      <c r="O569" s="11">
        <v>0.30854398012161255</v>
      </c>
      <c r="Q569" s="59">
        <v>13.555841131502495</v>
      </c>
      <c r="R569" s="78">
        <v>528.74086382472979</v>
      </c>
      <c r="S569" s="78">
        <v>13.601731245097245</v>
      </c>
      <c r="T569" s="78">
        <v>622.37350190165876</v>
      </c>
      <c r="U569" s="59">
        <v>13.60761833090303</v>
      </c>
      <c r="V569" s="78">
        <v>819.69683565199318</v>
      </c>
      <c r="X569" s="134">
        <f t="shared" si="54"/>
        <v>1355055.3722864247</v>
      </c>
      <c r="Y569" s="134">
        <f t="shared" si="55"/>
        <v>1359550.7510078228</v>
      </c>
      <c r="Z569" s="134">
        <f t="shared" si="56"/>
        <v>1359942.136254651</v>
      </c>
      <c r="AB569" s="127">
        <f t="shared" si="57"/>
        <v>0</v>
      </c>
      <c r="AC569" s="127">
        <f t="shared" si="58"/>
        <v>0</v>
      </c>
      <c r="AD569" s="127">
        <f t="shared" si="59"/>
        <v>1</v>
      </c>
    </row>
    <row r="570" spans="1:30" x14ac:dyDescent="0.25">
      <c r="A570">
        <v>565</v>
      </c>
      <c r="C570" s="11">
        <v>1.0136201977729797E-2</v>
      </c>
      <c r="D570" s="11">
        <v>4.8996061086654663E-3</v>
      </c>
      <c r="E570" s="11">
        <v>0.42573487643718577</v>
      </c>
      <c r="F570" s="11">
        <v>7.5230516149470517E-2</v>
      </c>
      <c r="G570" s="11">
        <v>2.4418920278549194E-2</v>
      </c>
      <c r="H570" s="40">
        <v>5.5521104090186589E-4</v>
      </c>
      <c r="I570" s="40">
        <v>1.3362272199988614</v>
      </c>
      <c r="J570" s="59">
        <v>0</v>
      </c>
      <c r="K570" s="59">
        <v>7838.5323286056519</v>
      </c>
      <c r="L570" s="59">
        <v>0</v>
      </c>
      <c r="M570" s="11">
        <v>0.8042675256729126</v>
      </c>
      <c r="N570" s="11">
        <v>0.75566393136978149</v>
      </c>
      <c r="O570" s="11">
        <v>0.31480872631072998</v>
      </c>
      <c r="Q570" s="59">
        <v>14.031402039629176</v>
      </c>
      <c r="R570" s="78">
        <v>535.4195729003377</v>
      </c>
      <c r="S570" s="78">
        <v>14.048978512379678</v>
      </c>
      <c r="T570" s="78">
        <v>639.72469029658168</v>
      </c>
      <c r="U570" s="59">
        <v>14.059885688550223</v>
      </c>
      <c r="V570" s="78">
        <v>798.78700969153078</v>
      </c>
      <c r="X570" s="134">
        <f t="shared" si="54"/>
        <v>1402604.7843900174</v>
      </c>
      <c r="Y570" s="134">
        <f t="shared" si="55"/>
        <v>1404258.1265476712</v>
      </c>
      <c r="Z570" s="134">
        <f t="shared" si="56"/>
        <v>1405189.7818453307</v>
      </c>
      <c r="AB570" s="127">
        <f t="shared" si="57"/>
        <v>0</v>
      </c>
      <c r="AC570" s="127">
        <f t="shared" si="58"/>
        <v>0</v>
      </c>
      <c r="AD570" s="127">
        <f t="shared" si="59"/>
        <v>1</v>
      </c>
    </row>
    <row r="571" spans="1:30" x14ac:dyDescent="0.25">
      <c r="A571">
        <v>566</v>
      </c>
      <c r="C571" s="11">
        <v>1.4363333582878113E-2</v>
      </c>
      <c r="D571" s="11">
        <v>1.7605125904083252E-2</v>
      </c>
      <c r="E571" s="11">
        <v>0.28409130729677307</v>
      </c>
      <c r="F571" s="11">
        <v>0.25095107633466873</v>
      </c>
      <c r="G571" s="11">
        <v>3.7999093532562256E-2</v>
      </c>
      <c r="H571" s="40">
        <v>3.4733347068646139E-4</v>
      </c>
      <c r="I571" s="40">
        <v>1.409240975620156</v>
      </c>
      <c r="J571" s="59">
        <v>0</v>
      </c>
      <c r="K571" s="59">
        <v>4604.6217903494835</v>
      </c>
      <c r="L571" s="59">
        <v>0</v>
      </c>
      <c r="M571" s="11">
        <v>0.84313544631004333</v>
      </c>
      <c r="N571" s="11">
        <v>0.6927638053894043</v>
      </c>
      <c r="O571" s="11">
        <v>0.30617797374725342</v>
      </c>
      <c r="Q571" s="59">
        <v>14.62908809568154</v>
      </c>
      <c r="R571" s="78">
        <v>463.11520289659137</v>
      </c>
      <c r="S571" s="78">
        <v>14.664595611608993</v>
      </c>
      <c r="T571" s="78">
        <v>598.80286411910379</v>
      </c>
      <c r="U571" s="59">
        <v>14.666256072857449</v>
      </c>
      <c r="V571" s="78">
        <v>805.49971116542963</v>
      </c>
      <c r="X571" s="134">
        <f t="shared" si="54"/>
        <v>1462445.6943652574</v>
      </c>
      <c r="Y571" s="134">
        <f t="shared" si="55"/>
        <v>1465860.7582967801</v>
      </c>
      <c r="Z571" s="134">
        <f t="shared" si="56"/>
        <v>1465820.1075745795</v>
      </c>
      <c r="AB571" s="127">
        <f t="shared" si="57"/>
        <v>0</v>
      </c>
      <c r="AC571" s="127">
        <f t="shared" si="58"/>
        <v>1</v>
      </c>
      <c r="AD571" s="127">
        <f t="shared" si="59"/>
        <v>0</v>
      </c>
    </row>
    <row r="572" spans="1:30" x14ac:dyDescent="0.25">
      <c r="A572">
        <v>567</v>
      </c>
      <c r="C572" s="11">
        <v>4.6736836433410645E-2</v>
      </c>
      <c r="D572" s="11">
        <v>4.9481630325317383E-2</v>
      </c>
      <c r="E572" s="11">
        <v>0.18627544371843485</v>
      </c>
      <c r="F572" s="11">
        <v>0.15128753172671078</v>
      </c>
      <c r="G572" s="11">
        <v>4.5720100402832031E-2</v>
      </c>
      <c r="H572" s="40">
        <v>5.1258273748449473E-4</v>
      </c>
      <c r="I572" s="40">
        <v>1.3956988107807118</v>
      </c>
      <c r="J572" s="59">
        <v>0</v>
      </c>
      <c r="K572" s="59">
        <v>3526.8347710371017</v>
      </c>
      <c r="L572" s="59">
        <v>0</v>
      </c>
      <c r="M572" s="11">
        <v>0.79676270484924316</v>
      </c>
      <c r="N572" s="11">
        <v>0.6687169075012207</v>
      </c>
      <c r="O572" s="11">
        <v>0.29017934203147888</v>
      </c>
      <c r="Q572" s="59">
        <v>13.346618552322427</v>
      </c>
      <c r="R572" s="78">
        <v>468.40973156999689</v>
      </c>
      <c r="S572" s="78">
        <v>13.402811749240886</v>
      </c>
      <c r="T572" s="78">
        <v>593.04931847226567</v>
      </c>
      <c r="U572" s="59">
        <v>13.405266931312083</v>
      </c>
      <c r="V572" s="78">
        <v>799.4171228575309</v>
      </c>
      <c r="X572" s="134">
        <f t="shared" si="54"/>
        <v>1334193.4455006728</v>
      </c>
      <c r="Y572" s="134">
        <f t="shared" si="55"/>
        <v>1339688.1256056165</v>
      </c>
      <c r="Z572" s="134">
        <f t="shared" si="56"/>
        <v>1339727.2760083505</v>
      </c>
      <c r="AB572" s="127">
        <f t="shared" si="57"/>
        <v>0</v>
      </c>
      <c r="AC572" s="127">
        <f t="shared" si="58"/>
        <v>0</v>
      </c>
      <c r="AD572" s="127">
        <f t="shared" si="59"/>
        <v>1</v>
      </c>
    </row>
    <row r="573" spans="1:30" x14ac:dyDescent="0.25">
      <c r="A573">
        <v>568</v>
      </c>
      <c r="C573" s="11">
        <v>4.5359969139099121E-2</v>
      </c>
      <c r="D573" s="11">
        <v>1.744416356086731E-2</v>
      </c>
      <c r="E573" s="11">
        <v>0.20023679003356035</v>
      </c>
      <c r="F573" s="11">
        <v>0.39729472920182601</v>
      </c>
      <c r="G573" s="11">
        <v>2.0789593458175659E-2</v>
      </c>
      <c r="H573" s="40">
        <v>5.0105313019963786E-4</v>
      </c>
      <c r="I573" s="40">
        <v>1.4724467218132402</v>
      </c>
      <c r="J573" s="59">
        <v>0</v>
      </c>
      <c r="K573" s="59">
        <v>5842.4635790288448</v>
      </c>
      <c r="L573" s="59">
        <v>0</v>
      </c>
      <c r="M573" s="11">
        <v>0.82230889797210693</v>
      </c>
      <c r="N573" s="11">
        <v>0.71012699604034424</v>
      </c>
      <c r="O573" s="11">
        <v>0.26156914234161377</v>
      </c>
      <c r="Q573" s="59">
        <v>13.79748299033116</v>
      </c>
      <c r="R573" s="78">
        <v>526.9262695902388</v>
      </c>
      <c r="S573" s="78">
        <v>13.852057306898354</v>
      </c>
      <c r="T573" s="78">
        <v>606.08319169114577</v>
      </c>
      <c r="U573" s="59">
        <v>13.838406912879561</v>
      </c>
      <c r="V573" s="78">
        <v>841.50560076610509</v>
      </c>
      <c r="X573" s="134">
        <f t="shared" si="54"/>
        <v>1379221.3727635259</v>
      </c>
      <c r="Y573" s="134">
        <f t="shared" si="55"/>
        <v>1384599.6474981443</v>
      </c>
      <c r="Z573" s="134">
        <f t="shared" si="56"/>
        <v>1382999.1856871902</v>
      </c>
      <c r="AB573" s="127">
        <f t="shared" si="57"/>
        <v>0</v>
      </c>
      <c r="AC573" s="127">
        <f t="shared" si="58"/>
        <v>1</v>
      </c>
      <c r="AD573" s="127">
        <f t="shared" si="59"/>
        <v>0</v>
      </c>
    </row>
    <row r="574" spans="1:30" x14ac:dyDescent="0.25">
      <c r="A574">
        <v>569</v>
      </c>
      <c r="C574" s="11">
        <v>1.3632059097290039E-2</v>
      </c>
      <c r="D574" s="11">
        <v>5.8956742286682129E-3</v>
      </c>
      <c r="E574" s="11">
        <v>0.26050905726609286</v>
      </c>
      <c r="F574" s="11">
        <v>0.1704148995360229</v>
      </c>
      <c r="G574" s="11">
        <v>7.274782657623291E-2</v>
      </c>
      <c r="H574" s="40">
        <v>3.5315628049407619E-4</v>
      </c>
      <c r="I574" s="40">
        <v>1.5046885060201625</v>
      </c>
      <c r="J574" s="59">
        <v>0</v>
      </c>
      <c r="K574" s="59">
        <v>7085.9910920262337</v>
      </c>
      <c r="L574" s="59">
        <v>0</v>
      </c>
      <c r="M574" s="11">
        <v>0.82078361511230469</v>
      </c>
      <c r="N574" s="11">
        <v>0.80165505409240723</v>
      </c>
      <c r="O574" s="11">
        <v>0.27844035625457764</v>
      </c>
      <c r="Q574" s="59">
        <v>14.266683440084948</v>
      </c>
      <c r="R574" s="78">
        <v>561.91768161105949</v>
      </c>
      <c r="S574" s="78">
        <v>14.291433472233154</v>
      </c>
      <c r="T574" s="78">
        <v>623.27590374913586</v>
      </c>
      <c r="U574" s="59">
        <v>14.294501910429442</v>
      </c>
      <c r="V574" s="78">
        <v>817.00651283038599</v>
      </c>
      <c r="X574" s="134">
        <f t="shared" si="54"/>
        <v>1426106.4263268837</v>
      </c>
      <c r="Y574" s="134">
        <f t="shared" si="55"/>
        <v>1428520.0713195663</v>
      </c>
      <c r="Z574" s="134">
        <f t="shared" si="56"/>
        <v>1428633.1845301138</v>
      </c>
      <c r="AB574" s="127">
        <f t="shared" si="57"/>
        <v>0</v>
      </c>
      <c r="AC574" s="127">
        <f t="shared" si="58"/>
        <v>0</v>
      </c>
      <c r="AD574" s="127">
        <f t="shared" si="59"/>
        <v>1</v>
      </c>
    </row>
    <row r="575" spans="1:30" x14ac:dyDescent="0.25">
      <c r="A575">
        <v>570</v>
      </c>
      <c r="C575" s="11">
        <v>2.4593710899353027E-2</v>
      </c>
      <c r="D575" s="11">
        <v>1.4235809445381165E-2</v>
      </c>
      <c r="E575" s="11">
        <v>0.27263850117788085</v>
      </c>
      <c r="F575" s="11">
        <v>0.15559796522514374</v>
      </c>
      <c r="G575" s="11">
        <v>3.1385481357574463E-2</v>
      </c>
      <c r="H575" s="40">
        <v>4.3947301595923649E-4</v>
      </c>
      <c r="I575" s="40">
        <v>1.5122153034447434</v>
      </c>
      <c r="J575" s="59">
        <v>0</v>
      </c>
      <c r="K575" s="59">
        <v>10185.986757278442</v>
      </c>
      <c r="L575" s="59">
        <v>0</v>
      </c>
      <c r="M575" s="11">
        <v>0.84419804811477661</v>
      </c>
      <c r="N575" s="11">
        <v>0.74795913696289063</v>
      </c>
      <c r="O575" s="11">
        <v>0.32610559463500977</v>
      </c>
      <c r="Q575" s="59">
        <v>14.481919209985589</v>
      </c>
      <c r="R575" s="78">
        <v>641.95630249388557</v>
      </c>
      <c r="S575" s="78">
        <v>14.527357995744348</v>
      </c>
      <c r="T575" s="78">
        <v>647.67392046059115</v>
      </c>
      <c r="U575" s="59">
        <v>14.534827600829937</v>
      </c>
      <c r="V575" s="78">
        <v>827.29311223661534</v>
      </c>
      <c r="X575" s="134">
        <f t="shared" si="54"/>
        <v>1447549.9646960651</v>
      </c>
      <c r="Y575" s="134">
        <f t="shared" si="55"/>
        <v>1452088.1256539742</v>
      </c>
      <c r="Z575" s="134">
        <f t="shared" si="56"/>
        <v>1452655.4669707571</v>
      </c>
      <c r="AB575" s="127">
        <f t="shared" si="57"/>
        <v>0</v>
      </c>
      <c r="AC575" s="127">
        <f t="shared" si="58"/>
        <v>0</v>
      </c>
      <c r="AD575" s="127">
        <f t="shared" si="59"/>
        <v>1</v>
      </c>
    </row>
    <row r="576" spans="1:30" x14ac:dyDescent="0.25">
      <c r="A576">
        <v>571</v>
      </c>
      <c r="C576" s="11">
        <v>6.5471231937408447E-3</v>
      </c>
      <c r="D576" s="11">
        <v>1.1736974120140076E-2</v>
      </c>
      <c r="E576" s="11">
        <v>0.23370380583073694</v>
      </c>
      <c r="F576" s="11">
        <v>0.28692709407780315</v>
      </c>
      <c r="G576" s="11">
        <v>3.7135779857635498E-2</v>
      </c>
      <c r="H576" s="40">
        <v>3.1742753798607318E-4</v>
      </c>
      <c r="I576" s="40">
        <v>1.6392128179253351</v>
      </c>
      <c r="J576" s="59">
        <v>0</v>
      </c>
      <c r="K576" s="59">
        <v>5766.2278413772583</v>
      </c>
      <c r="L576" s="59">
        <v>0</v>
      </c>
      <c r="M576" s="11">
        <v>0.88754492998123169</v>
      </c>
      <c r="N576" s="11">
        <v>0.76087003946304321</v>
      </c>
      <c r="O576" s="11">
        <v>0.2645341157913208</v>
      </c>
      <c r="Q576" s="59">
        <v>15.489571069873488</v>
      </c>
      <c r="R576" s="78">
        <v>548.47013239486148</v>
      </c>
      <c r="S576" s="78">
        <v>15.554269937777564</v>
      </c>
      <c r="T576" s="78">
        <v>615.77762719919588</v>
      </c>
      <c r="U576" s="59">
        <v>15.549683390140943</v>
      </c>
      <c r="V576" s="78">
        <v>833.0945548506669</v>
      </c>
      <c r="X576" s="134">
        <f t="shared" si="54"/>
        <v>1548408.6368549538</v>
      </c>
      <c r="Y576" s="134">
        <f t="shared" si="55"/>
        <v>1554811.2161505572</v>
      </c>
      <c r="Z576" s="134">
        <f t="shared" si="56"/>
        <v>1554135.2444592437</v>
      </c>
      <c r="AB576" s="127">
        <f t="shared" si="57"/>
        <v>0</v>
      </c>
      <c r="AC576" s="127">
        <f t="shared" si="58"/>
        <v>1</v>
      </c>
      <c r="AD576" s="127">
        <f t="shared" si="59"/>
        <v>0</v>
      </c>
    </row>
    <row r="577" spans="1:30" x14ac:dyDescent="0.25">
      <c r="A577">
        <v>572</v>
      </c>
      <c r="C577" s="11">
        <v>1.8172919750213623E-2</v>
      </c>
      <c r="D577" s="11">
        <v>2.4227619171142578E-2</v>
      </c>
      <c r="E577" s="11">
        <v>0.2264581421625585</v>
      </c>
      <c r="F577" s="11">
        <v>5.9530548494956211E-2</v>
      </c>
      <c r="G577" s="11">
        <v>3.8616225123405457E-2</v>
      </c>
      <c r="H577" s="40">
        <v>5.890169258429605E-4</v>
      </c>
      <c r="I577" s="40">
        <v>1.3638257653198529</v>
      </c>
      <c r="J577" s="59">
        <v>0</v>
      </c>
      <c r="K577" s="59">
        <v>5300.8878603577614</v>
      </c>
      <c r="L577" s="59">
        <v>0</v>
      </c>
      <c r="M577" s="11">
        <v>0.90728378295898438</v>
      </c>
      <c r="N577" s="11">
        <v>0.77107882499694824</v>
      </c>
      <c r="O577" s="11">
        <v>0.30978614091873169</v>
      </c>
      <c r="Q577" s="59">
        <v>15.660684354053275</v>
      </c>
      <c r="R577" s="78">
        <v>511.21761213987992</v>
      </c>
      <c r="S577" s="78">
        <v>15.71763634380096</v>
      </c>
      <c r="T577" s="78">
        <v>605.89952681051716</v>
      </c>
      <c r="U577" s="59">
        <v>15.730155923905935</v>
      </c>
      <c r="V577" s="78">
        <v>795.09167245729373</v>
      </c>
      <c r="X577" s="134">
        <f t="shared" si="54"/>
        <v>1565557.2177931876</v>
      </c>
      <c r="Y577" s="134">
        <f t="shared" si="55"/>
        <v>1571157.7348532854</v>
      </c>
      <c r="Z577" s="134">
        <f t="shared" si="56"/>
        <v>1572220.5007181361</v>
      </c>
      <c r="AB577" s="127">
        <f t="shared" si="57"/>
        <v>0</v>
      </c>
      <c r="AC577" s="127">
        <f t="shared" si="58"/>
        <v>0</v>
      </c>
      <c r="AD577" s="127">
        <f t="shared" si="59"/>
        <v>1</v>
      </c>
    </row>
    <row r="578" spans="1:30" x14ac:dyDescent="0.25">
      <c r="A578">
        <v>573</v>
      </c>
      <c r="C578" s="11">
        <v>1.1432796716690063E-2</v>
      </c>
      <c r="D578" s="11">
        <v>1.3320684432983398E-2</v>
      </c>
      <c r="E578" s="11">
        <v>0.38945402367026616</v>
      </c>
      <c r="F578" s="11">
        <v>0.23689620902108618</v>
      </c>
      <c r="G578" s="11">
        <v>4.511338472366333E-2</v>
      </c>
      <c r="H578" s="40">
        <v>3.7770700650269462E-4</v>
      </c>
      <c r="I578" s="40">
        <v>1.4844120231214872</v>
      </c>
      <c r="J578" s="59">
        <v>0</v>
      </c>
      <c r="K578" s="59">
        <v>3339.6948128938675</v>
      </c>
      <c r="L578" s="59">
        <v>0</v>
      </c>
      <c r="M578" s="11">
        <v>0.81606137752532959</v>
      </c>
      <c r="N578" s="11">
        <v>0.70644271373748779</v>
      </c>
      <c r="O578" s="11">
        <v>0.32250082492828369</v>
      </c>
      <c r="Q578" s="59">
        <v>14.195203591638442</v>
      </c>
      <c r="R578" s="78">
        <v>464.38377347342646</v>
      </c>
      <c r="S578" s="78">
        <v>14.228262142267658</v>
      </c>
      <c r="T578" s="78">
        <v>606.69125942421567</v>
      </c>
      <c r="U578" s="59">
        <v>14.236646166250404</v>
      </c>
      <c r="V578" s="78">
        <v>804.88704825101672</v>
      </c>
      <c r="X578" s="134">
        <f t="shared" si="54"/>
        <v>1419055.9753903709</v>
      </c>
      <c r="Y578" s="134">
        <f t="shared" si="55"/>
        <v>1422219.5229673416</v>
      </c>
      <c r="Z578" s="134">
        <f t="shared" si="56"/>
        <v>1422859.7295767893</v>
      </c>
      <c r="AB578" s="127">
        <f t="shared" si="57"/>
        <v>0</v>
      </c>
      <c r="AC578" s="127">
        <f t="shared" si="58"/>
        <v>0</v>
      </c>
      <c r="AD578" s="127">
        <f t="shared" si="59"/>
        <v>1</v>
      </c>
    </row>
    <row r="579" spans="1:30" x14ac:dyDescent="0.25">
      <c r="A579">
        <v>574</v>
      </c>
      <c r="C579" s="11">
        <v>1.0899409651756287E-2</v>
      </c>
      <c r="D579" s="11">
        <v>3.2999813556671143E-2</v>
      </c>
      <c r="E579" s="11">
        <v>0.16608964461354278</v>
      </c>
      <c r="F579" s="11">
        <v>0.54921143954059426</v>
      </c>
      <c r="G579" s="11">
        <v>6.2282145023345947E-2</v>
      </c>
      <c r="H579" s="40">
        <v>5.0282005212328633E-4</v>
      </c>
      <c r="I579" s="40">
        <v>1.3132574333855853</v>
      </c>
      <c r="J579" s="59">
        <v>0</v>
      </c>
      <c r="K579" s="59">
        <v>3744.2333996295929</v>
      </c>
      <c r="L579" s="59">
        <v>0</v>
      </c>
      <c r="M579" s="11">
        <v>0.83801153302192688</v>
      </c>
      <c r="N579" s="11">
        <v>0.72575914859771729</v>
      </c>
      <c r="O579" s="11">
        <v>0.29269349575042725</v>
      </c>
      <c r="Q579" s="59">
        <v>14.588597024403118</v>
      </c>
      <c r="R579" s="78">
        <v>462.85979034170816</v>
      </c>
      <c r="S579" s="78">
        <v>14.63214946044679</v>
      </c>
      <c r="T579" s="78">
        <v>590.55264418950196</v>
      </c>
      <c r="U579" s="59">
        <v>14.6120141913506</v>
      </c>
      <c r="V579" s="78">
        <v>826.02461648278131</v>
      </c>
      <c r="X579" s="134">
        <f t="shared" si="54"/>
        <v>1458396.84264997</v>
      </c>
      <c r="Y579" s="134">
        <f t="shared" si="55"/>
        <v>1462624.3934004896</v>
      </c>
      <c r="Z579" s="134">
        <f t="shared" si="56"/>
        <v>1460375.3945185773</v>
      </c>
      <c r="AB579" s="127">
        <f t="shared" si="57"/>
        <v>0</v>
      </c>
      <c r="AC579" s="127">
        <f t="shared" si="58"/>
        <v>1</v>
      </c>
      <c r="AD579" s="127">
        <f t="shared" si="59"/>
        <v>0</v>
      </c>
    </row>
    <row r="580" spans="1:30" x14ac:dyDescent="0.25">
      <c r="A580">
        <v>575</v>
      </c>
      <c r="C580" s="11">
        <v>3.6085397005081177E-3</v>
      </c>
      <c r="D580" s="11">
        <v>2.3320883512496948E-2</v>
      </c>
      <c r="E580" s="11">
        <v>0.3156102729046677</v>
      </c>
      <c r="F580" s="11">
        <v>0.13684632234976385</v>
      </c>
      <c r="G580" s="11">
        <v>3.5316646099090576E-2</v>
      </c>
      <c r="H580" s="40">
        <v>4.4756269804053107E-4</v>
      </c>
      <c r="I580" s="40">
        <v>1.4618936262139604</v>
      </c>
      <c r="J580" s="59">
        <v>0</v>
      </c>
      <c r="K580" s="59">
        <v>2653.8223028182983</v>
      </c>
      <c r="L580" s="59">
        <v>0</v>
      </c>
      <c r="M580" s="11">
        <v>0.81694108247756958</v>
      </c>
      <c r="N580" s="11">
        <v>0.72296261787414551</v>
      </c>
      <c r="O580" s="11">
        <v>0.28851205110549927</v>
      </c>
      <c r="Q580" s="59">
        <v>14.318822014968431</v>
      </c>
      <c r="R580" s="78">
        <v>453.24450930637818</v>
      </c>
      <c r="S580" s="78">
        <v>14.359067612831156</v>
      </c>
      <c r="T580" s="78">
        <v>597.93522614087863</v>
      </c>
      <c r="U580" s="59">
        <v>14.369776686323075</v>
      </c>
      <c r="V580" s="78">
        <v>796.23742448024166</v>
      </c>
      <c r="X580" s="134">
        <f t="shared" si="54"/>
        <v>1431428.9569875367</v>
      </c>
      <c r="Y580" s="134">
        <f t="shared" si="55"/>
        <v>1435308.8260569749</v>
      </c>
      <c r="Z580" s="134">
        <f t="shared" si="56"/>
        <v>1436181.4312078273</v>
      </c>
      <c r="AB580" s="127">
        <f t="shared" si="57"/>
        <v>0</v>
      </c>
      <c r="AC580" s="127">
        <f t="shared" si="58"/>
        <v>0</v>
      </c>
      <c r="AD580" s="127">
        <f t="shared" si="59"/>
        <v>1</v>
      </c>
    </row>
    <row r="581" spans="1:30" x14ac:dyDescent="0.25">
      <c r="A581">
        <v>576</v>
      </c>
      <c r="C581" s="11">
        <v>1.8120959401130676E-2</v>
      </c>
      <c r="D581" s="11">
        <v>1.9222378730773926E-2</v>
      </c>
      <c r="E581" s="11">
        <v>0.25276448592397388</v>
      </c>
      <c r="F581" s="11">
        <v>0.23431770975955798</v>
      </c>
      <c r="G581" s="11">
        <v>2.3364812135696411E-2</v>
      </c>
      <c r="H581" s="40">
        <v>5.5449265787433765E-4</v>
      </c>
      <c r="I581" s="40">
        <v>1.358061779647795</v>
      </c>
      <c r="J581" s="59">
        <v>0</v>
      </c>
      <c r="K581" s="59">
        <v>4552.097525447607</v>
      </c>
      <c r="L581" s="59">
        <v>0</v>
      </c>
      <c r="M581" s="11">
        <v>0.86815902590751648</v>
      </c>
      <c r="N581" s="11">
        <v>0.7119673490524292</v>
      </c>
      <c r="O581" s="11">
        <v>0.26320981979370117</v>
      </c>
      <c r="Q581" s="59">
        <v>14.986611257079021</v>
      </c>
      <c r="R581" s="78">
        <v>479.9052010851434</v>
      </c>
      <c r="S581" s="78">
        <v>15.038901247796609</v>
      </c>
      <c r="T581" s="78">
        <v>600.97652765332259</v>
      </c>
      <c r="U581" s="59">
        <v>15.04021016108058</v>
      </c>
      <c r="V581" s="78">
        <v>808.3787587831871</v>
      </c>
      <c r="X581" s="134">
        <f t="shared" si="54"/>
        <v>1498181.2205068169</v>
      </c>
      <c r="Y581" s="134">
        <f t="shared" si="55"/>
        <v>1503289.1482520076</v>
      </c>
      <c r="Z581" s="134">
        <f t="shared" si="56"/>
        <v>1503212.6373492747</v>
      </c>
      <c r="AB581" s="127">
        <f t="shared" si="57"/>
        <v>0</v>
      </c>
      <c r="AC581" s="127">
        <f t="shared" si="58"/>
        <v>1</v>
      </c>
      <c r="AD581" s="127">
        <f t="shared" si="59"/>
        <v>0</v>
      </c>
    </row>
    <row r="582" spans="1:30" x14ac:dyDescent="0.25">
      <c r="A582">
        <v>577</v>
      </c>
      <c r="C582" s="11">
        <v>5.3030014038085938E-2</v>
      </c>
      <c r="D582" s="11">
        <v>1.5630051493644714E-2</v>
      </c>
      <c r="E582" s="11">
        <v>0.19957629042143452</v>
      </c>
      <c r="F582" s="11">
        <v>0.11450264375105858</v>
      </c>
      <c r="G582" s="11">
        <v>2.436944842338562E-2</v>
      </c>
      <c r="H582" s="40">
        <v>5.0692896853195952E-4</v>
      </c>
      <c r="I582" s="40">
        <v>1.4675956534218326</v>
      </c>
      <c r="J582" s="59">
        <v>0</v>
      </c>
      <c r="K582" s="59">
        <v>4339.2903171479702</v>
      </c>
      <c r="L582" s="59">
        <v>0</v>
      </c>
      <c r="M582" s="11">
        <v>0.85430216789245605</v>
      </c>
      <c r="N582" s="11">
        <v>0.76060503721237183</v>
      </c>
      <c r="O582" s="11">
        <v>0.30116939544677734</v>
      </c>
      <c r="Q582" s="59">
        <v>14.228184052375232</v>
      </c>
      <c r="R582" s="78">
        <v>493.76034012722124</v>
      </c>
      <c r="S582" s="78">
        <v>14.277260418493274</v>
      </c>
      <c r="T582" s="78">
        <v>599.25560091459511</v>
      </c>
      <c r="U582" s="59">
        <v>14.282593685815591</v>
      </c>
      <c r="V582" s="78">
        <v>799.64268251581859</v>
      </c>
      <c r="X582" s="134">
        <f t="shared" si="54"/>
        <v>1422324.644897396</v>
      </c>
      <c r="Y582" s="134">
        <f t="shared" si="55"/>
        <v>1427126.7862484127</v>
      </c>
      <c r="Z582" s="134">
        <f t="shared" si="56"/>
        <v>1427459.7258990433</v>
      </c>
      <c r="AB582" s="127">
        <f t="shared" si="57"/>
        <v>0</v>
      </c>
      <c r="AC582" s="127">
        <f t="shared" si="58"/>
        <v>0</v>
      </c>
      <c r="AD582" s="127">
        <f t="shared" si="59"/>
        <v>1</v>
      </c>
    </row>
    <row r="583" spans="1:30" x14ac:dyDescent="0.25">
      <c r="A583">
        <v>578</v>
      </c>
      <c r="C583" s="11">
        <v>1.9890248775482178E-2</v>
      </c>
      <c r="D583" s="11">
        <v>2.6519775390625E-2</v>
      </c>
      <c r="E583" s="11">
        <v>0.29349976738693134</v>
      </c>
      <c r="F583" s="11">
        <v>9.3561195739493841E-2</v>
      </c>
      <c r="G583" s="11">
        <v>5.5764496326446533E-2</v>
      </c>
      <c r="H583" s="40">
        <v>5.2641507008690494E-4</v>
      </c>
      <c r="I583" s="40">
        <v>1.3644494950542492</v>
      </c>
      <c r="J583" s="59">
        <v>0</v>
      </c>
      <c r="K583" s="59">
        <v>4888.1303519010544</v>
      </c>
      <c r="L583" s="59">
        <v>0</v>
      </c>
      <c r="M583" s="11">
        <v>0.85204231739044189</v>
      </c>
      <c r="N583" s="11">
        <v>0.7907872200012207</v>
      </c>
      <c r="O583" s="11">
        <v>0.30846542119979858</v>
      </c>
      <c r="Q583" s="59">
        <v>14.703194251462515</v>
      </c>
      <c r="R583" s="78">
        <v>499.10352695191466</v>
      </c>
      <c r="S583" s="78">
        <v>14.736624686224381</v>
      </c>
      <c r="T583" s="78">
        <v>610.1796765177595</v>
      </c>
      <c r="U583" s="59">
        <v>14.74624124106594</v>
      </c>
      <c r="V583" s="78">
        <v>797.96970027680743</v>
      </c>
      <c r="X583" s="134">
        <f t="shared" si="54"/>
        <v>1469820.3216192995</v>
      </c>
      <c r="Y583" s="134">
        <f t="shared" si="55"/>
        <v>1473052.2889459203</v>
      </c>
      <c r="Z583" s="134">
        <f t="shared" si="56"/>
        <v>1473826.154406317</v>
      </c>
      <c r="AB583" s="127">
        <f t="shared" si="57"/>
        <v>0</v>
      </c>
      <c r="AC583" s="127">
        <f t="shared" si="58"/>
        <v>0</v>
      </c>
      <c r="AD583" s="127">
        <f t="shared" si="59"/>
        <v>1</v>
      </c>
    </row>
    <row r="584" spans="1:30" x14ac:dyDescent="0.25">
      <c r="A584">
        <v>579</v>
      </c>
      <c r="C584" s="11">
        <v>8.2026422023773193E-3</v>
      </c>
      <c r="D584" s="11">
        <v>9.2633664608001709E-3</v>
      </c>
      <c r="E584" s="11">
        <v>0.35538008832626461</v>
      </c>
      <c r="F584" s="11">
        <v>0.24330567892458038</v>
      </c>
      <c r="G584" s="11">
        <v>4.4692635536193848E-2</v>
      </c>
      <c r="H584" s="40">
        <v>4.5718623335321332E-4</v>
      </c>
      <c r="I584" s="40">
        <v>1.4434195177817648</v>
      </c>
      <c r="J584" s="59">
        <v>0</v>
      </c>
      <c r="K584" s="59">
        <v>7680.9525489807129</v>
      </c>
      <c r="L584" s="59">
        <v>0</v>
      </c>
      <c r="M584" s="11">
        <v>0.87505346536636353</v>
      </c>
      <c r="N584" s="11">
        <v>0.68196487426757813</v>
      </c>
      <c r="O584" s="11">
        <v>0.24922990798950195</v>
      </c>
      <c r="Q584" s="59">
        <v>15.242102130858727</v>
      </c>
      <c r="R584" s="78">
        <v>568.04255301805392</v>
      </c>
      <c r="S584" s="78">
        <v>15.298223103204396</v>
      </c>
      <c r="T584" s="78">
        <v>641.55098334269974</v>
      </c>
      <c r="U584" s="59">
        <v>15.308129442215716</v>
      </c>
      <c r="V584" s="78">
        <v>830.90891817649367</v>
      </c>
      <c r="X584" s="134">
        <f t="shared" si="54"/>
        <v>1523642.1705328547</v>
      </c>
      <c r="Y584" s="134">
        <f t="shared" si="55"/>
        <v>1529180.7593370967</v>
      </c>
      <c r="Z584" s="134">
        <f t="shared" si="56"/>
        <v>1529982.035303395</v>
      </c>
      <c r="AB584" s="127">
        <f t="shared" si="57"/>
        <v>0</v>
      </c>
      <c r="AC584" s="127">
        <f t="shared" si="58"/>
        <v>0</v>
      </c>
      <c r="AD584" s="127">
        <f t="shared" si="59"/>
        <v>1</v>
      </c>
    </row>
    <row r="585" spans="1:30" x14ac:dyDescent="0.25">
      <c r="A585">
        <v>580</v>
      </c>
      <c r="C585" s="11">
        <v>3.7274360656738281E-2</v>
      </c>
      <c r="D585" s="11">
        <v>4.1160345077514648E-2</v>
      </c>
      <c r="E585" s="11">
        <v>0.14321696628793637</v>
      </c>
      <c r="F585" s="11">
        <v>0.19756199769146926</v>
      </c>
      <c r="G585" s="11">
        <v>3.2574295997619629E-2</v>
      </c>
      <c r="H585" s="40">
        <v>5.0792976041602828E-4</v>
      </c>
      <c r="I585" s="40">
        <v>1.4290791201253925</v>
      </c>
      <c r="J585" s="59">
        <v>0</v>
      </c>
      <c r="K585" s="59">
        <v>6547.8822216391563</v>
      </c>
      <c r="L585" s="59">
        <v>0</v>
      </c>
      <c r="M585" s="11">
        <v>0.89969956874847412</v>
      </c>
      <c r="N585" s="11">
        <v>0.73180997371673584</v>
      </c>
      <c r="O585" s="11">
        <v>0.36913871765136719</v>
      </c>
      <c r="Q585" s="59">
        <v>15.21311725102867</v>
      </c>
      <c r="R585" s="78">
        <v>536.85953318258828</v>
      </c>
      <c r="S585" s="78">
        <v>15.28694911277867</v>
      </c>
      <c r="T585" s="78">
        <v>599.79059100274128</v>
      </c>
      <c r="U585" s="59">
        <v>15.282186582270739</v>
      </c>
      <c r="V585" s="78">
        <v>816.6504400126222</v>
      </c>
      <c r="X585" s="134">
        <f t="shared" si="54"/>
        <v>1520774.8655696844</v>
      </c>
      <c r="Y585" s="134">
        <f t="shared" si="55"/>
        <v>1528095.1206868642</v>
      </c>
      <c r="Z585" s="134">
        <f t="shared" si="56"/>
        <v>1527402.0077870614</v>
      </c>
      <c r="AB585" s="127">
        <f t="shared" si="57"/>
        <v>0</v>
      </c>
      <c r="AC585" s="127">
        <f t="shared" si="58"/>
        <v>1</v>
      </c>
      <c r="AD585" s="127">
        <f t="shared" si="59"/>
        <v>0</v>
      </c>
    </row>
    <row r="586" spans="1:30" x14ac:dyDescent="0.25">
      <c r="A586">
        <v>581</v>
      </c>
      <c r="C586" s="11">
        <v>8.6234509944915771E-3</v>
      </c>
      <c r="D586" s="11">
        <v>2.2569417953491211E-2</v>
      </c>
      <c r="E586" s="11">
        <v>0.34513925204490831</v>
      </c>
      <c r="F586" s="11">
        <v>0.27741944340999114</v>
      </c>
      <c r="G586" s="11">
        <v>4.0699988603591919E-2</v>
      </c>
      <c r="H586" s="40">
        <v>5.4508628545051952E-4</v>
      </c>
      <c r="I586" s="40">
        <v>1.3888411069805084</v>
      </c>
      <c r="J586" s="59">
        <v>0</v>
      </c>
      <c r="K586" s="59">
        <v>5387.7057507634163</v>
      </c>
      <c r="L586" s="59">
        <v>0</v>
      </c>
      <c r="M586" s="11">
        <v>0.81209456920623779</v>
      </c>
      <c r="N586" s="11">
        <v>0.71183699369430542</v>
      </c>
      <c r="O586" s="11">
        <v>0.30074253678321838</v>
      </c>
      <c r="Q586" s="59">
        <v>14.161582041795032</v>
      </c>
      <c r="R586" s="78">
        <v>515.10084199120649</v>
      </c>
      <c r="S586" s="78">
        <v>14.200090114790294</v>
      </c>
      <c r="T586" s="78">
        <v>621.27213745781194</v>
      </c>
      <c r="U586" s="59">
        <v>14.204130263786521</v>
      </c>
      <c r="V586" s="78">
        <v>822.01789433393458</v>
      </c>
      <c r="X586" s="134">
        <f t="shared" si="54"/>
        <v>1415643.1033375121</v>
      </c>
      <c r="Y586" s="134">
        <f t="shared" si="55"/>
        <v>1419387.7393415717</v>
      </c>
      <c r="Z586" s="134">
        <f t="shared" si="56"/>
        <v>1419591.0084843182</v>
      </c>
      <c r="AB586" s="127">
        <f t="shared" si="57"/>
        <v>0</v>
      </c>
      <c r="AC586" s="127">
        <f t="shared" si="58"/>
        <v>0</v>
      </c>
      <c r="AD586" s="127">
        <f t="shared" si="59"/>
        <v>1</v>
      </c>
    </row>
    <row r="587" spans="1:30" x14ac:dyDescent="0.25">
      <c r="A587">
        <v>582</v>
      </c>
      <c r="C587" s="11">
        <v>1.7254292964935303E-2</v>
      </c>
      <c r="D587" s="11">
        <v>1.5295177698135376E-2</v>
      </c>
      <c r="E587" s="11">
        <v>0.2396071479363589</v>
      </c>
      <c r="F587" s="11">
        <v>0.16332639964067705</v>
      </c>
      <c r="G587" s="11">
        <v>3.2521188259124756E-2</v>
      </c>
      <c r="H587" s="40">
        <v>4.0272070688553906E-4</v>
      </c>
      <c r="I587" s="40">
        <v>1.5497789814870686</v>
      </c>
      <c r="J587" s="59">
        <v>0</v>
      </c>
      <c r="K587" s="59">
        <v>5842.4309827387333</v>
      </c>
      <c r="L587" s="59">
        <v>0</v>
      </c>
      <c r="M587" s="11">
        <v>0.87864029407501221</v>
      </c>
      <c r="N587" s="11">
        <v>0.69472980499267578</v>
      </c>
      <c r="O587" s="11">
        <v>0.27975869178771973</v>
      </c>
      <c r="Q587" s="59">
        <v>15.151750920717031</v>
      </c>
      <c r="R587" s="78">
        <v>541.39659597878597</v>
      </c>
      <c r="S587" s="78">
        <v>15.227614391033784</v>
      </c>
      <c r="T587" s="78">
        <v>614.92889517004676</v>
      </c>
      <c r="U587" s="59">
        <v>15.235390918091706</v>
      </c>
      <c r="V587" s="78">
        <v>812.53324125663789</v>
      </c>
      <c r="X587" s="134">
        <f t="shared" si="54"/>
        <v>1514633.6954757243</v>
      </c>
      <c r="Y587" s="134">
        <f t="shared" si="55"/>
        <v>1522146.5102082083</v>
      </c>
      <c r="Z587" s="134">
        <f t="shared" si="56"/>
        <v>1522726.5585679139</v>
      </c>
      <c r="AB587" s="127">
        <f t="shared" si="57"/>
        <v>0</v>
      </c>
      <c r="AC587" s="127">
        <f t="shared" si="58"/>
        <v>0</v>
      </c>
      <c r="AD587" s="127">
        <f t="shared" si="59"/>
        <v>1</v>
      </c>
    </row>
    <row r="588" spans="1:30" x14ac:dyDescent="0.25">
      <c r="A588">
        <v>583</v>
      </c>
      <c r="C588" s="11">
        <v>3.8069009780883789E-2</v>
      </c>
      <c r="D588" s="11">
        <v>1.1875033378601074E-2</v>
      </c>
      <c r="E588" s="11">
        <v>0.28057726083088452</v>
      </c>
      <c r="F588" s="11">
        <v>0.195475359193021</v>
      </c>
      <c r="G588" s="11">
        <v>4.0983259677886963E-2</v>
      </c>
      <c r="H588" s="40">
        <v>6.3413099183356331E-4</v>
      </c>
      <c r="I588" s="40">
        <v>1.4516496624422399</v>
      </c>
      <c r="J588" s="59">
        <v>0</v>
      </c>
      <c r="K588" s="59">
        <v>5593.0786766111851</v>
      </c>
      <c r="L588" s="59">
        <v>0</v>
      </c>
      <c r="M588" s="11">
        <v>0.83676224946975708</v>
      </c>
      <c r="N588" s="11">
        <v>0.72711807489395142</v>
      </c>
      <c r="O588" s="11">
        <v>0.25659024715423584</v>
      </c>
      <c r="Q588" s="59">
        <v>14.133524430821327</v>
      </c>
      <c r="R588" s="78">
        <v>564.02055799513073</v>
      </c>
      <c r="S588" s="78">
        <v>14.19347139655576</v>
      </c>
      <c r="T588" s="78">
        <v>627.56677125258739</v>
      </c>
      <c r="U588" s="59">
        <v>14.200731586643814</v>
      </c>
      <c r="V588" s="78">
        <v>821.9084344044918</v>
      </c>
      <c r="X588" s="134">
        <f t="shared" si="54"/>
        <v>1412788.4225241374</v>
      </c>
      <c r="Y588" s="134">
        <f t="shared" si="55"/>
        <v>1418719.5728843233</v>
      </c>
      <c r="Z588" s="134">
        <f t="shared" si="56"/>
        <v>1419251.2502299768</v>
      </c>
      <c r="AB588" s="127">
        <f t="shared" si="57"/>
        <v>0</v>
      </c>
      <c r="AC588" s="127">
        <f t="shared" si="58"/>
        <v>0</v>
      </c>
      <c r="AD588" s="127">
        <f t="shared" si="59"/>
        <v>1</v>
      </c>
    </row>
    <row r="589" spans="1:30" x14ac:dyDescent="0.25">
      <c r="A589">
        <v>584</v>
      </c>
      <c r="C589" s="11">
        <v>3.0536949634552002E-3</v>
      </c>
      <c r="D589" s="11">
        <v>3.3115088939666748E-2</v>
      </c>
      <c r="E589" s="11">
        <v>0.14214420109885637</v>
      </c>
      <c r="F589" s="11">
        <v>0.17345454190055931</v>
      </c>
      <c r="G589" s="11">
        <v>5.4597645998001099E-2</v>
      </c>
      <c r="H589" s="40">
        <v>5.2500717496620219E-4</v>
      </c>
      <c r="I589" s="40">
        <v>1.4042519146251697</v>
      </c>
      <c r="J589" s="59">
        <v>0</v>
      </c>
      <c r="K589" s="59">
        <v>5897.1252292394638</v>
      </c>
      <c r="L589" s="59">
        <v>0</v>
      </c>
      <c r="M589" s="11">
        <v>0.85955440998077393</v>
      </c>
      <c r="N589" s="11">
        <v>0.71878540515899658</v>
      </c>
      <c r="O589" s="11">
        <v>0.32462179660797119</v>
      </c>
      <c r="Q589" s="59">
        <v>15.057650072508254</v>
      </c>
      <c r="R589" s="78">
        <v>537.04096209621491</v>
      </c>
      <c r="S589" s="78">
        <v>15.12504945076461</v>
      </c>
      <c r="T589" s="78">
        <v>599.63780358837687</v>
      </c>
      <c r="U589" s="59">
        <v>15.122548598601941</v>
      </c>
      <c r="V589" s="78">
        <v>813.16994539950019</v>
      </c>
      <c r="X589" s="134">
        <f t="shared" si="54"/>
        <v>1505227.9662887291</v>
      </c>
      <c r="Y589" s="134">
        <f t="shared" si="55"/>
        <v>1511905.3072728727</v>
      </c>
      <c r="Z589" s="134">
        <f t="shared" si="56"/>
        <v>1511441.6899147946</v>
      </c>
      <c r="AB589" s="127">
        <f t="shared" si="57"/>
        <v>0</v>
      </c>
      <c r="AC589" s="127">
        <f t="shared" si="58"/>
        <v>1</v>
      </c>
      <c r="AD589" s="127">
        <f t="shared" si="59"/>
        <v>0</v>
      </c>
    </row>
    <row r="590" spans="1:30" x14ac:dyDescent="0.25">
      <c r="A590">
        <v>585</v>
      </c>
      <c r="C590" s="11">
        <v>1.4927148818969727E-2</v>
      </c>
      <c r="D590" s="11">
        <v>4.6238303184509277E-3</v>
      </c>
      <c r="E590" s="11">
        <v>0.11853821414794342</v>
      </c>
      <c r="F590" s="11">
        <v>0.25771432028592722</v>
      </c>
      <c r="G590" s="11">
        <v>3.5883039236068726E-2</v>
      </c>
      <c r="H590" s="40">
        <v>3.1614438625018052E-4</v>
      </c>
      <c r="I590" s="40">
        <v>1.4511828619866871</v>
      </c>
      <c r="J590" s="59">
        <v>0</v>
      </c>
      <c r="K590" s="59">
        <v>4847.5293442606926</v>
      </c>
      <c r="L590" s="59">
        <v>0</v>
      </c>
      <c r="M590" s="11">
        <v>0.88156139850616455</v>
      </c>
      <c r="N590" s="11">
        <v>0.7271198034286499</v>
      </c>
      <c r="O590" s="11">
        <v>0.27531546354293823</v>
      </c>
      <c r="Q590" s="59">
        <v>15.28743044935463</v>
      </c>
      <c r="R590" s="78">
        <v>468.22296861427856</v>
      </c>
      <c r="S590" s="78">
        <v>15.332887567996142</v>
      </c>
      <c r="T590" s="78">
        <v>587.89620500824992</v>
      </c>
      <c r="U590" s="59">
        <v>15.32563266994913</v>
      </c>
      <c r="V590" s="78">
        <v>807.30735360516246</v>
      </c>
      <c r="X590" s="134">
        <f t="shared" si="54"/>
        <v>1528274.8219668488</v>
      </c>
      <c r="Y590" s="134">
        <f t="shared" si="55"/>
        <v>1532700.860594606</v>
      </c>
      <c r="Z590" s="134">
        <f t="shared" si="56"/>
        <v>1531755.9596413078</v>
      </c>
      <c r="AB590" s="127">
        <f t="shared" si="57"/>
        <v>0</v>
      </c>
      <c r="AC590" s="127">
        <f t="shared" si="58"/>
        <v>1</v>
      </c>
      <c r="AD590" s="127">
        <f t="shared" si="59"/>
        <v>0</v>
      </c>
    </row>
    <row r="591" spans="1:30" x14ac:dyDescent="0.25">
      <c r="A591">
        <v>586</v>
      </c>
      <c r="C591" s="11">
        <v>3.6835372447967529E-2</v>
      </c>
      <c r="D591" s="11">
        <v>7.2749108076095581E-3</v>
      </c>
      <c r="E591" s="11">
        <v>0.28577951244142363</v>
      </c>
      <c r="F591" s="11">
        <v>0.13257175128604859</v>
      </c>
      <c r="G591" s="11">
        <v>1.9800245761871338E-2</v>
      </c>
      <c r="H591" s="40">
        <v>3.6601779988578592E-4</v>
      </c>
      <c r="I591" s="40">
        <v>1.5137358231417695</v>
      </c>
      <c r="J591" s="59">
        <v>0</v>
      </c>
      <c r="K591" s="59">
        <v>2843.0204838514328</v>
      </c>
      <c r="L591" s="59">
        <v>0</v>
      </c>
      <c r="M591" s="11">
        <v>0.84308180212974548</v>
      </c>
      <c r="N591" s="11">
        <v>0.76851409673690796</v>
      </c>
      <c r="O591" s="11">
        <v>0.2547982931137085</v>
      </c>
      <c r="Q591" s="59">
        <v>14.298107022851507</v>
      </c>
      <c r="R591" s="78">
        <v>447.80035466920742</v>
      </c>
      <c r="S591" s="78">
        <v>14.330176945178374</v>
      </c>
      <c r="T591" s="78">
        <v>594.57825241856926</v>
      </c>
      <c r="U591" s="59">
        <v>14.337188708359518</v>
      </c>
      <c r="V591" s="78">
        <v>795.24720342414969</v>
      </c>
      <c r="X591" s="134">
        <f t="shared" si="54"/>
        <v>1429362.9019304817</v>
      </c>
      <c r="Y591" s="134">
        <f t="shared" si="55"/>
        <v>1432423.1162654187</v>
      </c>
      <c r="Z591" s="134">
        <f t="shared" si="56"/>
        <v>1432923.6236325277</v>
      </c>
      <c r="AB591" s="127">
        <f t="shared" si="57"/>
        <v>0</v>
      </c>
      <c r="AC591" s="127">
        <f t="shared" si="58"/>
        <v>0</v>
      </c>
      <c r="AD591" s="127">
        <f t="shared" si="59"/>
        <v>1</v>
      </c>
    </row>
    <row r="592" spans="1:30" x14ac:dyDescent="0.25">
      <c r="A592">
        <v>587</v>
      </c>
      <c r="C592" s="11">
        <v>1.132926344871521E-2</v>
      </c>
      <c r="D592" s="11">
        <v>6.8616271018981934E-3</v>
      </c>
      <c r="E592" s="11">
        <v>0.26950811052290102</v>
      </c>
      <c r="F592" s="11">
        <v>0.21314148716639761</v>
      </c>
      <c r="G592" s="11">
        <v>2.6607334613800049E-2</v>
      </c>
      <c r="H592" s="40">
        <v>4.5403182601586815E-4</v>
      </c>
      <c r="I592" s="40">
        <v>1.4404689786570353</v>
      </c>
      <c r="J592" s="59">
        <v>0</v>
      </c>
      <c r="K592" s="59">
        <v>3396.1981534957886</v>
      </c>
      <c r="L592" s="59">
        <v>0</v>
      </c>
      <c r="M592" s="11">
        <v>0.8630521297454834</v>
      </c>
      <c r="N592" s="11">
        <v>0.78009235858917236</v>
      </c>
      <c r="O592" s="11">
        <v>0.28717958927154541</v>
      </c>
      <c r="Q592" s="59">
        <v>15.022907430941283</v>
      </c>
      <c r="R592" s="78">
        <v>462.65126433850764</v>
      </c>
      <c r="S592" s="78">
        <v>15.058479483520106</v>
      </c>
      <c r="T592" s="78">
        <v>597.74003374023346</v>
      </c>
      <c r="U592" s="59">
        <v>15.061269402886461</v>
      </c>
      <c r="V592" s="78">
        <v>802.83533222790322</v>
      </c>
      <c r="X592" s="134">
        <f t="shared" si="54"/>
        <v>1501828.0918297898</v>
      </c>
      <c r="Y592" s="134">
        <f t="shared" si="55"/>
        <v>1505250.2083182705</v>
      </c>
      <c r="Z592" s="134">
        <f t="shared" si="56"/>
        <v>1505324.1049564183</v>
      </c>
      <c r="AB592" s="127">
        <f t="shared" si="57"/>
        <v>0</v>
      </c>
      <c r="AC592" s="127">
        <f t="shared" si="58"/>
        <v>0</v>
      </c>
      <c r="AD592" s="127">
        <f t="shared" si="59"/>
        <v>1</v>
      </c>
    </row>
    <row r="593" spans="1:30" x14ac:dyDescent="0.25">
      <c r="A593">
        <v>588</v>
      </c>
      <c r="C593" s="11">
        <v>2.7220338582992554E-2</v>
      </c>
      <c r="D593" s="11">
        <v>2.286916971206665E-2</v>
      </c>
      <c r="E593" s="11">
        <v>0.37519504153734862</v>
      </c>
      <c r="F593" s="11">
        <v>0.23367221815518149</v>
      </c>
      <c r="G593" s="11">
        <v>3.2628536224365234E-2</v>
      </c>
      <c r="H593" s="40">
        <v>5.1381619950514174E-4</v>
      </c>
      <c r="I593" s="40">
        <v>1.4034434980917683</v>
      </c>
      <c r="J593" s="59">
        <v>0</v>
      </c>
      <c r="K593" s="59">
        <v>5333.4957920014858</v>
      </c>
      <c r="L593" s="59">
        <v>0</v>
      </c>
      <c r="M593" s="11">
        <v>0.86666250228881836</v>
      </c>
      <c r="N593" s="11">
        <v>0.73834282159805298</v>
      </c>
      <c r="O593" s="11">
        <v>0.28681761026382446</v>
      </c>
      <c r="Q593" s="59">
        <v>14.824292401556628</v>
      </c>
      <c r="R593" s="78">
        <v>504.96368783827052</v>
      </c>
      <c r="S593" s="78">
        <v>14.866070712341662</v>
      </c>
      <c r="T593" s="78">
        <v>621.0847852825483</v>
      </c>
      <c r="U593" s="59">
        <v>14.875678655686393</v>
      </c>
      <c r="V593" s="78">
        <v>814.27499625991379</v>
      </c>
      <c r="X593" s="134">
        <f t="shared" si="54"/>
        <v>1481924.2764678246</v>
      </c>
      <c r="Y593" s="134">
        <f t="shared" si="55"/>
        <v>1485985.9864488835</v>
      </c>
      <c r="Z593" s="134">
        <f t="shared" si="56"/>
        <v>1486753.5905723793</v>
      </c>
      <c r="AB593" s="127">
        <f t="shared" si="57"/>
        <v>0</v>
      </c>
      <c r="AC593" s="127">
        <f t="shared" si="58"/>
        <v>0</v>
      </c>
      <c r="AD593" s="127">
        <f t="shared" si="59"/>
        <v>1</v>
      </c>
    </row>
    <row r="594" spans="1:30" x14ac:dyDescent="0.25">
      <c r="A594">
        <v>589</v>
      </c>
      <c r="C594" s="11">
        <v>6.2263011932373047E-2</v>
      </c>
      <c r="D594" s="11">
        <v>1.9478738307952881E-2</v>
      </c>
      <c r="E594" s="11">
        <v>0.2207599404336677</v>
      </c>
      <c r="F594" s="11">
        <v>0.21501948117529715</v>
      </c>
      <c r="G594" s="11">
        <v>2.4261981248855591E-2</v>
      </c>
      <c r="H594" s="40">
        <v>6.2505783143403538E-4</v>
      </c>
      <c r="I594" s="40">
        <v>1.3664546305631453</v>
      </c>
      <c r="J594" s="59">
        <v>0</v>
      </c>
      <c r="K594" s="59">
        <v>3718.2564847171307</v>
      </c>
      <c r="L594" s="59">
        <v>0</v>
      </c>
      <c r="M594" s="11">
        <v>0.90340113639831543</v>
      </c>
      <c r="N594" s="11">
        <v>0.7006908655166626</v>
      </c>
      <c r="O594" s="11">
        <v>0.29244077205657959</v>
      </c>
      <c r="Q594" s="59">
        <v>14.871593525055516</v>
      </c>
      <c r="R594" s="78">
        <v>471.63111386411106</v>
      </c>
      <c r="S594" s="78">
        <v>14.943071805880868</v>
      </c>
      <c r="T594" s="78">
        <v>596.38865205848367</v>
      </c>
      <c r="U594" s="59">
        <v>14.943607013192896</v>
      </c>
      <c r="V594" s="78">
        <v>804.93831552861889</v>
      </c>
      <c r="X594" s="134">
        <f t="shared" si="54"/>
        <v>1486687.7213916876</v>
      </c>
      <c r="Y594" s="134">
        <f t="shared" si="55"/>
        <v>1493710.7919360283</v>
      </c>
      <c r="Z594" s="134">
        <f t="shared" si="56"/>
        <v>1493555.7630037609</v>
      </c>
      <c r="AB594" s="127">
        <f t="shared" si="57"/>
        <v>0</v>
      </c>
      <c r="AC594" s="127">
        <f t="shared" si="58"/>
        <v>1</v>
      </c>
      <c r="AD594" s="127">
        <f t="shared" si="59"/>
        <v>0</v>
      </c>
    </row>
    <row r="595" spans="1:30" x14ac:dyDescent="0.25">
      <c r="A595">
        <v>590</v>
      </c>
      <c r="C595" s="11">
        <v>2.5584489107131958E-2</v>
      </c>
      <c r="D595" s="11">
        <v>1.0812252759933472E-2</v>
      </c>
      <c r="E595" s="11">
        <v>0.23692556870674247</v>
      </c>
      <c r="F595" s="11">
        <v>0.15631017061963104</v>
      </c>
      <c r="G595" s="11">
        <v>6.2078893184661865E-2</v>
      </c>
      <c r="H595" s="40">
        <v>4.7937050498953192E-4</v>
      </c>
      <c r="I595" s="40">
        <v>1.3438811136574957</v>
      </c>
      <c r="J595" s="59">
        <v>0</v>
      </c>
      <c r="K595" s="59">
        <v>4848.3419232070446</v>
      </c>
      <c r="L595" s="59">
        <v>0</v>
      </c>
      <c r="M595" s="11">
        <v>0.82546579837799072</v>
      </c>
      <c r="N595" s="11">
        <v>0.70869153738021851</v>
      </c>
      <c r="O595" s="11">
        <v>0.29313671588897705</v>
      </c>
      <c r="Q595" s="59">
        <v>14.158761787298587</v>
      </c>
      <c r="R595" s="78">
        <v>486.24895940025726</v>
      </c>
      <c r="S595" s="78">
        <v>14.195926771056369</v>
      </c>
      <c r="T595" s="78">
        <v>601.07028800220962</v>
      </c>
      <c r="U595" s="59">
        <v>14.199902969606951</v>
      </c>
      <c r="V595" s="78">
        <v>802.57580892153169</v>
      </c>
      <c r="X595" s="134">
        <f t="shared" si="54"/>
        <v>1415389.9297704585</v>
      </c>
      <c r="Y595" s="134">
        <f t="shared" si="55"/>
        <v>1418991.6068176345</v>
      </c>
      <c r="Z595" s="134">
        <f t="shared" si="56"/>
        <v>1419187.7211517736</v>
      </c>
      <c r="AB595" s="127">
        <f t="shared" si="57"/>
        <v>0</v>
      </c>
      <c r="AC595" s="127">
        <f t="shared" si="58"/>
        <v>0</v>
      </c>
      <c r="AD595" s="127">
        <f t="shared" si="59"/>
        <v>1</v>
      </c>
    </row>
    <row r="596" spans="1:30" x14ac:dyDescent="0.25">
      <c r="A596">
        <v>591</v>
      </c>
      <c r="C596" s="11">
        <v>1.8580526113510132E-2</v>
      </c>
      <c r="D596" s="11">
        <v>5.1600635051727295E-3</v>
      </c>
      <c r="E596" s="11">
        <v>0.22263298816509769</v>
      </c>
      <c r="F596" s="11">
        <v>0.1943250668906388</v>
      </c>
      <c r="G596" s="11">
        <v>5.1730453968048096E-2</v>
      </c>
      <c r="H596" s="40">
        <v>4.9863234871209896E-4</v>
      </c>
      <c r="I596" s="40">
        <v>1.4221293615308817</v>
      </c>
      <c r="J596" s="59">
        <v>0</v>
      </c>
      <c r="K596" s="59">
        <v>5625.2442300319672</v>
      </c>
      <c r="L596" s="59">
        <v>0</v>
      </c>
      <c r="M596" s="11">
        <v>0.87223446369171143</v>
      </c>
      <c r="N596" s="11">
        <v>0.76184546947479248</v>
      </c>
      <c r="O596" s="11">
        <v>0.25699758529663086</v>
      </c>
      <c r="Q596" s="59">
        <v>15.056894576280408</v>
      </c>
      <c r="R596" s="78">
        <v>527.92928916467292</v>
      </c>
      <c r="S596" s="78">
        <v>15.106119736153092</v>
      </c>
      <c r="T596" s="78">
        <v>609.22701127203584</v>
      </c>
      <c r="U596" s="59">
        <v>15.107942667188883</v>
      </c>
      <c r="V596" s="78">
        <v>814.3968301589025</v>
      </c>
      <c r="X596" s="134">
        <f t="shared" ref="X596:X659" si="60">Q596*cRatio-R596</f>
        <v>1505161.5283388761</v>
      </c>
      <c r="Y596" s="134">
        <f t="shared" ref="Y596:Y659" si="61">S596*cRatio-T596</f>
        <v>1510002.7466040372</v>
      </c>
      <c r="Z596" s="134">
        <f t="shared" ref="Z596:Z659" si="62">U596*cRatio-V596</f>
        <v>1509979.8698887294</v>
      </c>
      <c r="AB596" s="127">
        <f t="shared" ref="AB596:AB659" si="63">IF(X596=MAX($X596:$Z596),1,0)</f>
        <v>0</v>
      </c>
      <c r="AC596" s="127">
        <f t="shared" ref="AC596:AC659" si="64">IF(Y596=MAX($X596:$Z596),1,0)</f>
        <v>1</v>
      </c>
      <c r="AD596" s="127">
        <f t="shared" ref="AD596:AD659" si="65">IF(Z596=MAX($X596:$Z596),1,0)</f>
        <v>0</v>
      </c>
    </row>
    <row r="597" spans="1:30" x14ac:dyDescent="0.25">
      <c r="A597">
        <v>592</v>
      </c>
      <c r="C597" s="11">
        <v>5.5231571197509766E-2</v>
      </c>
      <c r="D597" s="11">
        <v>2.9635250568389893E-2</v>
      </c>
      <c r="E597" s="11">
        <v>0.718736796846561</v>
      </c>
      <c r="F597" s="11">
        <v>0.11503484777893515</v>
      </c>
      <c r="G597" s="11">
        <v>4.2779803276062012E-2</v>
      </c>
      <c r="H597" s="40">
        <v>4.2759627912219625E-4</v>
      </c>
      <c r="I597" s="40">
        <v>1.421134548609402</v>
      </c>
      <c r="J597" s="59">
        <v>0</v>
      </c>
      <c r="K597" s="59">
        <v>6101.168692111969</v>
      </c>
      <c r="L597" s="59">
        <v>0</v>
      </c>
      <c r="M597" s="11">
        <v>0.88436418771743774</v>
      </c>
      <c r="N597" s="11">
        <v>0.7398146390914917</v>
      </c>
      <c r="O597" s="11">
        <v>0.30021002888679504</v>
      </c>
      <c r="Q597" s="59">
        <v>14.693479623094555</v>
      </c>
      <c r="R597" s="78">
        <v>507.87466988814867</v>
      </c>
      <c r="S597" s="78">
        <v>14.71147279399694</v>
      </c>
      <c r="T597" s="78">
        <v>661.19489131759508</v>
      </c>
      <c r="U597" s="59">
        <v>14.750693493064809</v>
      </c>
      <c r="V597" s="78">
        <v>801.27679299512067</v>
      </c>
      <c r="X597" s="134">
        <f t="shared" si="60"/>
        <v>1468840.0876395674</v>
      </c>
      <c r="Y597" s="134">
        <f t="shared" si="61"/>
        <v>1470486.0845083764</v>
      </c>
      <c r="Z597" s="134">
        <f t="shared" si="62"/>
        <v>1474268.0725134858</v>
      </c>
      <c r="AB597" s="127">
        <f t="shared" si="63"/>
        <v>0</v>
      </c>
      <c r="AC597" s="127">
        <f t="shared" si="64"/>
        <v>0</v>
      </c>
      <c r="AD597" s="127">
        <f t="shared" si="65"/>
        <v>1</v>
      </c>
    </row>
    <row r="598" spans="1:30" x14ac:dyDescent="0.25">
      <c r="A598">
        <v>593</v>
      </c>
      <c r="C598" s="11">
        <v>1.182122528553009E-2</v>
      </c>
      <c r="D598" s="11">
        <v>2.247890830039978E-2</v>
      </c>
      <c r="E598" s="11">
        <v>0.42088288905682586</v>
      </c>
      <c r="F598" s="11">
        <v>0.18324930343421214</v>
      </c>
      <c r="G598" s="11">
        <v>2.6338636875152588E-2</v>
      </c>
      <c r="H598" s="40">
        <v>5.2560080787456877E-4</v>
      </c>
      <c r="I598" s="40">
        <v>1.4255458669515233</v>
      </c>
      <c r="J598" s="59">
        <v>0</v>
      </c>
      <c r="K598" s="59">
        <v>5023.726262152195</v>
      </c>
      <c r="L598" s="59">
        <v>0</v>
      </c>
      <c r="M598" s="11">
        <v>0.86159321665763855</v>
      </c>
      <c r="N598" s="11">
        <v>0.75172871351242065</v>
      </c>
      <c r="O598" s="11">
        <v>0.24744606018066406</v>
      </c>
      <c r="Q598" s="59">
        <v>14.969852536851468</v>
      </c>
      <c r="R598" s="78">
        <v>505.76424871814834</v>
      </c>
      <c r="S598" s="78">
        <v>15.009471270164223</v>
      </c>
      <c r="T598" s="78">
        <v>626.56550219744713</v>
      </c>
      <c r="U598" s="59">
        <v>15.026026463681141</v>
      </c>
      <c r="V598" s="78">
        <v>808.8049811260845</v>
      </c>
      <c r="X598" s="134">
        <f t="shared" si="60"/>
        <v>1496479.4894364288</v>
      </c>
      <c r="Y598" s="134">
        <f t="shared" si="61"/>
        <v>1500320.5615142249</v>
      </c>
      <c r="Z598" s="134">
        <f t="shared" si="62"/>
        <v>1501793.8413869881</v>
      </c>
      <c r="AB598" s="127">
        <f t="shared" si="63"/>
        <v>0</v>
      </c>
      <c r="AC598" s="127">
        <f t="shared" si="64"/>
        <v>0</v>
      </c>
      <c r="AD598" s="127">
        <f t="shared" si="65"/>
        <v>1</v>
      </c>
    </row>
    <row r="599" spans="1:30" x14ac:dyDescent="0.25">
      <c r="A599">
        <v>594</v>
      </c>
      <c r="C599" s="11">
        <v>5.8095932006835938E-2</v>
      </c>
      <c r="D599" s="11">
        <v>2.1182060241699219E-2</v>
      </c>
      <c r="E599" s="11">
        <v>0.11661693546847814</v>
      </c>
      <c r="F599" s="11">
        <v>0.34407172372887956</v>
      </c>
      <c r="G599" s="11">
        <v>2.2889763116836548E-2</v>
      </c>
      <c r="H599" s="40">
        <v>4.426579791743403E-4</v>
      </c>
      <c r="I599" s="40">
        <v>1.4714116307326999</v>
      </c>
      <c r="J599" s="59">
        <v>0</v>
      </c>
      <c r="K599" s="59">
        <v>6538.0800515413284</v>
      </c>
      <c r="L599" s="59">
        <v>0</v>
      </c>
      <c r="M599" s="11">
        <v>0.83614307641983032</v>
      </c>
      <c r="N599" s="11">
        <v>0.83718299865722656</v>
      </c>
      <c r="O599" s="11">
        <v>0.29481938481330872</v>
      </c>
      <c r="Q599" s="59">
        <v>13.883921976182792</v>
      </c>
      <c r="R599" s="78">
        <v>525.11541646026524</v>
      </c>
      <c r="S599" s="78">
        <v>13.907987062562889</v>
      </c>
      <c r="T599" s="78">
        <v>594.55063604499981</v>
      </c>
      <c r="U599" s="59">
        <v>13.901689895510767</v>
      </c>
      <c r="V599" s="78">
        <v>833.68117865382419</v>
      </c>
      <c r="X599" s="134">
        <f t="shared" si="60"/>
        <v>1387867.0822018189</v>
      </c>
      <c r="Y599" s="134">
        <f t="shared" si="61"/>
        <v>1390204.1556202439</v>
      </c>
      <c r="Z599" s="134">
        <f t="shared" si="62"/>
        <v>1389335.3083724228</v>
      </c>
      <c r="AB599" s="127">
        <f t="shared" si="63"/>
        <v>0</v>
      </c>
      <c r="AC599" s="127">
        <f t="shared" si="64"/>
        <v>1</v>
      </c>
      <c r="AD599" s="127">
        <f t="shared" si="65"/>
        <v>0</v>
      </c>
    </row>
    <row r="600" spans="1:30" x14ac:dyDescent="0.25">
      <c r="A600">
        <v>595</v>
      </c>
      <c r="C600" s="11">
        <v>1.5628010034561157E-2</v>
      </c>
      <c r="D600" s="11">
        <v>1.580461859703064E-2</v>
      </c>
      <c r="E600" s="11">
        <v>0.2039957543051043</v>
      </c>
      <c r="F600" s="11">
        <v>0.30487911617166685</v>
      </c>
      <c r="G600" s="11">
        <v>3.4784108400344849E-2</v>
      </c>
      <c r="H600" s="40">
        <v>5.0239953830892505E-4</v>
      </c>
      <c r="I600" s="40">
        <v>1.4500203502667552</v>
      </c>
      <c r="J600" s="59">
        <v>0</v>
      </c>
      <c r="K600" s="59">
        <v>5381.0141980648041</v>
      </c>
      <c r="L600" s="59">
        <v>0</v>
      </c>
      <c r="M600" s="11">
        <v>0.8547092080116272</v>
      </c>
      <c r="N600" s="11">
        <v>0.77715229988098145</v>
      </c>
      <c r="O600" s="11">
        <v>0.30444496870040894</v>
      </c>
      <c r="Q600" s="59">
        <v>14.804508198272655</v>
      </c>
      <c r="R600" s="78">
        <v>522.345943808573</v>
      </c>
      <c r="S600" s="78">
        <v>14.849482975799695</v>
      </c>
      <c r="T600" s="78">
        <v>605.59853697656752</v>
      </c>
      <c r="U600" s="59">
        <v>14.843689348387601</v>
      </c>
      <c r="V600" s="78">
        <v>827.67257891028373</v>
      </c>
      <c r="X600" s="134">
        <f t="shared" si="60"/>
        <v>1479928.473883457</v>
      </c>
      <c r="Y600" s="134">
        <f t="shared" si="61"/>
        <v>1484342.6990429929</v>
      </c>
      <c r="Z600" s="134">
        <f t="shared" si="62"/>
        <v>1483541.2622598498</v>
      </c>
      <c r="AB600" s="127">
        <f t="shared" si="63"/>
        <v>0</v>
      </c>
      <c r="AC600" s="127">
        <f t="shared" si="64"/>
        <v>1</v>
      </c>
      <c r="AD600" s="127">
        <f t="shared" si="65"/>
        <v>0</v>
      </c>
    </row>
    <row r="601" spans="1:30" x14ac:dyDescent="0.25">
      <c r="A601">
        <v>596</v>
      </c>
      <c r="C601" s="11">
        <v>1.8598094582557678E-2</v>
      </c>
      <c r="D601" s="11">
        <v>1.9677102565765381E-2</v>
      </c>
      <c r="E601" s="11">
        <v>0.19370608204469172</v>
      </c>
      <c r="F601" s="11">
        <v>0.29740675606079497</v>
      </c>
      <c r="G601" s="11">
        <v>4.1080474853515625E-2</v>
      </c>
      <c r="H601" s="40">
        <v>4.9482006512009701E-4</v>
      </c>
      <c r="I601" s="40">
        <v>1.4935887023716534</v>
      </c>
      <c r="J601" s="59">
        <v>0</v>
      </c>
      <c r="K601" s="59">
        <v>5788.6913418769836</v>
      </c>
      <c r="L601" s="59">
        <v>0</v>
      </c>
      <c r="M601" s="11">
        <v>0.85630038380622864</v>
      </c>
      <c r="N601" s="11">
        <v>0.81360220909118652</v>
      </c>
      <c r="O601" s="11">
        <v>0.2784537672996521</v>
      </c>
      <c r="Q601" s="59">
        <v>14.788752332478072</v>
      </c>
      <c r="R601" s="78">
        <v>552.54041399482321</v>
      </c>
      <c r="S601" s="78">
        <v>14.833078182806497</v>
      </c>
      <c r="T601" s="78">
        <v>610.27449197829458</v>
      </c>
      <c r="U601" s="59">
        <v>14.827265621866987</v>
      </c>
      <c r="V601" s="78">
        <v>835.90421618003222</v>
      </c>
      <c r="X601" s="134">
        <f t="shared" si="60"/>
        <v>1478322.6928338124</v>
      </c>
      <c r="Y601" s="134">
        <f t="shared" si="61"/>
        <v>1482697.5437886715</v>
      </c>
      <c r="Z601" s="134">
        <f t="shared" si="62"/>
        <v>1481890.6579705186</v>
      </c>
      <c r="AB601" s="127">
        <f t="shared" si="63"/>
        <v>0</v>
      </c>
      <c r="AC601" s="127">
        <f t="shared" si="64"/>
        <v>1</v>
      </c>
      <c r="AD601" s="127">
        <f t="shared" si="65"/>
        <v>0</v>
      </c>
    </row>
    <row r="602" spans="1:30" x14ac:dyDescent="0.25">
      <c r="A602">
        <v>597</v>
      </c>
      <c r="C602" s="11">
        <v>9.158015251159668E-3</v>
      </c>
      <c r="D602" s="11">
        <v>4.1910231113433838E-2</v>
      </c>
      <c r="E602" s="11">
        <v>0.3474011293948121</v>
      </c>
      <c r="F602" s="11">
        <v>0.29210754205992262</v>
      </c>
      <c r="G602" s="11">
        <v>6.1353445053100586E-2</v>
      </c>
      <c r="H602" s="40">
        <v>5.004818281548934E-4</v>
      </c>
      <c r="I602" s="40">
        <v>1.5104762938863627</v>
      </c>
      <c r="J602" s="59">
        <v>0</v>
      </c>
      <c r="K602" s="59">
        <v>8449.7407078742981</v>
      </c>
      <c r="L602" s="59">
        <v>0</v>
      </c>
      <c r="M602" s="11">
        <v>0.88338947296142578</v>
      </c>
      <c r="N602" s="11">
        <v>0.72984504699707031</v>
      </c>
      <c r="O602" s="11">
        <v>0.34084486961364746</v>
      </c>
      <c r="Q602" s="59">
        <v>15.348259640637986</v>
      </c>
      <c r="R602" s="78">
        <v>664.14578732686527</v>
      </c>
      <c r="S602" s="78">
        <v>15.4210740840968</v>
      </c>
      <c r="T602" s="78">
        <v>674.31702667461229</v>
      </c>
      <c r="U602" s="59">
        <v>15.427364599502667</v>
      </c>
      <c r="V602" s="78">
        <v>868.25231175902047</v>
      </c>
      <c r="X602" s="134">
        <f t="shared" si="60"/>
        <v>1534161.8182764717</v>
      </c>
      <c r="Y602" s="134">
        <f t="shared" si="61"/>
        <v>1541433.0913830055</v>
      </c>
      <c r="Z602" s="134">
        <f t="shared" si="62"/>
        <v>1541868.2076385077</v>
      </c>
      <c r="AB602" s="127">
        <f t="shared" si="63"/>
        <v>0</v>
      </c>
      <c r="AC602" s="127">
        <f t="shared" si="64"/>
        <v>0</v>
      </c>
      <c r="AD602" s="127">
        <f t="shared" si="65"/>
        <v>1</v>
      </c>
    </row>
    <row r="603" spans="1:30" x14ac:dyDescent="0.25">
      <c r="A603">
        <v>598</v>
      </c>
      <c r="C603" s="11">
        <v>2.598339319229126E-2</v>
      </c>
      <c r="D603" s="11">
        <v>2.9449641704559326E-2</v>
      </c>
      <c r="E603" s="11">
        <v>0.16864487628986613</v>
      </c>
      <c r="F603" s="11">
        <v>0.15936913676232062</v>
      </c>
      <c r="G603" s="11">
        <v>1.8875926733016968E-2</v>
      </c>
      <c r="H603" s="40">
        <v>3.1981180176523778E-4</v>
      </c>
      <c r="I603" s="40">
        <v>1.5823023464475572</v>
      </c>
      <c r="J603" s="59">
        <v>0</v>
      </c>
      <c r="K603" s="59">
        <v>3949.1616189479828</v>
      </c>
      <c r="L603" s="59">
        <v>0</v>
      </c>
      <c r="M603" s="11">
        <v>0.89344239234924316</v>
      </c>
      <c r="N603" s="11">
        <v>0.78687459230422974</v>
      </c>
      <c r="O603" s="11">
        <v>0.25720739364624023</v>
      </c>
      <c r="Q603" s="59">
        <v>15.303866342173846</v>
      </c>
      <c r="R603" s="78">
        <v>474.05438636362902</v>
      </c>
      <c r="S603" s="78">
        <v>15.359728951228876</v>
      </c>
      <c r="T603" s="78">
        <v>592.73272240926985</v>
      </c>
      <c r="U603" s="59">
        <v>15.360364865292988</v>
      </c>
      <c r="V603" s="78">
        <v>800.9798867468561</v>
      </c>
      <c r="X603" s="134">
        <f t="shared" si="60"/>
        <v>1529912.5798310209</v>
      </c>
      <c r="Y603" s="134">
        <f t="shared" si="61"/>
        <v>1535380.1624004783</v>
      </c>
      <c r="Z603" s="134">
        <f t="shared" si="62"/>
        <v>1535235.5066425519</v>
      </c>
      <c r="AB603" s="127">
        <f t="shared" si="63"/>
        <v>0</v>
      </c>
      <c r="AC603" s="127">
        <f t="shared" si="64"/>
        <v>1</v>
      </c>
      <c r="AD603" s="127">
        <f t="shared" si="65"/>
        <v>0</v>
      </c>
    </row>
    <row r="604" spans="1:30" x14ac:dyDescent="0.25">
      <c r="A604">
        <v>599</v>
      </c>
      <c r="C604" s="11">
        <v>2.1733641624450684E-3</v>
      </c>
      <c r="D604" s="11">
        <v>7.4305832386016846E-3</v>
      </c>
      <c r="E604" s="11">
        <v>0.1673003196591312</v>
      </c>
      <c r="F604" s="11">
        <v>7.7847956686490347E-2</v>
      </c>
      <c r="G604" s="11">
        <v>3.4232258796691895E-2</v>
      </c>
      <c r="H604" s="40">
        <v>4.1309799927190862E-4</v>
      </c>
      <c r="I604" s="40">
        <v>1.517930994866356</v>
      </c>
      <c r="J604" s="59">
        <v>0</v>
      </c>
      <c r="K604" s="59">
        <v>8225.7017493247986</v>
      </c>
      <c r="L604" s="59">
        <v>0</v>
      </c>
      <c r="M604" s="11">
        <v>0.83236122131347656</v>
      </c>
      <c r="N604" s="11">
        <v>0.80980527400970459</v>
      </c>
      <c r="O604" s="11">
        <v>0.23995852470397949</v>
      </c>
      <c r="Q604" s="59">
        <v>14.631690796104747</v>
      </c>
      <c r="R604" s="78">
        <v>593.30346190630928</v>
      </c>
      <c r="S604" s="78">
        <v>14.663882074541084</v>
      </c>
      <c r="T604" s="78">
        <v>612.92310452747097</v>
      </c>
      <c r="U604" s="59">
        <v>14.667425693162896</v>
      </c>
      <c r="V604" s="78">
        <v>803.81455078664408</v>
      </c>
      <c r="X604" s="134">
        <f t="shared" si="60"/>
        <v>1462575.7761485684</v>
      </c>
      <c r="Y604" s="134">
        <f t="shared" si="61"/>
        <v>1465775.284349581</v>
      </c>
      <c r="Z604" s="134">
        <f t="shared" si="62"/>
        <v>1465938.7547655029</v>
      </c>
      <c r="AB604" s="127">
        <f t="shared" si="63"/>
        <v>0</v>
      </c>
      <c r="AC604" s="127">
        <f t="shared" si="64"/>
        <v>0</v>
      </c>
      <c r="AD604" s="127">
        <f t="shared" si="65"/>
        <v>1</v>
      </c>
    </row>
    <row r="605" spans="1:30" x14ac:dyDescent="0.25">
      <c r="A605">
        <v>600</v>
      </c>
      <c r="C605" s="11">
        <v>3.5009801387786865E-2</v>
      </c>
      <c r="D605" s="11">
        <v>7.42645263671875E-2</v>
      </c>
      <c r="E605" s="11">
        <v>0.18260148058535866</v>
      </c>
      <c r="F605" s="11">
        <v>0.33624833617399846</v>
      </c>
      <c r="G605" s="11">
        <v>8.1552267074584961E-2</v>
      </c>
      <c r="H605" s="40">
        <v>4.2344945198606517E-4</v>
      </c>
      <c r="I605" s="40">
        <v>1.4419032014970643</v>
      </c>
      <c r="J605" s="59">
        <v>0</v>
      </c>
      <c r="K605" s="59">
        <v>3929.0427230298519</v>
      </c>
      <c r="L605" s="59">
        <v>0</v>
      </c>
      <c r="M605" s="11">
        <v>0.88122594356536865</v>
      </c>
      <c r="N605" s="11">
        <v>0.76604259014129639</v>
      </c>
      <c r="O605" s="11">
        <v>0.32090270519256592</v>
      </c>
      <c r="Q605" s="59">
        <v>14.940011576287866</v>
      </c>
      <c r="R605" s="78">
        <v>485.05429790647747</v>
      </c>
      <c r="S605" s="78">
        <v>15.005708763601062</v>
      </c>
      <c r="T605" s="78">
        <v>595.84205053551671</v>
      </c>
      <c r="U605" s="59">
        <v>14.993210071585841</v>
      </c>
      <c r="V605" s="78">
        <v>818.93821125916338</v>
      </c>
      <c r="X605" s="134">
        <f t="shared" si="60"/>
        <v>1493516.1033308799</v>
      </c>
      <c r="Y605" s="134">
        <f t="shared" si="61"/>
        <v>1499975.0343095707</v>
      </c>
      <c r="Z605" s="134">
        <f t="shared" si="62"/>
        <v>1498502.0689473248</v>
      </c>
      <c r="AB605" s="127">
        <f t="shared" si="63"/>
        <v>0</v>
      </c>
      <c r="AC605" s="127">
        <f t="shared" si="64"/>
        <v>1</v>
      </c>
      <c r="AD605" s="127">
        <f t="shared" si="65"/>
        <v>0</v>
      </c>
    </row>
    <row r="606" spans="1:30" x14ac:dyDescent="0.25">
      <c r="A606">
        <v>601</v>
      </c>
      <c r="C606" s="11">
        <v>1.600964367389679E-2</v>
      </c>
      <c r="D606" s="11">
        <v>3.6726832389831543E-2</v>
      </c>
      <c r="E606" s="11">
        <v>0.27815416292919287</v>
      </c>
      <c r="F606" s="11">
        <v>0.20998320018130082</v>
      </c>
      <c r="G606" s="11">
        <v>9.7543716430664063E-2</v>
      </c>
      <c r="H606" s="40">
        <v>4.6336910316425854E-4</v>
      </c>
      <c r="I606" s="40">
        <v>1.3959221396759285</v>
      </c>
      <c r="J606" s="59">
        <v>0</v>
      </c>
      <c r="K606" s="59">
        <v>3145.8912417292595</v>
      </c>
      <c r="L606" s="59">
        <v>0</v>
      </c>
      <c r="M606" s="11">
        <v>0.81250548362731934</v>
      </c>
      <c r="N606" s="11">
        <v>0.70335197448730469</v>
      </c>
      <c r="O606" s="11">
        <v>0.26555168628692627</v>
      </c>
      <c r="Q606" s="59">
        <v>14.055874919801017</v>
      </c>
      <c r="R606" s="78">
        <v>470.99305343191872</v>
      </c>
      <c r="S606" s="78">
        <v>14.103369937891831</v>
      </c>
      <c r="T606" s="78">
        <v>600.64109758200902</v>
      </c>
      <c r="U606" s="59">
        <v>14.107916315696034</v>
      </c>
      <c r="V606" s="78">
        <v>804.35344874800717</v>
      </c>
      <c r="X606" s="134">
        <f t="shared" si="60"/>
        <v>1405116.4989266698</v>
      </c>
      <c r="Y606" s="134">
        <f t="shared" si="61"/>
        <v>1409736.352691601</v>
      </c>
      <c r="Z606" s="134">
        <f t="shared" si="62"/>
        <v>1409987.2781208553</v>
      </c>
      <c r="AB606" s="127">
        <f t="shared" si="63"/>
        <v>0</v>
      </c>
      <c r="AC606" s="127">
        <f t="shared" si="64"/>
        <v>0</v>
      </c>
      <c r="AD606" s="127">
        <f t="shared" si="65"/>
        <v>1</v>
      </c>
    </row>
    <row r="607" spans="1:30" x14ac:dyDescent="0.25">
      <c r="A607">
        <v>602</v>
      </c>
      <c r="C607" s="11">
        <v>1.744416356086731E-2</v>
      </c>
      <c r="D607" s="11">
        <v>1.6245156526565552E-2</v>
      </c>
      <c r="E607" s="11">
        <v>0.13410323453169348</v>
      </c>
      <c r="F607" s="11">
        <v>0.34479576426929093</v>
      </c>
      <c r="G607" s="11">
        <v>5.6159853935241699E-2</v>
      </c>
      <c r="H607" s="40">
        <v>5.7921565875329465E-4</v>
      </c>
      <c r="I607" s="40">
        <v>1.3555202808836968</v>
      </c>
      <c r="J607" s="59">
        <v>0</v>
      </c>
      <c r="K607" s="59">
        <v>3780.8739580214024</v>
      </c>
      <c r="L607" s="59">
        <v>0</v>
      </c>
      <c r="M607" s="11">
        <v>0.82509452104568481</v>
      </c>
      <c r="N607" s="11">
        <v>0.78645241260528564</v>
      </c>
      <c r="O607" s="11">
        <v>0.32091629505157471</v>
      </c>
      <c r="Q607" s="59">
        <v>14.280399205884731</v>
      </c>
      <c r="R607" s="78">
        <v>481.77891782883574</v>
      </c>
      <c r="S607" s="78">
        <v>14.314501749019296</v>
      </c>
      <c r="T607" s="78">
        <v>590.93714468505561</v>
      </c>
      <c r="U607" s="59">
        <v>14.306096686804292</v>
      </c>
      <c r="V607" s="78">
        <v>818.5871803813202</v>
      </c>
      <c r="X607" s="134">
        <f t="shared" si="60"/>
        <v>1427558.1416706443</v>
      </c>
      <c r="Y607" s="134">
        <f t="shared" si="61"/>
        <v>1430859.2377572446</v>
      </c>
      <c r="Z607" s="134">
        <f t="shared" si="62"/>
        <v>1429791.0815000478</v>
      </c>
      <c r="AB607" s="127">
        <f t="shared" si="63"/>
        <v>0</v>
      </c>
      <c r="AC607" s="127">
        <f t="shared" si="64"/>
        <v>1</v>
      </c>
      <c r="AD607" s="127">
        <f t="shared" si="65"/>
        <v>0</v>
      </c>
    </row>
    <row r="608" spans="1:30" x14ac:dyDescent="0.25">
      <c r="A608">
        <v>603</v>
      </c>
      <c r="C608" s="11">
        <v>1.476655900478363E-2</v>
      </c>
      <c r="D608" s="11">
        <v>1.8267214298248291E-2</v>
      </c>
      <c r="E608" s="11">
        <v>0.17150526621338211</v>
      </c>
      <c r="F608" s="11">
        <v>0.18929933261316112</v>
      </c>
      <c r="G608" s="11">
        <v>1.3799965381622314E-2</v>
      </c>
      <c r="H608" s="40">
        <v>4.6373371420087089E-4</v>
      </c>
      <c r="I608" s="40">
        <v>1.4633719156008855</v>
      </c>
      <c r="J608" s="59">
        <v>0</v>
      </c>
      <c r="K608" s="59">
        <v>3905.4988883435726</v>
      </c>
      <c r="L608" s="59">
        <v>0</v>
      </c>
      <c r="M608" s="11">
        <v>0.8465886116027832</v>
      </c>
      <c r="N608" s="11">
        <v>0.74285918474197388</v>
      </c>
      <c r="O608" s="11">
        <v>0.2876284122467041</v>
      </c>
      <c r="Q608" s="59">
        <v>14.67260199973401</v>
      </c>
      <c r="R608" s="78">
        <v>473.38829681949682</v>
      </c>
      <c r="S608" s="78">
        <v>14.722419594934223</v>
      </c>
      <c r="T608" s="78">
        <v>592.83933618525134</v>
      </c>
      <c r="U608" s="59">
        <v>14.721329886983428</v>
      </c>
      <c r="V608" s="78">
        <v>803.26981460588343</v>
      </c>
      <c r="X608" s="134">
        <f t="shared" si="60"/>
        <v>1466786.8116765814</v>
      </c>
      <c r="Y608" s="134">
        <f t="shared" si="61"/>
        <v>1471649.1201572372</v>
      </c>
      <c r="Z608" s="134">
        <f t="shared" si="62"/>
        <v>1471329.718883737</v>
      </c>
      <c r="AB608" s="127">
        <f t="shared" si="63"/>
        <v>0</v>
      </c>
      <c r="AC608" s="127">
        <f t="shared" si="64"/>
        <v>1</v>
      </c>
      <c r="AD608" s="127">
        <f t="shared" si="65"/>
        <v>0</v>
      </c>
    </row>
    <row r="609" spans="1:30" x14ac:dyDescent="0.25">
      <c r="A609">
        <v>604</v>
      </c>
      <c r="C609" s="11">
        <v>1.9982412457466125E-2</v>
      </c>
      <c r="D609" s="11">
        <v>9.7788125276565552E-3</v>
      </c>
      <c r="E609" s="11">
        <v>0.33387289056702796</v>
      </c>
      <c r="F609" s="11">
        <v>0.20125306263608467</v>
      </c>
      <c r="G609" s="11">
        <v>3.6938458681106567E-2</v>
      </c>
      <c r="H609" s="40">
        <v>4.9691249430575232E-4</v>
      </c>
      <c r="I609" s="40">
        <v>1.3337493183035471</v>
      </c>
      <c r="J609" s="59">
        <v>0</v>
      </c>
      <c r="K609" s="59">
        <v>4236.5677654743195</v>
      </c>
      <c r="L609" s="59">
        <v>0</v>
      </c>
      <c r="M609" s="11">
        <v>0.87048637866973877</v>
      </c>
      <c r="N609" s="11">
        <v>0.74045741558074951</v>
      </c>
      <c r="O609" s="11">
        <v>0.31196683645248413</v>
      </c>
      <c r="Q609" s="59">
        <v>15.017958706782196</v>
      </c>
      <c r="R609" s="78">
        <v>466.17528750269742</v>
      </c>
      <c r="S609" s="78">
        <v>15.051559929869326</v>
      </c>
      <c r="T609" s="78">
        <v>603.30799752874668</v>
      </c>
      <c r="U609" s="59">
        <v>15.058330290889424</v>
      </c>
      <c r="V609" s="78">
        <v>802.67797566739148</v>
      </c>
      <c r="X609" s="134">
        <f t="shared" si="60"/>
        <v>1501329.6953907169</v>
      </c>
      <c r="Y609" s="134">
        <f t="shared" si="61"/>
        <v>1504552.6849894039</v>
      </c>
      <c r="Z609" s="134">
        <f t="shared" si="62"/>
        <v>1505030.3511132749</v>
      </c>
      <c r="AB609" s="127">
        <f t="shared" si="63"/>
        <v>0</v>
      </c>
      <c r="AC609" s="127">
        <f t="shared" si="64"/>
        <v>0</v>
      </c>
      <c r="AD609" s="127">
        <f t="shared" si="65"/>
        <v>1</v>
      </c>
    </row>
    <row r="610" spans="1:30" x14ac:dyDescent="0.25">
      <c r="A610">
        <v>605</v>
      </c>
      <c r="C610" s="11">
        <v>1.8634587526321411E-2</v>
      </c>
      <c r="D610" s="11">
        <v>2.9095649719238281E-2</v>
      </c>
      <c r="E610" s="11">
        <v>0.26966067224075113</v>
      </c>
      <c r="F610" s="11">
        <v>8.922979130484307E-2</v>
      </c>
      <c r="G610" s="11">
        <v>5.4754495620727539E-2</v>
      </c>
      <c r="H610" s="40">
        <v>2.677054725537744E-4</v>
      </c>
      <c r="I610" s="40">
        <v>1.6123944907105148</v>
      </c>
      <c r="J610" s="59">
        <v>0</v>
      </c>
      <c r="K610" s="59">
        <v>3623.1242120265961</v>
      </c>
      <c r="L610" s="59">
        <v>0</v>
      </c>
      <c r="M610" s="11">
        <v>0.86836999654769897</v>
      </c>
      <c r="N610" s="11">
        <v>0.70395064353942871</v>
      </c>
      <c r="O610" s="11">
        <v>0.28528338670730591</v>
      </c>
      <c r="Q610" s="59">
        <v>14.971104517566305</v>
      </c>
      <c r="R610" s="78">
        <v>475.26430320731265</v>
      </c>
      <c r="S610" s="78">
        <v>15.030345433050384</v>
      </c>
      <c r="T610" s="78">
        <v>601.20980844990072</v>
      </c>
      <c r="U610" s="59">
        <v>15.04527004755569</v>
      </c>
      <c r="V610" s="78">
        <v>795.3737473610098</v>
      </c>
      <c r="X610" s="134">
        <f t="shared" si="60"/>
        <v>1496635.1874534232</v>
      </c>
      <c r="Y610" s="134">
        <f t="shared" si="61"/>
        <v>1502433.3334965885</v>
      </c>
      <c r="Z610" s="134">
        <f t="shared" si="62"/>
        <v>1503731.6310082078</v>
      </c>
      <c r="AB610" s="127">
        <f t="shared" si="63"/>
        <v>0</v>
      </c>
      <c r="AC610" s="127">
        <f t="shared" si="64"/>
        <v>0</v>
      </c>
      <c r="AD610" s="127">
        <f t="shared" si="65"/>
        <v>1</v>
      </c>
    </row>
    <row r="611" spans="1:30" x14ac:dyDescent="0.25">
      <c r="A611">
        <v>606</v>
      </c>
      <c r="C611" s="11">
        <v>4.0448129177093506E-2</v>
      </c>
      <c r="D611" s="11">
        <v>2.1853148937225342E-2</v>
      </c>
      <c r="E611" s="11">
        <v>0.22230946026303103</v>
      </c>
      <c r="F611" s="11">
        <v>0.25468174009429478</v>
      </c>
      <c r="G611" s="11">
        <v>8.027195930480957E-3</v>
      </c>
      <c r="H611" s="40">
        <v>4.228051980227255E-4</v>
      </c>
      <c r="I611" s="40">
        <v>1.4783327324024598</v>
      </c>
      <c r="J611" s="59">
        <v>0</v>
      </c>
      <c r="K611" s="59">
        <v>6063.1823725998402</v>
      </c>
      <c r="L611" s="59">
        <v>0</v>
      </c>
      <c r="M611" s="11">
        <v>0.79811549186706543</v>
      </c>
      <c r="N611" s="11">
        <v>0.75269651412963867</v>
      </c>
      <c r="O611" s="11">
        <v>0.30343395471572876</v>
      </c>
      <c r="Q611" s="59">
        <v>13.491025955461888</v>
      </c>
      <c r="R611" s="78">
        <v>504.34244178394238</v>
      </c>
      <c r="S611" s="78">
        <v>13.519134964512881</v>
      </c>
      <c r="T611" s="78">
        <v>603.89663087577605</v>
      </c>
      <c r="U611" s="59">
        <v>13.517944981743478</v>
      </c>
      <c r="V611" s="78">
        <v>816.50432465722383</v>
      </c>
      <c r="X611" s="134">
        <f t="shared" si="60"/>
        <v>1348598.2531044048</v>
      </c>
      <c r="Y611" s="134">
        <f t="shared" si="61"/>
        <v>1351309.5998204125</v>
      </c>
      <c r="Z611" s="134">
        <f t="shared" si="62"/>
        <v>1350977.9938496905</v>
      </c>
      <c r="AB611" s="127">
        <f t="shared" si="63"/>
        <v>0</v>
      </c>
      <c r="AC611" s="127">
        <f t="shared" si="64"/>
        <v>1</v>
      </c>
      <c r="AD611" s="127">
        <f t="shared" si="65"/>
        <v>0</v>
      </c>
    </row>
    <row r="612" spans="1:30" x14ac:dyDescent="0.25">
      <c r="A612">
        <v>607</v>
      </c>
      <c r="C612" s="11">
        <v>5.1986217498779297E-2</v>
      </c>
      <c r="D612" s="11">
        <v>2.0862668752670288E-2</v>
      </c>
      <c r="E612" s="11">
        <v>0.25356732856200009</v>
      </c>
      <c r="F612" s="11">
        <v>0.17296002772217878</v>
      </c>
      <c r="G612" s="11">
        <v>4.9350827932357788E-2</v>
      </c>
      <c r="H612" s="40">
        <v>4.9481790097727211E-4</v>
      </c>
      <c r="I612" s="40">
        <v>1.375998814464074</v>
      </c>
      <c r="J612" s="59">
        <v>0</v>
      </c>
      <c r="K612" s="59">
        <v>4667.5768680870533</v>
      </c>
      <c r="L612" s="59">
        <v>0</v>
      </c>
      <c r="M612" s="11">
        <v>0.86841577291488647</v>
      </c>
      <c r="N612" s="11">
        <v>0.68554973602294922</v>
      </c>
      <c r="O612" s="11">
        <v>0.29088252782821655</v>
      </c>
      <c r="Q612" s="59">
        <v>14.468719198833563</v>
      </c>
      <c r="R612" s="78">
        <v>485.798204750921</v>
      </c>
      <c r="S612" s="78">
        <v>14.523104171873877</v>
      </c>
      <c r="T612" s="78">
        <v>602.53736643335651</v>
      </c>
      <c r="U612" s="59">
        <v>14.529060291156341</v>
      </c>
      <c r="V612" s="78">
        <v>804.07439506044238</v>
      </c>
      <c r="X612" s="134">
        <f t="shared" si="60"/>
        <v>1446386.1216786052</v>
      </c>
      <c r="Y612" s="134">
        <f t="shared" si="61"/>
        <v>1451707.8798209543</v>
      </c>
      <c r="Z612" s="134">
        <f t="shared" si="62"/>
        <v>1452101.9547205735</v>
      </c>
      <c r="AB612" s="127">
        <f t="shared" si="63"/>
        <v>0</v>
      </c>
      <c r="AC612" s="127">
        <f t="shared" si="64"/>
        <v>0</v>
      </c>
      <c r="AD612" s="127">
        <f t="shared" si="65"/>
        <v>1</v>
      </c>
    </row>
    <row r="613" spans="1:30" x14ac:dyDescent="0.25">
      <c r="A613">
        <v>608</v>
      </c>
      <c r="C613" s="11">
        <v>4.3654501438140869E-2</v>
      </c>
      <c r="D613" s="11">
        <v>1.304316520690918E-2</v>
      </c>
      <c r="E613" s="11">
        <v>0.19911653090613501</v>
      </c>
      <c r="F613" s="11">
        <v>0.26811710805267969</v>
      </c>
      <c r="G613" s="11">
        <v>3.390917181968689E-2</v>
      </c>
      <c r="H613" s="40">
        <v>4.2630865630688956E-4</v>
      </c>
      <c r="I613" s="40">
        <v>1.612121744990809</v>
      </c>
      <c r="J613" s="59">
        <v>0</v>
      </c>
      <c r="K613" s="59">
        <v>4220.595583319664</v>
      </c>
      <c r="L613" s="59">
        <v>0</v>
      </c>
      <c r="M613" s="11">
        <v>0.82798182964324951</v>
      </c>
      <c r="N613" s="11">
        <v>0.76261293888092041</v>
      </c>
      <c r="O613" s="11">
        <v>0.31482785940170288</v>
      </c>
      <c r="Q613" s="59">
        <v>13.919960905178318</v>
      </c>
      <c r="R613" s="78">
        <v>525.9510170953406</v>
      </c>
      <c r="S613" s="78">
        <v>13.973000561182207</v>
      </c>
      <c r="T613" s="78">
        <v>605.90457244493257</v>
      </c>
      <c r="U613" s="59">
        <v>13.968309848696656</v>
      </c>
      <c r="V613" s="78">
        <v>824.15316534314309</v>
      </c>
      <c r="X613" s="134">
        <f t="shared" si="60"/>
        <v>1391470.1395007365</v>
      </c>
      <c r="Y613" s="134">
        <f t="shared" si="61"/>
        <v>1396694.1515457758</v>
      </c>
      <c r="Z613" s="134">
        <f t="shared" si="62"/>
        <v>1396006.8317043222</v>
      </c>
      <c r="AB613" s="127">
        <f t="shared" si="63"/>
        <v>0</v>
      </c>
      <c r="AC613" s="127">
        <f t="shared" si="64"/>
        <v>1</v>
      </c>
      <c r="AD613" s="127">
        <f t="shared" si="65"/>
        <v>0</v>
      </c>
    </row>
    <row r="614" spans="1:30" x14ac:dyDescent="0.25">
      <c r="A614">
        <v>609</v>
      </c>
      <c r="C614" s="11">
        <v>8.7677091360092163E-3</v>
      </c>
      <c r="D614" s="11">
        <v>1.9977062940597534E-2</v>
      </c>
      <c r="E614" s="11">
        <v>0.35231847810641942</v>
      </c>
      <c r="F614" s="11">
        <v>8.4601934742670984E-2</v>
      </c>
      <c r="G614" s="11">
        <v>5.6440979242324829E-2</v>
      </c>
      <c r="H614" s="40">
        <v>4.3850142861712936E-4</v>
      </c>
      <c r="I614" s="40">
        <v>1.4096108654707473</v>
      </c>
      <c r="J614" s="59">
        <v>0</v>
      </c>
      <c r="K614" s="59">
        <v>6470.4474061727524</v>
      </c>
      <c r="L614" s="59">
        <v>0</v>
      </c>
      <c r="M614" s="11">
        <v>0.88873386383056641</v>
      </c>
      <c r="N614" s="11">
        <v>0.72053533792495728</v>
      </c>
      <c r="O614" s="11">
        <v>0.28751784563064575</v>
      </c>
      <c r="Q614" s="59">
        <v>15.487432239837865</v>
      </c>
      <c r="R614" s="78">
        <v>528.50290100058783</v>
      </c>
      <c r="S614" s="78">
        <v>15.534524541533623</v>
      </c>
      <c r="T614" s="78">
        <v>626.84276886384441</v>
      </c>
      <c r="U614" s="59">
        <v>15.554296383961381</v>
      </c>
      <c r="V614" s="78">
        <v>799.5341650099358</v>
      </c>
      <c r="X614" s="134">
        <f t="shared" si="60"/>
        <v>1548214.7210827859</v>
      </c>
      <c r="Y614" s="134">
        <f t="shared" si="61"/>
        <v>1552825.6113844984</v>
      </c>
      <c r="Z614" s="134">
        <f t="shared" si="62"/>
        <v>1554630.1042311282</v>
      </c>
      <c r="AB614" s="127">
        <f t="shared" si="63"/>
        <v>0</v>
      </c>
      <c r="AC614" s="127">
        <f t="shared" si="64"/>
        <v>0</v>
      </c>
      <c r="AD614" s="127">
        <f t="shared" si="65"/>
        <v>1</v>
      </c>
    </row>
    <row r="615" spans="1:30" x14ac:dyDescent="0.25">
      <c r="A615">
        <v>610</v>
      </c>
      <c r="C615" s="11">
        <v>2.4911165237426758E-3</v>
      </c>
      <c r="D615" s="11">
        <v>2.6488244533538818E-2</v>
      </c>
      <c r="E615" s="11">
        <v>0.52833532363469216</v>
      </c>
      <c r="F615" s="11">
        <v>0.30398707363298905</v>
      </c>
      <c r="G615" s="11">
        <v>7.1204185485839844E-2</v>
      </c>
      <c r="H615" s="40">
        <v>4.9626919989932228E-4</v>
      </c>
      <c r="I615" s="40">
        <v>1.4947278454101798</v>
      </c>
      <c r="J615" s="59">
        <v>0</v>
      </c>
      <c r="K615" s="59">
        <v>4217.0356027781963</v>
      </c>
      <c r="L615" s="59">
        <v>0</v>
      </c>
      <c r="M615" s="11">
        <v>0.87030637264251709</v>
      </c>
      <c r="N615" s="11">
        <v>0.79717075824737549</v>
      </c>
      <c r="O615" s="11">
        <v>0.28709810972213745</v>
      </c>
      <c r="Q615" s="59">
        <v>15.256995334136361</v>
      </c>
      <c r="R615" s="78">
        <v>528.98598380417707</v>
      </c>
      <c r="S615" s="78">
        <v>15.293001704029669</v>
      </c>
      <c r="T615" s="78">
        <v>651.0653891209721</v>
      </c>
      <c r="U615" s="59">
        <v>15.310449299060107</v>
      </c>
      <c r="V615" s="78">
        <v>829.67169564318522</v>
      </c>
      <c r="X615" s="134">
        <f t="shared" si="60"/>
        <v>1525170.5474298319</v>
      </c>
      <c r="Y615" s="134">
        <f t="shared" si="61"/>
        <v>1528649.105013846</v>
      </c>
      <c r="Z615" s="134">
        <f t="shared" si="62"/>
        <v>1530215.2582103675</v>
      </c>
      <c r="AB615" s="127">
        <f t="shared" si="63"/>
        <v>0</v>
      </c>
      <c r="AC615" s="127">
        <f t="shared" si="64"/>
        <v>0</v>
      </c>
      <c r="AD615" s="127">
        <f t="shared" si="65"/>
        <v>1</v>
      </c>
    </row>
    <row r="616" spans="1:30" x14ac:dyDescent="0.25">
      <c r="A616">
        <v>611</v>
      </c>
      <c r="C616" s="11">
        <v>2.2572845220565796E-2</v>
      </c>
      <c r="D616" s="11">
        <v>8.0614686012268066E-3</v>
      </c>
      <c r="E616" s="11">
        <v>0.30597537842540934</v>
      </c>
      <c r="F616" s="11">
        <v>0.19140150595233169</v>
      </c>
      <c r="G616" s="11">
        <v>3.1986624002456665E-2</v>
      </c>
      <c r="H616" s="40">
        <v>5.3572893786344626E-4</v>
      </c>
      <c r="I616" s="40">
        <v>1.4143931035338759</v>
      </c>
      <c r="J616" s="59">
        <v>0</v>
      </c>
      <c r="K616" s="59">
        <v>4733.6053103208542</v>
      </c>
      <c r="L616" s="59">
        <v>0</v>
      </c>
      <c r="M616" s="11">
        <v>0.85090112686157227</v>
      </c>
      <c r="N616" s="11">
        <v>0.67438960075378418</v>
      </c>
      <c r="O616" s="11">
        <v>0.27334600687026978</v>
      </c>
      <c r="Q616" s="59">
        <v>14.607515422582402</v>
      </c>
      <c r="R616" s="78">
        <v>500.37431948634116</v>
      </c>
      <c r="S616" s="78">
        <v>14.664863236708031</v>
      </c>
      <c r="T616" s="78">
        <v>611.97329187867888</v>
      </c>
      <c r="U616" s="59">
        <v>14.674494410400134</v>
      </c>
      <c r="V616" s="78">
        <v>808.67083583346914</v>
      </c>
      <c r="X616" s="134">
        <f t="shared" si="60"/>
        <v>1460251.167938754</v>
      </c>
      <c r="Y616" s="134">
        <f t="shared" si="61"/>
        <v>1465874.3503789245</v>
      </c>
      <c r="Z616" s="134">
        <f t="shared" si="62"/>
        <v>1466640.7702041799</v>
      </c>
      <c r="AB616" s="127">
        <f t="shared" si="63"/>
        <v>0</v>
      </c>
      <c r="AC616" s="127">
        <f t="shared" si="64"/>
        <v>0</v>
      </c>
      <c r="AD616" s="127">
        <f t="shared" si="65"/>
        <v>1</v>
      </c>
    </row>
    <row r="617" spans="1:30" x14ac:dyDescent="0.25">
      <c r="A617">
        <v>612</v>
      </c>
      <c r="C617" s="11">
        <v>2.728348970413208E-2</v>
      </c>
      <c r="D617" s="11">
        <v>2.3239612579345703E-2</v>
      </c>
      <c r="E617" s="11">
        <v>0.2206558154246481</v>
      </c>
      <c r="F617" s="11">
        <v>7.1117995729931563E-2</v>
      </c>
      <c r="G617" s="11">
        <v>1.8670350313186646E-2</v>
      </c>
      <c r="H617" s="40">
        <v>6.0703528673807547E-4</v>
      </c>
      <c r="I617" s="40">
        <v>1.497612103094365</v>
      </c>
      <c r="J617" s="59">
        <v>0</v>
      </c>
      <c r="K617" s="59">
        <v>6444.3144947290421</v>
      </c>
      <c r="L617" s="59">
        <v>0</v>
      </c>
      <c r="M617" s="11">
        <v>0.86412709951400757</v>
      </c>
      <c r="N617" s="11">
        <v>0.70928394794464111</v>
      </c>
      <c r="O617" s="11">
        <v>0.30306547880172729</v>
      </c>
      <c r="Q617" s="59">
        <v>14.735233449978873</v>
      </c>
      <c r="R617" s="78">
        <v>585.05176782435285</v>
      </c>
      <c r="S617" s="78">
        <v>14.821811858306193</v>
      </c>
      <c r="T617" s="78">
        <v>622.11091980347544</v>
      </c>
      <c r="U617" s="59">
        <v>14.838931658500346</v>
      </c>
      <c r="V617" s="78">
        <v>801.95527290415271</v>
      </c>
      <c r="X617" s="134">
        <f t="shared" si="60"/>
        <v>1472938.2932300628</v>
      </c>
      <c r="Y617" s="134">
        <f t="shared" si="61"/>
        <v>1481559.0749108158</v>
      </c>
      <c r="Z617" s="134">
        <f t="shared" si="62"/>
        <v>1483091.2105771306</v>
      </c>
      <c r="AB617" s="127">
        <f t="shared" si="63"/>
        <v>0</v>
      </c>
      <c r="AC617" s="127">
        <f t="shared" si="64"/>
        <v>0</v>
      </c>
      <c r="AD617" s="127">
        <f t="shared" si="65"/>
        <v>1</v>
      </c>
    </row>
    <row r="618" spans="1:30" x14ac:dyDescent="0.25">
      <c r="A618">
        <v>613</v>
      </c>
      <c r="C618" s="11">
        <v>1.6666293144226074E-2</v>
      </c>
      <c r="D618" s="11">
        <v>1.8168717622756958E-2</v>
      </c>
      <c r="E618" s="11">
        <v>0.14168869502520631</v>
      </c>
      <c r="F618" s="11">
        <v>0.23514087898030048</v>
      </c>
      <c r="G618" s="11">
        <v>2.8367072343826294E-2</v>
      </c>
      <c r="H618" s="40">
        <v>4.2089861887166144E-4</v>
      </c>
      <c r="I618" s="40">
        <v>1.4684574997846209</v>
      </c>
      <c r="J618" s="59">
        <v>0</v>
      </c>
      <c r="K618" s="59">
        <v>7004.5189931988716</v>
      </c>
      <c r="L618" s="59">
        <v>0</v>
      </c>
      <c r="M618" s="11">
        <v>0.87292945384979248</v>
      </c>
      <c r="N618" s="11">
        <v>0.7503666877746582</v>
      </c>
      <c r="O618" s="11">
        <v>0.28287899494171143</v>
      </c>
      <c r="Q618" s="59">
        <v>15.097366936886921</v>
      </c>
      <c r="R618" s="78">
        <v>536.79682829395949</v>
      </c>
      <c r="S618" s="78">
        <v>15.152746107646664</v>
      </c>
      <c r="T618" s="78">
        <v>599.54551255182264</v>
      </c>
      <c r="U618" s="59">
        <v>15.146620628172538</v>
      </c>
      <c r="V618" s="78">
        <v>822.03926326430098</v>
      </c>
      <c r="X618" s="134">
        <f t="shared" si="60"/>
        <v>1509199.8968603981</v>
      </c>
      <c r="Y618" s="134">
        <f t="shared" si="61"/>
        <v>1514675.0652521146</v>
      </c>
      <c r="Z618" s="134">
        <f t="shared" si="62"/>
        <v>1513840.0235539896</v>
      </c>
      <c r="AB618" s="127">
        <f t="shared" si="63"/>
        <v>0</v>
      </c>
      <c r="AC618" s="127">
        <f t="shared" si="64"/>
        <v>1</v>
      </c>
      <c r="AD618" s="127">
        <f t="shared" si="65"/>
        <v>0</v>
      </c>
    </row>
    <row r="619" spans="1:30" x14ac:dyDescent="0.25">
      <c r="A619">
        <v>614</v>
      </c>
      <c r="C619" s="11">
        <v>4.7578662633895874E-3</v>
      </c>
      <c r="D619" s="11">
        <v>2.4876296520233154E-2</v>
      </c>
      <c r="E619" s="11">
        <v>0.29423417681530045</v>
      </c>
      <c r="F619" s="11">
        <v>0.12888681994835888</v>
      </c>
      <c r="G619" s="11">
        <v>4.5186281204223633E-2</v>
      </c>
      <c r="H619" s="40">
        <v>5.0116507417570977E-4</v>
      </c>
      <c r="I619" s="40">
        <v>1.4877852834742551</v>
      </c>
      <c r="J619" s="59">
        <v>0</v>
      </c>
      <c r="K619" s="59">
        <v>4958.5988745093346</v>
      </c>
      <c r="L619" s="59">
        <v>0</v>
      </c>
      <c r="M619" s="11">
        <v>0.81832170486450195</v>
      </c>
      <c r="N619" s="11">
        <v>0.78872001171112061</v>
      </c>
      <c r="O619" s="11">
        <v>0.37810134887695313</v>
      </c>
      <c r="Q619" s="59">
        <v>14.339767667278025</v>
      </c>
      <c r="R619" s="78">
        <v>533.74533263729245</v>
      </c>
      <c r="S619" s="78">
        <v>14.371936216328059</v>
      </c>
      <c r="T619" s="78">
        <v>620.770333900183</v>
      </c>
      <c r="U619" s="59">
        <v>14.379652900022958</v>
      </c>
      <c r="V619" s="78">
        <v>806.36534365232785</v>
      </c>
      <c r="X619" s="134">
        <f t="shared" si="60"/>
        <v>1433443.0213951652</v>
      </c>
      <c r="Y619" s="134">
        <f t="shared" si="61"/>
        <v>1436572.8512989059</v>
      </c>
      <c r="Z619" s="134">
        <f t="shared" si="62"/>
        <v>1437158.9246586433</v>
      </c>
      <c r="AB619" s="127">
        <f t="shared" si="63"/>
        <v>0</v>
      </c>
      <c r="AC619" s="127">
        <f t="shared" si="64"/>
        <v>0</v>
      </c>
      <c r="AD619" s="127">
        <f t="shared" si="65"/>
        <v>1</v>
      </c>
    </row>
    <row r="620" spans="1:30" x14ac:dyDescent="0.25">
      <c r="A620">
        <v>615</v>
      </c>
      <c r="C620" s="11">
        <v>3.1360983848571777E-3</v>
      </c>
      <c r="D620" s="11">
        <v>5.1391839981079102E-2</v>
      </c>
      <c r="E620" s="11">
        <v>0.13792385168319726</v>
      </c>
      <c r="F620" s="11">
        <v>0.26309087540582976</v>
      </c>
      <c r="G620" s="11">
        <v>3.0337721109390259E-2</v>
      </c>
      <c r="H620" s="40">
        <v>5.2321217620253531E-4</v>
      </c>
      <c r="I620" s="40">
        <v>1.4245192321637521</v>
      </c>
      <c r="J620" s="59">
        <v>0</v>
      </c>
      <c r="K620" s="59">
        <v>5830.1142416894436</v>
      </c>
      <c r="L620" s="59">
        <v>0</v>
      </c>
      <c r="M620" s="11">
        <v>0.86512446403503418</v>
      </c>
      <c r="N620" s="11">
        <v>0.74907702207565308</v>
      </c>
      <c r="O620" s="11">
        <v>0.39118194580078125</v>
      </c>
      <c r="Q620" s="59">
        <v>15.158630886507325</v>
      </c>
      <c r="R620" s="78">
        <v>525.97616576286327</v>
      </c>
      <c r="S620" s="78">
        <v>15.222783839742446</v>
      </c>
      <c r="T620" s="78">
        <v>597.5036224550928</v>
      </c>
      <c r="U620" s="59">
        <v>15.213321403504931</v>
      </c>
      <c r="V620" s="78">
        <v>823.21137732236389</v>
      </c>
      <c r="X620" s="134">
        <f t="shared" si="60"/>
        <v>1515337.1124849697</v>
      </c>
      <c r="Y620" s="134">
        <f t="shared" si="61"/>
        <v>1521680.8803517895</v>
      </c>
      <c r="Z620" s="134">
        <f t="shared" si="62"/>
        <v>1520508.9289731707</v>
      </c>
      <c r="AB620" s="127">
        <f t="shared" si="63"/>
        <v>0</v>
      </c>
      <c r="AC620" s="127">
        <f t="shared" si="64"/>
        <v>1</v>
      </c>
      <c r="AD620" s="127">
        <f t="shared" si="65"/>
        <v>0</v>
      </c>
    </row>
    <row r="621" spans="1:30" x14ac:dyDescent="0.25">
      <c r="A621">
        <v>616</v>
      </c>
      <c r="C621" s="11">
        <v>4.8102378845214844E-2</v>
      </c>
      <c r="D621" s="11">
        <v>1.0557234287261963E-2</v>
      </c>
      <c r="E621" s="11">
        <v>0.21430630514070545</v>
      </c>
      <c r="F621" s="11">
        <v>0.433904764439829</v>
      </c>
      <c r="G621" s="11">
        <v>2.7257084846496582E-2</v>
      </c>
      <c r="H621" s="40">
        <v>3.6621823592775798E-4</v>
      </c>
      <c r="I621" s="40">
        <v>1.4076203080149983</v>
      </c>
      <c r="J621" s="59">
        <v>0</v>
      </c>
      <c r="K621" s="59">
        <v>5377.0537488162518</v>
      </c>
      <c r="L621" s="59">
        <v>0</v>
      </c>
      <c r="M621" s="11">
        <v>0.80716609954833984</v>
      </c>
      <c r="N621" s="11">
        <v>0.73722708225250244</v>
      </c>
      <c r="O621" s="11">
        <v>0.3313899040222168</v>
      </c>
      <c r="Q621" s="59">
        <v>13.541803399952611</v>
      </c>
      <c r="R621" s="78">
        <v>471.24516012968684</v>
      </c>
      <c r="S621" s="78">
        <v>13.565158811070814</v>
      </c>
      <c r="T621" s="78">
        <v>595.71889782365463</v>
      </c>
      <c r="U621" s="59">
        <v>13.558576169377394</v>
      </c>
      <c r="V621" s="78">
        <v>821.75680328803389</v>
      </c>
      <c r="X621" s="134">
        <f t="shared" si="60"/>
        <v>1353709.0948351314</v>
      </c>
      <c r="Y621" s="134">
        <f t="shared" si="61"/>
        <v>1355920.1622092577</v>
      </c>
      <c r="Z621" s="134">
        <f t="shared" si="62"/>
        <v>1355035.8601344514</v>
      </c>
      <c r="AB621" s="127">
        <f t="shared" si="63"/>
        <v>0</v>
      </c>
      <c r="AC621" s="127">
        <f t="shared" si="64"/>
        <v>1</v>
      </c>
      <c r="AD621" s="127">
        <f t="shared" si="65"/>
        <v>0</v>
      </c>
    </row>
    <row r="622" spans="1:30" x14ac:dyDescent="0.25">
      <c r="A622">
        <v>617</v>
      </c>
      <c r="C622" s="11">
        <v>1.1629447340965271E-2</v>
      </c>
      <c r="D622" s="11">
        <v>2.8807103633880615E-2</v>
      </c>
      <c r="E622" s="11">
        <v>0.24508313932760559</v>
      </c>
      <c r="F622" s="11">
        <v>0.40379687162401329</v>
      </c>
      <c r="G622" s="11">
        <v>5.0092846155166626E-2</v>
      </c>
      <c r="H622" s="40">
        <v>4.0202162936947122E-4</v>
      </c>
      <c r="I622" s="40">
        <v>1.4573074099297914</v>
      </c>
      <c r="J622" s="59">
        <v>0</v>
      </c>
      <c r="K622" s="59">
        <v>4108.7204590439796</v>
      </c>
      <c r="L622" s="59">
        <v>0</v>
      </c>
      <c r="M622" s="11">
        <v>0.81481516361236572</v>
      </c>
      <c r="N622" s="11">
        <v>0.75824928283691406</v>
      </c>
      <c r="O622" s="11">
        <v>0.36494588851928711</v>
      </c>
      <c r="Q622" s="59">
        <v>14.182423355454372</v>
      </c>
      <c r="R622" s="78">
        <v>480.78430980652121</v>
      </c>
      <c r="S622" s="78">
        <v>14.214544727176099</v>
      </c>
      <c r="T622" s="78">
        <v>600.52906941013703</v>
      </c>
      <c r="U622" s="59">
        <v>14.207714562202501</v>
      </c>
      <c r="V622" s="78">
        <v>823.38034385664082</v>
      </c>
      <c r="X622" s="134">
        <f t="shared" si="60"/>
        <v>1417761.5512356306</v>
      </c>
      <c r="Y622" s="134">
        <f t="shared" si="61"/>
        <v>1420853.9436481998</v>
      </c>
      <c r="Z622" s="134">
        <f t="shared" si="62"/>
        <v>1419948.0758763934</v>
      </c>
      <c r="AB622" s="127">
        <f t="shared" si="63"/>
        <v>0</v>
      </c>
      <c r="AC622" s="127">
        <f t="shared" si="64"/>
        <v>1</v>
      </c>
      <c r="AD622" s="127">
        <f t="shared" si="65"/>
        <v>0</v>
      </c>
    </row>
    <row r="623" spans="1:30" x14ac:dyDescent="0.25">
      <c r="A623">
        <v>618</v>
      </c>
      <c r="C623" s="11">
        <v>3.9067864418029785E-2</v>
      </c>
      <c r="D623" s="11">
        <v>4.1754841804504395E-3</v>
      </c>
      <c r="E623" s="11">
        <v>0.19825160755558149</v>
      </c>
      <c r="F623" s="11">
        <v>0.15957519117563773</v>
      </c>
      <c r="G623" s="11">
        <v>8.2754373550415039E-2</v>
      </c>
      <c r="H623" s="40">
        <v>5.1462162231131331E-4</v>
      </c>
      <c r="I623" s="40">
        <v>1.3688862158596746</v>
      </c>
      <c r="J623" s="59">
        <v>0</v>
      </c>
      <c r="K623" s="59">
        <v>5179.5318722724915</v>
      </c>
      <c r="L623" s="59">
        <v>0</v>
      </c>
      <c r="M623" s="11">
        <v>0.83921000361442566</v>
      </c>
      <c r="N623" s="11">
        <v>0.75013184547424316</v>
      </c>
      <c r="O623" s="11">
        <v>0.29522088170051575</v>
      </c>
      <c r="Q623" s="59">
        <v>14.194686174796777</v>
      </c>
      <c r="R623" s="78">
        <v>516.55810405736577</v>
      </c>
      <c r="S623" s="78">
        <v>14.234347367402474</v>
      </c>
      <c r="T623" s="78">
        <v>603.58596834919331</v>
      </c>
      <c r="U623" s="59">
        <v>14.236289430687419</v>
      </c>
      <c r="V623" s="78">
        <v>807.80088841995916</v>
      </c>
      <c r="X623" s="134">
        <f t="shared" si="60"/>
        <v>1418952.0593756204</v>
      </c>
      <c r="Y623" s="134">
        <f t="shared" si="61"/>
        <v>1422831.1507718982</v>
      </c>
      <c r="Z623" s="134">
        <f t="shared" si="62"/>
        <v>1422821.142180322</v>
      </c>
      <c r="AB623" s="127">
        <f t="shared" si="63"/>
        <v>0</v>
      </c>
      <c r="AC623" s="127">
        <f t="shared" si="64"/>
        <v>1</v>
      </c>
      <c r="AD623" s="127">
        <f t="shared" si="65"/>
        <v>0</v>
      </c>
    </row>
    <row r="624" spans="1:30" x14ac:dyDescent="0.25">
      <c r="A624">
        <v>619</v>
      </c>
      <c r="C624" s="11">
        <v>1.4455705881118774E-2</v>
      </c>
      <c r="D624" s="11">
        <v>9.9984556436538696E-3</v>
      </c>
      <c r="E624" s="11">
        <v>0.28903025488110762</v>
      </c>
      <c r="F624" s="11">
        <v>0.23983494728441046</v>
      </c>
      <c r="G624" s="11">
        <v>3.3659189939498901E-2</v>
      </c>
      <c r="H624" s="40">
        <v>4.7753997603425946E-4</v>
      </c>
      <c r="I624" s="40">
        <v>1.5241038134483342</v>
      </c>
      <c r="J624" s="59">
        <v>0</v>
      </c>
      <c r="K624" s="59">
        <v>4719.6121886372566</v>
      </c>
      <c r="L624" s="59">
        <v>0</v>
      </c>
      <c r="M624" s="11">
        <v>0.83227574825286865</v>
      </c>
      <c r="N624" s="11">
        <v>0.77704018354415894</v>
      </c>
      <c r="O624" s="11">
        <v>0.28220465779304504</v>
      </c>
      <c r="Q624" s="59">
        <v>14.432330512841956</v>
      </c>
      <c r="R624" s="78">
        <v>525.98346664523046</v>
      </c>
      <c r="S624" s="78">
        <v>14.471886995336094</v>
      </c>
      <c r="T624" s="78">
        <v>617.81437437931049</v>
      </c>
      <c r="U624" s="59">
        <v>14.474686648490673</v>
      </c>
      <c r="V624" s="78">
        <v>820.24683533123778</v>
      </c>
      <c r="X624" s="134">
        <f t="shared" si="60"/>
        <v>1442707.0678175504</v>
      </c>
      <c r="Y624" s="134">
        <f t="shared" si="61"/>
        <v>1446570.8851592301</v>
      </c>
      <c r="Z624" s="134">
        <f t="shared" si="62"/>
        <v>1446648.4180137361</v>
      </c>
      <c r="AB624" s="127">
        <f t="shared" si="63"/>
        <v>0</v>
      </c>
      <c r="AC624" s="127">
        <f t="shared" si="64"/>
        <v>0</v>
      </c>
      <c r="AD624" s="127">
        <f t="shared" si="65"/>
        <v>1</v>
      </c>
    </row>
    <row r="625" spans="1:30" x14ac:dyDescent="0.25">
      <c r="A625">
        <v>620</v>
      </c>
      <c r="C625" s="11">
        <v>1.8207654356956482E-2</v>
      </c>
      <c r="D625" s="11">
        <v>3.1852006912231445E-2</v>
      </c>
      <c r="E625" s="11">
        <v>0.32633424671008499</v>
      </c>
      <c r="F625" s="11">
        <v>0.19757533166429558</v>
      </c>
      <c r="G625" s="11">
        <v>6.8731904029846191E-2</v>
      </c>
      <c r="H625" s="40">
        <v>4.0508138001463218E-4</v>
      </c>
      <c r="I625" s="40">
        <v>1.5147854072756308</v>
      </c>
      <c r="J625" s="59">
        <v>0</v>
      </c>
      <c r="K625" s="59">
        <v>5895.2812105417252</v>
      </c>
      <c r="L625" s="59">
        <v>0</v>
      </c>
      <c r="M625" s="11">
        <v>0.8548467755317688</v>
      </c>
      <c r="N625" s="11">
        <v>0.69630968570709229</v>
      </c>
      <c r="O625" s="11">
        <v>0.31260502338409424</v>
      </c>
      <c r="Q625" s="59">
        <v>14.734012005441668</v>
      </c>
      <c r="R625" s="78">
        <v>553.18711977308078</v>
      </c>
      <c r="S625" s="78">
        <v>14.794666186430415</v>
      </c>
      <c r="T625" s="78">
        <v>631.63424025668473</v>
      </c>
      <c r="U625" s="59">
        <v>14.806472009878568</v>
      </c>
      <c r="V625" s="78">
        <v>819.94737855393043</v>
      </c>
      <c r="X625" s="134">
        <f t="shared" si="60"/>
        <v>1472848.0134243937</v>
      </c>
      <c r="Y625" s="134">
        <f t="shared" si="61"/>
        <v>1478834.9844027848</v>
      </c>
      <c r="Z625" s="134">
        <f t="shared" si="62"/>
        <v>1479827.2536093029</v>
      </c>
      <c r="AB625" s="127">
        <f t="shared" si="63"/>
        <v>0</v>
      </c>
      <c r="AC625" s="127">
        <f t="shared" si="64"/>
        <v>0</v>
      </c>
      <c r="AD625" s="127">
        <f t="shared" si="65"/>
        <v>1</v>
      </c>
    </row>
    <row r="626" spans="1:30" x14ac:dyDescent="0.25">
      <c r="A626">
        <v>621</v>
      </c>
      <c r="C626" s="11">
        <v>1.2588798999786377E-2</v>
      </c>
      <c r="D626" s="11">
        <v>4.3946027755737305E-2</v>
      </c>
      <c r="E626" s="11">
        <v>0.22829268825903912</v>
      </c>
      <c r="F626" s="11">
        <v>0.24219193872076317</v>
      </c>
      <c r="G626" s="11">
        <v>1.2751460075378418E-2</v>
      </c>
      <c r="H626" s="40">
        <v>4.626539350790881E-4</v>
      </c>
      <c r="I626" s="40">
        <v>1.5252842493855343</v>
      </c>
      <c r="J626" s="59">
        <v>0</v>
      </c>
      <c r="K626" s="59">
        <v>5799.8718693852425</v>
      </c>
      <c r="L626" s="59">
        <v>0</v>
      </c>
      <c r="M626" s="11">
        <v>0.89495325088500977</v>
      </c>
      <c r="N626" s="11">
        <v>0.80106186866760254</v>
      </c>
      <c r="O626" s="11">
        <v>0.32885301113128662</v>
      </c>
      <c r="Q626" s="59">
        <v>15.53069944611023</v>
      </c>
      <c r="R626" s="78">
        <v>533.69323986683446</v>
      </c>
      <c r="S626" s="78">
        <v>15.59079057209904</v>
      </c>
      <c r="T626" s="78">
        <v>611.49674247755399</v>
      </c>
      <c r="U626" s="59">
        <v>15.589685140913257</v>
      </c>
      <c r="V626" s="78">
        <v>822.46347974388016</v>
      </c>
      <c r="X626" s="134">
        <f t="shared" si="60"/>
        <v>1552536.2513711562</v>
      </c>
      <c r="Y626" s="134">
        <f t="shared" si="61"/>
        <v>1558467.5604674264</v>
      </c>
      <c r="Z626" s="134">
        <f t="shared" si="62"/>
        <v>1558146.0506115819</v>
      </c>
      <c r="AB626" s="127">
        <f t="shared" si="63"/>
        <v>0</v>
      </c>
      <c r="AC626" s="127">
        <f t="shared" si="64"/>
        <v>1</v>
      </c>
      <c r="AD626" s="127">
        <f t="shared" si="65"/>
        <v>0</v>
      </c>
    </row>
    <row r="627" spans="1:30" x14ac:dyDescent="0.25">
      <c r="A627">
        <v>622</v>
      </c>
      <c r="C627" s="11">
        <v>5.3453743457794189E-3</v>
      </c>
      <c r="D627" s="11">
        <v>1.2205019593238831E-2</v>
      </c>
      <c r="E627" s="11">
        <v>0.27538964635976476</v>
      </c>
      <c r="F627" s="11">
        <v>0.60476757846421381</v>
      </c>
      <c r="G627" s="11">
        <v>3.6340385675430298E-2</v>
      </c>
      <c r="H627" s="40">
        <v>7.3110878196861015E-4</v>
      </c>
      <c r="I627" s="40">
        <v>1.3732428353971078</v>
      </c>
      <c r="J627" s="59">
        <v>0</v>
      </c>
      <c r="K627" s="59">
        <v>4798.4300181269646</v>
      </c>
      <c r="L627" s="59">
        <v>0</v>
      </c>
      <c r="M627" s="11">
        <v>0.8446459174156189</v>
      </c>
      <c r="N627" s="11">
        <v>0.7567017674446106</v>
      </c>
      <c r="O627" s="11">
        <v>0.26049304008483887</v>
      </c>
      <c r="Q627" s="59">
        <v>14.769193796543506</v>
      </c>
      <c r="R627" s="78">
        <v>529.2992232118736</v>
      </c>
      <c r="S627" s="78">
        <v>14.81992969906409</v>
      </c>
      <c r="T627" s="78">
        <v>616.85822113251254</v>
      </c>
      <c r="U627" s="59">
        <v>14.796631075069163</v>
      </c>
      <c r="V627" s="78">
        <v>870.53639948241732</v>
      </c>
      <c r="X627" s="134">
        <f t="shared" si="60"/>
        <v>1476390.0804311389</v>
      </c>
      <c r="Y627" s="134">
        <f t="shared" si="61"/>
        <v>1481376.1116852765</v>
      </c>
      <c r="Z627" s="134">
        <f t="shared" si="62"/>
        <v>1478792.5711074339</v>
      </c>
      <c r="AB627" s="127">
        <f t="shared" si="63"/>
        <v>0</v>
      </c>
      <c r="AC627" s="127">
        <f t="shared" si="64"/>
        <v>1</v>
      </c>
      <c r="AD627" s="127">
        <f t="shared" si="65"/>
        <v>0</v>
      </c>
    </row>
    <row r="628" spans="1:30" x14ac:dyDescent="0.25">
      <c r="A628">
        <v>623</v>
      </c>
      <c r="C628" s="11">
        <v>6.4971923828125E-2</v>
      </c>
      <c r="D628" s="11">
        <v>1.8673375248908997E-2</v>
      </c>
      <c r="E628" s="11">
        <v>0.3485337427611373</v>
      </c>
      <c r="F628" s="11">
        <v>0.28611803533320074</v>
      </c>
      <c r="G628" s="11">
        <v>2.4088948965072632E-2</v>
      </c>
      <c r="H628" s="40">
        <v>4.5517779636894238E-4</v>
      </c>
      <c r="I628" s="40">
        <v>1.4614744604596444</v>
      </c>
      <c r="J628" s="59">
        <v>0</v>
      </c>
      <c r="K628" s="59">
        <v>3759.4558671116829</v>
      </c>
      <c r="L628" s="59">
        <v>0</v>
      </c>
      <c r="M628" s="11">
        <v>0.7948307991027832</v>
      </c>
      <c r="N628" s="11">
        <v>0.83189249038696289</v>
      </c>
      <c r="O628" s="11">
        <v>0.29325997829437256</v>
      </c>
      <c r="Q628" s="59">
        <v>13.113163987816723</v>
      </c>
      <c r="R628" s="78">
        <v>469.29346500946514</v>
      </c>
      <c r="S628" s="78">
        <v>13.12233278932303</v>
      </c>
      <c r="T628" s="78">
        <v>605.56771496744182</v>
      </c>
      <c r="U628" s="59">
        <v>13.123229100565156</v>
      </c>
      <c r="V628" s="78">
        <v>809.8358623337532</v>
      </c>
      <c r="X628" s="134">
        <f t="shared" si="60"/>
        <v>1310847.1053166629</v>
      </c>
      <c r="Y628" s="134">
        <f t="shared" si="61"/>
        <v>1311627.7112173354</v>
      </c>
      <c r="Z628" s="134">
        <f t="shared" si="62"/>
        <v>1311513.0741941819</v>
      </c>
      <c r="AB628" s="127">
        <f t="shared" si="63"/>
        <v>0</v>
      </c>
      <c r="AC628" s="127">
        <f t="shared" si="64"/>
        <v>1</v>
      </c>
      <c r="AD628" s="127">
        <f t="shared" si="65"/>
        <v>0</v>
      </c>
    </row>
    <row r="629" spans="1:30" x14ac:dyDescent="0.25">
      <c r="A629">
        <v>624</v>
      </c>
      <c r="C629" s="11">
        <v>1.5785813331604004E-2</v>
      </c>
      <c r="D629" s="11">
        <v>1.7191290855407715E-2</v>
      </c>
      <c r="E629" s="11">
        <v>0.35994672862256566</v>
      </c>
      <c r="F629" s="11">
        <v>0.1951444650261463</v>
      </c>
      <c r="G629" s="11">
        <v>3.7290096282958984E-2</v>
      </c>
      <c r="H629" s="40">
        <v>3.5014349041332835E-4</v>
      </c>
      <c r="I629" s="40">
        <v>1.4884836907331869</v>
      </c>
      <c r="J629" s="59">
        <v>0</v>
      </c>
      <c r="K629" s="59">
        <v>4840.3488472104073</v>
      </c>
      <c r="L629" s="59">
        <v>0</v>
      </c>
      <c r="M629" s="11">
        <v>0.82022005319595337</v>
      </c>
      <c r="N629" s="11">
        <v>0.78886258602142334</v>
      </c>
      <c r="O629" s="11">
        <v>0.29345524311065674</v>
      </c>
      <c r="Q629" s="59">
        <v>14.226656587194141</v>
      </c>
      <c r="R629" s="78">
        <v>485.59304563601057</v>
      </c>
      <c r="S629" s="78">
        <v>14.24741251537799</v>
      </c>
      <c r="T629" s="78">
        <v>612.30352607197301</v>
      </c>
      <c r="U629" s="59">
        <v>14.252841466437268</v>
      </c>
      <c r="V629" s="78">
        <v>806.10275873767159</v>
      </c>
      <c r="X629" s="134">
        <f t="shared" si="60"/>
        <v>1422180.0656737781</v>
      </c>
      <c r="Y629" s="134">
        <f t="shared" si="61"/>
        <v>1424128.9480117268</v>
      </c>
      <c r="Z629" s="134">
        <f t="shared" si="62"/>
        <v>1424478.0438849891</v>
      </c>
      <c r="AB629" s="127">
        <f t="shared" si="63"/>
        <v>0</v>
      </c>
      <c r="AC629" s="127">
        <f t="shared" si="64"/>
        <v>0</v>
      </c>
      <c r="AD629" s="127">
        <f t="shared" si="65"/>
        <v>1</v>
      </c>
    </row>
    <row r="630" spans="1:30" x14ac:dyDescent="0.25">
      <c r="A630">
        <v>625</v>
      </c>
      <c r="C630" s="11">
        <v>2.0319193601608276E-2</v>
      </c>
      <c r="D630" s="11">
        <v>2.0826473832130432E-2</v>
      </c>
      <c r="E630" s="11">
        <v>0.17120004529607183</v>
      </c>
      <c r="F630" s="11">
        <v>0.27809189033809334</v>
      </c>
      <c r="G630" s="11">
        <v>3.2676264643669128E-2</v>
      </c>
      <c r="H630" s="40">
        <v>5.280356891819596E-4</v>
      </c>
      <c r="I630" s="40">
        <v>1.3796559603621021</v>
      </c>
      <c r="J630" s="59">
        <v>0</v>
      </c>
      <c r="K630" s="59">
        <v>2651.4939963817596</v>
      </c>
      <c r="L630" s="59">
        <v>0</v>
      </c>
      <c r="M630" s="11">
        <v>0.83958840370178223</v>
      </c>
      <c r="N630" s="11">
        <v>0.70241677761077881</v>
      </c>
      <c r="O630" s="11">
        <v>0.23352146148681641</v>
      </c>
      <c r="Q630" s="59">
        <v>14.461149688056611</v>
      </c>
      <c r="R630" s="78">
        <v>447.33333120786028</v>
      </c>
      <c r="S630" s="78">
        <v>14.517036096776611</v>
      </c>
      <c r="T630" s="78">
        <v>588.25534937952443</v>
      </c>
      <c r="U630" s="59">
        <v>14.509730275033075</v>
      </c>
      <c r="V630" s="78">
        <v>803.0076913506997</v>
      </c>
      <c r="X630" s="134">
        <f t="shared" si="60"/>
        <v>1445667.6354744534</v>
      </c>
      <c r="Y630" s="134">
        <f t="shared" si="61"/>
        <v>1451115.3543282815</v>
      </c>
      <c r="Z630" s="134">
        <f t="shared" si="62"/>
        <v>1450170.0198119567</v>
      </c>
      <c r="AB630" s="127">
        <f t="shared" si="63"/>
        <v>0</v>
      </c>
      <c r="AC630" s="127">
        <f t="shared" si="64"/>
        <v>1</v>
      </c>
      <c r="AD630" s="127">
        <f t="shared" si="65"/>
        <v>0</v>
      </c>
    </row>
    <row r="631" spans="1:30" x14ac:dyDescent="0.25">
      <c r="A631">
        <v>626</v>
      </c>
      <c r="C631" s="11">
        <v>3.6049187183380127E-2</v>
      </c>
      <c r="D631" s="11">
        <v>3.4778416156768799E-2</v>
      </c>
      <c r="E631" s="11">
        <v>0.18832161005003922</v>
      </c>
      <c r="F631" s="11">
        <v>0.3368679813377255</v>
      </c>
      <c r="G631" s="11">
        <v>4.4106185436248779E-2</v>
      </c>
      <c r="H631" s="40">
        <v>4.5701294953028022E-4</v>
      </c>
      <c r="I631" s="40">
        <v>1.468453935103494</v>
      </c>
      <c r="J631" s="59">
        <v>0</v>
      </c>
      <c r="K631" s="59">
        <v>5137.9576325416565</v>
      </c>
      <c r="L631" s="59">
        <v>0</v>
      </c>
      <c r="M631" s="11">
        <v>0.86730870604515076</v>
      </c>
      <c r="N631" s="11">
        <v>0.71516567468643188</v>
      </c>
      <c r="O631" s="11">
        <v>0.31541329622268677</v>
      </c>
      <c r="Q631" s="59">
        <v>14.684090558221881</v>
      </c>
      <c r="R631" s="78">
        <v>514.2509747235647</v>
      </c>
      <c r="S631" s="78">
        <v>14.751519108441711</v>
      </c>
      <c r="T631" s="78">
        <v>601.99951240534665</v>
      </c>
      <c r="U631" s="59">
        <v>14.73899924793057</v>
      </c>
      <c r="V631" s="78">
        <v>829.02416486999971</v>
      </c>
      <c r="X631" s="134">
        <f t="shared" si="60"/>
        <v>1467894.8048474644</v>
      </c>
      <c r="Y631" s="134">
        <f t="shared" si="61"/>
        <v>1474549.9113317658</v>
      </c>
      <c r="Z631" s="134">
        <f t="shared" si="62"/>
        <v>1473070.900628187</v>
      </c>
      <c r="AB631" s="127">
        <f t="shared" si="63"/>
        <v>0</v>
      </c>
      <c r="AC631" s="127">
        <f t="shared" si="64"/>
        <v>1</v>
      </c>
      <c r="AD631" s="127">
        <f t="shared" si="65"/>
        <v>0</v>
      </c>
    </row>
    <row r="632" spans="1:30" x14ac:dyDescent="0.25">
      <c r="A632">
        <v>627</v>
      </c>
      <c r="C632" s="11">
        <v>2.6704490184783936E-2</v>
      </c>
      <c r="D632" s="11">
        <v>5.2433133125305176E-2</v>
      </c>
      <c r="E632" s="11">
        <v>0.17950914480391642</v>
      </c>
      <c r="F632" s="11">
        <v>0.44386046008755181</v>
      </c>
      <c r="G632" s="11">
        <v>4.2735964059829712E-2</v>
      </c>
      <c r="H632" s="40">
        <v>3.5235274989012006E-4</v>
      </c>
      <c r="I632" s="40">
        <v>1.5247661334042395</v>
      </c>
      <c r="J632" s="59">
        <v>0</v>
      </c>
      <c r="K632" s="59">
        <v>2957.0423066616058</v>
      </c>
      <c r="L632" s="59">
        <v>0</v>
      </c>
      <c r="M632" s="11">
        <v>0.9049224853515625</v>
      </c>
      <c r="N632" s="11">
        <v>0.64330482482910156</v>
      </c>
      <c r="O632" s="11">
        <v>0.29314276576042175</v>
      </c>
      <c r="Q632" s="59">
        <v>15.443384902522546</v>
      </c>
      <c r="R632" s="78">
        <v>456.89557592274855</v>
      </c>
      <c r="S632" s="78">
        <v>15.536525637295968</v>
      </c>
      <c r="T632" s="78">
        <v>590.4582336426613</v>
      </c>
      <c r="U632" s="59">
        <v>15.506178772135023</v>
      </c>
      <c r="V632" s="78">
        <v>816.19698906940687</v>
      </c>
      <c r="X632" s="134">
        <f t="shared" si="60"/>
        <v>1543881.5946763318</v>
      </c>
      <c r="Y632" s="134">
        <f t="shared" si="61"/>
        <v>1553062.1054959542</v>
      </c>
      <c r="Z632" s="134">
        <f t="shared" si="62"/>
        <v>1549801.6802244328</v>
      </c>
      <c r="AB632" s="127">
        <f t="shared" si="63"/>
        <v>0</v>
      </c>
      <c r="AC632" s="127">
        <f t="shared" si="64"/>
        <v>1</v>
      </c>
      <c r="AD632" s="127">
        <f t="shared" si="65"/>
        <v>0</v>
      </c>
    </row>
    <row r="633" spans="1:30" x14ac:dyDescent="0.25">
      <c r="A633">
        <v>628</v>
      </c>
      <c r="C633" s="11">
        <v>1.0382324457168579E-2</v>
      </c>
      <c r="D633" s="11">
        <v>3.7958323955535889E-2</v>
      </c>
      <c r="E633" s="11">
        <v>0.32923216704160513</v>
      </c>
      <c r="F633" s="11">
        <v>7.0597136172328753E-2</v>
      </c>
      <c r="G633" s="11">
        <v>2.6674598455429077E-2</v>
      </c>
      <c r="H633" s="40">
        <v>4.1068104972457155E-4</v>
      </c>
      <c r="I633" s="40">
        <v>1.428728553333231</v>
      </c>
      <c r="J633" s="59">
        <v>0</v>
      </c>
      <c r="K633" s="59">
        <v>4886.3515257835388</v>
      </c>
      <c r="L633" s="59">
        <v>0</v>
      </c>
      <c r="M633" s="11">
        <v>0.86521521210670471</v>
      </c>
      <c r="N633" s="11">
        <v>0.81026887893676758</v>
      </c>
      <c r="O633" s="11">
        <v>0.29893380403518677</v>
      </c>
      <c r="Q633" s="59">
        <v>15.08061154652221</v>
      </c>
      <c r="R633" s="78">
        <v>480.12204659775097</v>
      </c>
      <c r="S633" s="78">
        <v>15.109625991406043</v>
      </c>
      <c r="T633" s="78">
        <v>607.64500771545875</v>
      </c>
      <c r="U633" s="59">
        <v>15.121001715099192</v>
      </c>
      <c r="V633" s="78">
        <v>794.16670238267545</v>
      </c>
      <c r="X633" s="134">
        <f t="shared" si="60"/>
        <v>1507581.0326056231</v>
      </c>
      <c r="Y633" s="134">
        <f t="shared" si="61"/>
        <v>1510354.9541328887</v>
      </c>
      <c r="Z633" s="134">
        <f t="shared" si="62"/>
        <v>1511306.0048075365</v>
      </c>
      <c r="AB633" s="127">
        <f t="shared" si="63"/>
        <v>0</v>
      </c>
      <c r="AC633" s="127">
        <f t="shared" si="64"/>
        <v>0</v>
      </c>
      <c r="AD633" s="127">
        <f t="shared" si="65"/>
        <v>1</v>
      </c>
    </row>
    <row r="634" spans="1:30" x14ac:dyDescent="0.25">
      <c r="A634">
        <v>629</v>
      </c>
      <c r="C634" s="11">
        <v>7.6136589050292969E-3</v>
      </c>
      <c r="D634" s="11">
        <v>3.6139369010925293E-2</v>
      </c>
      <c r="E634" s="11">
        <v>0.58030447478186353</v>
      </c>
      <c r="F634" s="11">
        <v>0.15530614680542437</v>
      </c>
      <c r="G634" s="11">
        <v>2.6442259550094604E-2</v>
      </c>
      <c r="H634" s="40">
        <v>5.4228958075331257E-4</v>
      </c>
      <c r="I634" s="40">
        <v>1.4888860257316507</v>
      </c>
      <c r="J634" s="59">
        <v>0</v>
      </c>
      <c r="K634" s="59">
        <v>5233.6626686155796</v>
      </c>
      <c r="L634" s="59">
        <v>0</v>
      </c>
      <c r="M634" s="11">
        <v>0.84028881788253784</v>
      </c>
      <c r="N634" s="11">
        <v>0.70392501354217529</v>
      </c>
      <c r="O634" s="11">
        <v>0.26260340213775635</v>
      </c>
      <c r="Q634" s="59">
        <v>14.630262520038245</v>
      </c>
      <c r="R634" s="78">
        <v>538.30117401407483</v>
      </c>
      <c r="S634" s="78">
        <v>14.671231918724001</v>
      </c>
      <c r="T634" s="78">
        <v>663.60817151923231</v>
      </c>
      <c r="U634" s="59">
        <v>14.713717999171083</v>
      </c>
      <c r="V634" s="78">
        <v>810.88387776684965</v>
      </c>
      <c r="X634" s="134">
        <f t="shared" si="60"/>
        <v>1462487.9508298105</v>
      </c>
      <c r="Y634" s="134">
        <f t="shared" si="61"/>
        <v>1466459.5837008809</v>
      </c>
      <c r="Z634" s="134">
        <f t="shared" si="62"/>
        <v>1470560.9160393416</v>
      </c>
      <c r="AB634" s="127">
        <f t="shared" si="63"/>
        <v>0</v>
      </c>
      <c r="AC634" s="127">
        <f t="shared" si="64"/>
        <v>0</v>
      </c>
      <c r="AD634" s="127">
        <f t="shared" si="65"/>
        <v>1</v>
      </c>
    </row>
    <row r="635" spans="1:30" x14ac:dyDescent="0.25">
      <c r="A635">
        <v>630</v>
      </c>
      <c r="C635" s="11">
        <v>6.1632543802261353E-3</v>
      </c>
      <c r="D635" s="11">
        <v>6.0300350189208984E-2</v>
      </c>
      <c r="E635" s="11">
        <v>0.25593144890249048</v>
      </c>
      <c r="F635" s="11">
        <v>1.2456664428946962</v>
      </c>
      <c r="G635" s="11">
        <v>2.653968334197998E-2</v>
      </c>
      <c r="H635" s="40">
        <v>3.7901178468593516E-4</v>
      </c>
      <c r="I635" s="40">
        <v>1.5118521719196296</v>
      </c>
      <c r="J635" s="59">
        <v>0</v>
      </c>
      <c r="K635" s="59">
        <v>4914.2702482640743</v>
      </c>
      <c r="L635" s="59">
        <v>0</v>
      </c>
      <c r="M635" s="11">
        <v>0.88387250900268555</v>
      </c>
      <c r="N635" s="11">
        <v>0.71738630533218384</v>
      </c>
      <c r="O635" s="11">
        <v>0.29253378510475159</v>
      </c>
      <c r="Q635" s="59">
        <v>15.42469421305562</v>
      </c>
      <c r="R635" s="78">
        <v>495.6916574861603</v>
      </c>
      <c r="S635" s="78">
        <v>15.492356619691027</v>
      </c>
      <c r="T635" s="78">
        <v>605.39253533674434</v>
      </c>
      <c r="U635" s="59">
        <v>15.40281574509595</v>
      </c>
      <c r="V635" s="78">
        <v>914.09519528938415</v>
      </c>
      <c r="X635" s="134">
        <f t="shared" si="60"/>
        <v>1541973.7296480758</v>
      </c>
      <c r="Y635" s="134">
        <f t="shared" si="61"/>
        <v>1548630.2694337659</v>
      </c>
      <c r="Z635" s="134">
        <f t="shared" si="62"/>
        <v>1539367.4793143056</v>
      </c>
      <c r="AB635" s="127">
        <f t="shared" si="63"/>
        <v>0</v>
      </c>
      <c r="AC635" s="127">
        <f t="shared" si="64"/>
        <v>1</v>
      </c>
      <c r="AD635" s="127">
        <f t="shared" si="65"/>
        <v>0</v>
      </c>
    </row>
    <row r="636" spans="1:30" x14ac:dyDescent="0.25">
      <c r="A636">
        <v>631</v>
      </c>
      <c r="C636" s="11">
        <v>1.4204829931259155E-2</v>
      </c>
      <c r="D636" s="11">
        <v>5.3344249725341797E-2</v>
      </c>
      <c r="E636" s="11">
        <v>0.15534459065026396</v>
      </c>
      <c r="F636" s="11">
        <v>0.16425426669231399</v>
      </c>
      <c r="G636" s="11">
        <v>2.4055957794189453E-2</v>
      </c>
      <c r="H636" s="40">
        <v>3.5939051412795534E-4</v>
      </c>
      <c r="I636" s="40">
        <v>1.490377299392674</v>
      </c>
      <c r="J636" s="59">
        <v>0</v>
      </c>
      <c r="K636" s="59">
        <v>7377.6952922344208</v>
      </c>
      <c r="L636" s="59">
        <v>0</v>
      </c>
      <c r="M636" s="11">
        <v>0.86275333166122437</v>
      </c>
      <c r="N636" s="11">
        <v>0.81395339965820313</v>
      </c>
      <c r="O636" s="11">
        <v>0.27655518054962158</v>
      </c>
      <c r="Q636" s="59">
        <v>14.974404598354287</v>
      </c>
      <c r="R636" s="78">
        <v>527.45360458517291</v>
      </c>
      <c r="S636" s="78">
        <v>15.015189547659542</v>
      </c>
      <c r="T636" s="78">
        <v>600.02397285466168</v>
      </c>
      <c r="U636" s="59">
        <v>15.014752245816053</v>
      </c>
      <c r="V636" s="78">
        <v>810.22648072481547</v>
      </c>
      <c r="X636" s="134">
        <f t="shared" si="60"/>
        <v>1496913.0062308435</v>
      </c>
      <c r="Y636" s="134">
        <f t="shared" si="61"/>
        <v>1500918.9307930996</v>
      </c>
      <c r="Z636" s="134">
        <f t="shared" si="62"/>
        <v>1500664.9981008805</v>
      </c>
      <c r="AB636" s="127">
        <f t="shared" si="63"/>
        <v>0</v>
      </c>
      <c r="AC636" s="127">
        <f t="shared" si="64"/>
        <v>1</v>
      </c>
      <c r="AD636" s="127">
        <f t="shared" si="65"/>
        <v>0</v>
      </c>
    </row>
    <row r="637" spans="1:30" x14ac:dyDescent="0.25">
      <c r="A637">
        <v>632</v>
      </c>
      <c r="C637" s="11">
        <v>2.6184499263763428E-2</v>
      </c>
      <c r="D637" s="11">
        <v>2.208477258682251E-2</v>
      </c>
      <c r="E637" s="11">
        <v>0.37118304184278089</v>
      </c>
      <c r="F637" s="11">
        <v>0.14936908791399262</v>
      </c>
      <c r="G637" s="11">
        <v>2.4185091257095337E-2</v>
      </c>
      <c r="H637" s="40">
        <v>3.3462209621480757E-4</v>
      </c>
      <c r="I637" s="40">
        <v>1.5890355571573689</v>
      </c>
      <c r="J637" s="59">
        <v>0</v>
      </c>
      <c r="K637" s="59">
        <v>5873.2624165713787</v>
      </c>
      <c r="L637" s="59">
        <v>0</v>
      </c>
      <c r="M637" s="11">
        <v>0.87441390752792358</v>
      </c>
      <c r="N637" s="11">
        <v>0.79110366106033325</v>
      </c>
      <c r="O637" s="11">
        <v>0.29755371809005737</v>
      </c>
      <c r="Q637" s="59">
        <v>14.980425264943179</v>
      </c>
      <c r="R637" s="78">
        <v>524.89269802503475</v>
      </c>
      <c r="S637" s="78">
        <v>15.018056611545408</v>
      </c>
      <c r="T637" s="78">
        <v>628.25407683088224</v>
      </c>
      <c r="U637" s="59">
        <v>15.031625402954321</v>
      </c>
      <c r="V637" s="78">
        <v>807.91716197126982</v>
      </c>
      <c r="X637" s="134">
        <f t="shared" si="60"/>
        <v>1497517.6337962928</v>
      </c>
      <c r="Y637" s="134">
        <f t="shared" si="61"/>
        <v>1501177.4070777099</v>
      </c>
      <c r="Z637" s="134">
        <f t="shared" si="62"/>
        <v>1502354.6231334608</v>
      </c>
      <c r="AB637" s="127">
        <f t="shared" si="63"/>
        <v>0</v>
      </c>
      <c r="AC637" s="127">
        <f t="shared" si="64"/>
        <v>0</v>
      </c>
      <c r="AD637" s="127">
        <f t="shared" si="65"/>
        <v>1</v>
      </c>
    </row>
    <row r="638" spans="1:30" x14ac:dyDescent="0.25">
      <c r="A638">
        <v>633</v>
      </c>
      <c r="C638" s="11">
        <v>5.1765203475952148E-2</v>
      </c>
      <c r="D638" s="11">
        <v>3.3185482025146484E-3</v>
      </c>
      <c r="E638" s="11">
        <v>0.22532646561691994</v>
      </c>
      <c r="F638" s="11">
        <v>0.18099414959364887</v>
      </c>
      <c r="G638" s="11">
        <v>4.6113282442092896E-2</v>
      </c>
      <c r="H638" s="40">
        <v>3.1984900053117486E-4</v>
      </c>
      <c r="I638" s="40">
        <v>1.4208096137703454</v>
      </c>
      <c r="J638" s="59">
        <v>0</v>
      </c>
      <c r="K638" s="59">
        <v>3731.4859218895435</v>
      </c>
      <c r="L638" s="59">
        <v>0</v>
      </c>
      <c r="M638" s="11">
        <v>0.87764137983322144</v>
      </c>
      <c r="N638" s="11">
        <v>0.70162284374237061</v>
      </c>
      <c r="O638" s="11">
        <v>0.28357616066932678</v>
      </c>
      <c r="Q638" s="59">
        <v>14.649620186580622</v>
      </c>
      <c r="R638" s="78">
        <v>447.73691182614021</v>
      </c>
      <c r="S638" s="78">
        <v>14.688384574131607</v>
      </c>
      <c r="T638" s="78">
        <v>591.21488914395798</v>
      </c>
      <c r="U638" s="59">
        <v>14.690626745868395</v>
      </c>
      <c r="V638" s="78">
        <v>797.81658543273159</v>
      </c>
      <c r="X638" s="134">
        <f t="shared" si="60"/>
        <v>1464514.2817462361</v>
      </c>
      <c r="Y638" s="134">
        <f t="shared" si="61"/>
        <v>1468247.2425240166</v>
      </c>
      <c r="Z638" s="134">
        <f t="shared" si="62"/>
        <v>1468264.8580014068</v>
      </c>
      <c r="AB638" s="127">
        <f t="shared" si="63"/>
        <v>0</v>
      </c>
      <c r="AC638" s="127">
        <f t="shared" si="64"/>
        <v>0</v>
      </c>
      <c r="AD638" s="127">
        <f t="shared" si="65"/>
        <v>1</v>
      </c>
    </row>
    <row r="639" spans="1:30" x14ac:dyDescent="0.25">
      <c r="A639">
        <v>634</v>
      </c>
      <c r="C639" s="11">
        <v>1.6178280115127563E-2</v>
      </c>
      <c r="D639" s="11">
        <v>1.2300923466682434E-2</v>
      </c>
      <c r="E639" s="11">
        <v>0.21840909144081044</v>
      </c>
      <c r="F639" s="11">
        <v>0.28766231526074887</v>
      </c>
      <c r="G639" s="11">
        <v>3.0356079339981079E-2</v>
      </c>
      <c r="H639" s="40">
        <v>4.861492213404945E-4</v>
      </c>
      <c r="I639" s="40">
        <v>1.4251079865242147</v>
      </c>
      <c r="J639" s="59">
        <v>0</v>
      </c>
      <c r="K639" s="59">
        <v>5741.4756156504154</v>
      </c>
      <c r="L639" s="59">
        <v>0</v>
      </c>
      <c r="M639" s="11">
        <v>0.8946068286895752</v>
      </c>
      <c r="N639" s="11">
        <v>0.83262729644775391</v>
      </c>
      <c r="O639" s="11">
        <v>0.265205979347229</v>
      </c>
      <c r="Q639" s="59">
        <v>15.498176595957101</v>
      </c>
      <c r="R639" s="78">
        <v>514.54830841153932</v>
      </c>
      <c r="S639" s="78">
        <v>15.535619801364806</v>
      </c>
      <c r="T639" s="78">
        <v>605.69525840535857</v>
      </c>
      <c r="U639" s="59">
        <v>15.532251387660676</v>
      </c>
      <c r="V639" s="78">
        <v>823.11654030590512</v>
      </c>
      <c r="X639" s="134">
        <f t="shared" si="60"/>
        <v>1549303.1112872986</v>
      </c>
      <c r="Y639" s="134">
        <f t="shared" si="61"/>
        <v>1552956.2848780754</v>
      </c>
      <c r="Z639" s="134">
        <f t="shared" si="62"/>
        <v>1552402.0222257616</v>
      </c>
      <c r="AB639" s="127">
        <f t="shared" si="63"/>
        <v>0</v>
      </c>
      <c r="AC639" s="127">
        <f t="shared" si="64"/>
        <v>1</v>
      </c>
      <c r="AD639" s="127">
        <f t="shared" si="65"/>
        <v>0</v>
      </c>
    </row>
    <row r="640" spans="1:30" x14ac:dyDescent="0.25">
      <c r="A640">
        <v>635</v>
      </c>
      <c r="C640" s="11">
        <v>1.0823085904121399E-2</v>
      </c>
      <c r="D640" s="11">
        <v>4.2670965194702148E-3</v>
      </c>
      <c r="E640" s="11">
        <v>0.32153872569219905</v>
      </c>
      <c r="F640" s="11">
        <v>0.21567814698986962</v>
      </c>
      <c r="G640" s="11">
        <v>3.3033430576324463E-2</v>
      </c>
      <c r="H640" s="40">
        <v>5.5568447817002091E-4</v>
      </c>
      <c r="I640" s="40">
        <v>1.4198038524454344</v>
      </c>
      <c r="J640" s="59">
        <v>0</v>
      </c>
      <c r="K640" s="59">
        <v>6234.9997460842133</v>
      </c>
      <c r="L640" s="59">
        <v>0</v>
      </c>
      <c r="M640" s="11">
        <v>0.88775843381881714</v>
      </c>
      <c r="N640" s="11">
        <v>0.78136026859283447</v>
      </c>
      <c r="O640" s="11">
        <v>0.28592267632484436</v>
      </c>
      <c r="Q640" s="59">
        <v>15.445826527273233</v>
      </c>
      <c r="R640" s="78">
        <v>544.26351391509525</v>
      </c>
      <c r="S640" s="78">
        <v>15.489896626411808</v>
      </c>
      <c r="T640" s="78">
        <v>627.96686284627651</v>
      </c>
      <c r="U640" s="59">
        <v>15.496899117407791</v>
      </c>
      <c r="V640" s="78">
        <v>820.91459160448255</v>
      </c>
      <c r="X640" s="134">
        <f t="shared" si="60"/>
        <v>1544038.3892134083</v>
      </c>
      <c r="Y640" s="134">
        <f t="shared" si="61"/>
        <v>1548361.6957783345</v>
      </c>
      <c r="Z640" s="134">
        <f t="shared" si="62"/>
        <v>1548868.9971491748</v>
      </c>
      <c r="AB640" s="127">
        <f t="shared" si="63"/>
        <v>0</v>
      </c>
      <c r="AC640" s="127">
        <f t="shared" si="64"/>
        <v>0</v>
      </c>
      <c r="AD640" s="127">
        <f t="shared" si="65"/>
        <v>1</v>
      </c>
    </row>
    <row r="641" spans="1:30" x14ac:dyDescent="0.25">
      <c r="A641">
        <v>636</v>
      </c>
      <c r="C641" s="11">
        <v>1.8290966749191284E-2</v>
      </c>
      <c r="D641" s="11">
        <v>1.3885021209716797E-2</v>
      </c>
      <c r="E641" s="11">
        <v>0.23082238490846618</v>
      </c>
      <c r="F641" s="11">
        <v>0.30094096268555187</v>
      </c>
      <c r="G641" s="11">
        <v>3.1412243843078613E-2</v>
      </c>
      <c r="H641" s="40">
        <v>2.6459853723433114E-4</v>
      </c>
      <c r="I641" s="40">
        <v>1.5992448635703629</v>
      </c>
      <c r="J641" s="59">
        <v>0</v>
      </c>
      <c r="K641" s="59">
        <v>8065.1696771383286</v>
      </c>
      <c r="L641" s="59">
        <v>0</v>
      </c>
      <c r="M641" s="11">
        <v>0.83606559038162231</v>
      </c>
      <c r="N641" s="11">
        <v>0.69132006168365479</v>
      </c>
      <c r="O641" s="11">
        <v>0.34323775768280029</v>
      </c>
      <c r="Q641" s="59">
        <v>14.436037793153922</v>
      </c>
      <c r="R641" s="78">
        <v>548.44117952061538</v>
      </c>
      <c r="S641" s="78">
        <v>14.483311496438429</v>
      </c>
      <c r="T641" s="78">
        <v>615.1381406550106</v>
      </c>
      <c r="U641" s="59">
        <v>14.478940269194439</v>
      </c>
      <c r="V641" s="78">
        <v>835.05718795005021</v>
      </c>
      <c r="X641" s="134">
        <f t="shared" si="60"/>
        <v>1443055.3381358716</v>
      </c>
      <c r="Y641" s="134">
        <f t="shared" si="61"/>
        <v>1447716.0115031877</v>
      </c>
      <c r="Z641" s="134">
        <f t="shared" si="62"/>
        <v>1447058.9697314939</v>
      </c>
      <c r="AB641" s="127">
        <f t="shared" si="63"/>
        <v>0</v>
      </c>
      <c r="AC641" s="127">
        <f t="shared" si="64"/>
        <v>1</v>
      </c>
      <c r="AD641" s="127">
        <f t="shared" si="65"/>
        <v>0</v>
      </c>
    </row>
    <row r="642" spans="1:30" x14ac:dyDescent="0.25">
      <c r="A642">
        <v>637</v>
      </c>
      <c r="C642" s="11">
        <v>1.3575106859207153E-2</v>
      </c>
      <c r="D642" s="11">
        <v>8.721083402633667E-3</v>
      </c>
      <c r="E642" s="11">
        <v>0.34077469612700978</v>
      </c>
      <c r="F642" s="11">
        <v>0.41939638314178079</v>
      </c>
      <c r="G642" s="11">
        <v>2.4279922246932983E-2</v>
      </c>
      <c r="H642" s="40">
        <v>4.4850386006048501E-4</v>
      </c>
      <c r="I642" s="40">
        <v>1.5471384046398375</v>
      </c>
      <c r="J642" s="59">
        <v>0</v>
      </c>
      <c r="K642" s="59">
        <v>4527.7900062501431</v>
      </c>
      <c r="L642" s="59">
        <v>0</v>
      </c>
      <c r="M642" s="11">
        <v>0.881034255027771</v>
      </c>
      <c r="N642" s="11">
        <v>0.74596977233886719</v>
      </c>
      <c r="O642" s="11">
        <v>0.29872030019760132</v>
      </c>
      <c r="Q642" s="59">
        <v>15.263633961915835</v>
      </c>
      <c r="R642" s="78">
        <v>514.95660718425142</v>
      </c>
      <c r="S642" s="78">
        <v>15.320627611816009</v>
      </c>
      <c r="T642" s="78">
        <v>620.90622679736543</v>
      </c>
      <c r="U642" s="59">
        <v>15.313715300308875</v>
      </c>
      <c r="V642" s="78">
        <v>839.47232611612606</v>
      </c>
      <c r="X642" s="134">
        <f t="shared" si="60"/>
        <v>1525848.4395843993</v>
      </c>
      <c r="Y642" s="134">
        <f t="shared" si="61"/>
        <v>1531441.8549548036</v>
      </c>
      <c r="Z642" s="134">
        <f t="shared" si="62"/>
        <v>1530532.0577047714</v>
      </c>
      <c r="AB642" s="127">
        <f t="shared" si="63"/>
        <v>0</v>
      </c>
      <c r="AC642" s="127">
        <f t="shared" si="64"/>
        <v>1</v>
      </c>
      <c r="AD642" s="127">
        <f t="shared" si="65"/>
        <v>0</v>
      </c>
    </row>
    <row r="643" spans="1:30" x14ac:dyDescent="0.25">
      <c r="A643">
        <v>638</v>
      </c>
      <c r="C643" s="11">
        <v>1.2878954410552979E-2</v>
      </c>
      <c r="D643" s="11">
        <v>5.5405139923095703E-2</v>
      </c>
      <c r="E643" s="11">
        <v>0.12509432086779565</v>
      </c>
      <c r="F643" s="11">
        <v>0.13198189602655308</v>
      </c>
      <c r="G643" s="11">
        <v>3.2141953706741333E-2</v>
      </c>
      <c r="H643" s="40">
        <v>3.9827669654170868E-4</v>
      </c>
      <c r="I643" s="40">
        <v>1.4958101622551085</v>
      </c>
      <c r="J643" s="59">
        <v>0</v>
      </c>
      <c r="K643" s="59">
        <v>4125.9918361902237</v>
      </c>
      <c r="L643" s="59">
        <v>0</v>
      </c>
      <c r="M643" s="11">
        <v>0.79488658905029297</v>
      </c>
      <c r="N643" s="11">
        <v>0.76462304592132568</v>
      </c>
      <c r="O643" s="11">
        <v>0.25683689117431641</v>
      </c>
      <c r="Q643" s="59">
        <v>13.811361711421723</v>
      </c>
      <c r="R643" s="78">
        <v>481.60627430865736</v>
      </c>
      <c r="S643" s="78">
        <v>13.853546871110556</v>
      </c>
      <c r="T643" s="78">
        <v>590.13853359250561</v>
      </c>
      <c r="U643" s="59">
        <v>13.85320833161799</v>
      </c>
      <c r="V643" s="78">
        <v>799.75029726838795</v>
      </c>
      <c r="X643" s="134">
        <f t="shared" si="60"/>
        <v>1380654.5648678637</v>
      </c>
      <c r="Y643" s="134">
        <f t="shared" si="61"/>
        <v>1384764.548577463</v>
      </c>
      <c r="Z643" s="134">
        <f t="shared" si="62"/>
        <v>1384521.0828645306</v>
      </c>
      <c r="AB643" s="127">
        <f t="shared" si="63"/>
        <v>0</v>
      </c>
      <c r="AC643" s="127">
        <f t="shared" si="64"/>
        <v>1</v>
      </c>
      <c r="AD643" s="127">
        <f t="shared" si="65"/>
        <v>0</v>
      </c>
    </row>
    <row r="644" spans="1:30" x14ac:dyDescent="0.25">
      <c r="A644">
        <v>639</v>
      </c>
      <c r="C644" s="11">
        <v>1.4755427837371826E-3</v>
      </c>
      <c r="D644" s="11">
        <v>6.4933747053146362E-3</v>
      </c>
      <c r="E644" s="11">
        <v>0.17952380864765058</v>
      </c>
      <c r="F644" s="11">
        <v>0.14704517649447862</v>
      </c>
      <c r="G644" s="11">
        <v>7.8071951866149902E-2</v>
      </c>
      <c r="H644" s="40">
        <v>3.1591342730813047E-4</v>
      </c>
      <c r="I644" s="40">
        <v>1.6063589762966333</v>
      </c>
      <c r="J644" s="59">
        <v>0</v>
      </c>
      <c r="K644" s="59">
        <v>5332.5213957577944</v>
      </c>
      <c r="L644" s="59">
        <v>0</v>
      </c>
      <c r="M644" s="11">
        <v>0.84350067377090454</v>
      </c>
      <c r="N644" s="11">
        <v>0.75576275587081909</v>
      </c>
      <c r="O644" s="11">
        <v>0.28851413726806641</v>
      </c>
      <c r="Q644" s="59">
        <v>14.812004720823365</v>
      </c>
      <c r="R644" s="78">
        <v>550.63099272377644</v>
      </c>
      <c r="S644" s="78">
        <v>14.865293220862862</v>
      </c>
      <c r="T644" s="78">
        <v>607.60273441600611</v>
      </c>
      <c r="U644" s="59">
        <v>14.867449144975932</v>
      </c>
      <c r="V644" s="78">
        <v>811.44401764645897</v>
      </c>
      <c r="X644" s="134">
        <f t="shared" si="60"/>
        <v>1480649.8410896126</v>
      </c>
      <c r="Y644" s="134">
        <f t="shared" si="61"/>
        <v>1485921.7193518702</v>
      </c>
      <c r="Z644" s="134">
        <f t="shared" si="62"/>
        <v>1485933.4704799468</v>
      </c>
      <c r="AB644" s="127">
        <f t="shared" si="63"/>
        <v>0</v>
      </c>
      <c r="AC644" s="127">
        <f t="shared" si="64"/>
        <v>0</v>
      </c>
      <c r="AD644" s="127">
        <f t="shared" si="65"/>
        <v>1</v>
      </c>
    </row>
    <row r="645" spans="1:30" x14ac:dyDescent="0.25">
      <c r="A645">
        <v>640</v>
      </c>
      <c r="C645" s="11">
        <v>3.8733005523681641E-2</v>
      </c>
      <c r="D645" s="11">
        <v>2.8189539909362793E-2</v>
      </c>
      <c r="E645" s="11">
        <v>0.18380793546448018</v>
      </c>
      <c r="F645" s="11">
        <v>0.29396023482896222</v>
      </c>
      <c r="G645" s="11">
        <v>2.4031937122344971E-2</v>
      </c>
      <c r="H645" s="40">
        <v>4.501604685408801E-4</v>
      </c>
      <c r="I645" s="40">
        <v>1.3935355916386527</v>
      </c>
      <c r="J645" s="59">
        <v>0</v>
      </c>
      <c r="K645" s="59">
        <v>3240.8302649855614</v>
      </c>
      <c r="L645" s="59">
        <v>0</v>
      </c>
      <c r="M645" s="11">
        <v>0.87092936038970947</v>
      </c>
      <c r="N645" s="11">
        <v>0.80988955497741699</v>
      </c>
      <c r="O645" s="11">
        <v>0.33205091953277588</v>
      </c>
      <c r="Q645" s="59">
        <v>14.748442882675771</v>
      </c>
      <c r="R645" s="78">
        <v>448.15014450340482</v>
      </c>
      <c r="S645" s="78">
        <v>14.780520117093733</v>
      </c>
      <c r="T645" s="78">
        <v>589.07419833795257</v>
      </c>
      <c r="U645" s="59">
        <v>14.776137699992423</v>
      </c>
      <c r="V645" s="78">
        <v>804.08509755477178</v>
      </c>
      <c r="X645" s="134">
        <f t="shared" si="60"/>
        <v>1474396.1381230736</v>
      </c>
      <c r="Y645" s="134">
        <f t="shared" si="61"/>
        <v>1477462.9375110352</v>
      </c>
      <c r="Z645" s="134">
        <f t="shared" si="62"/>
        <v>1476809.6849016875</v>
      </c>
      <c r="AB645" s="127">
        <f t="shared" si="63"/>
        <v>0</v>
      </c>
      <c r="AC645" s="127">
        <f t="shared" si="64"/>
        <v>1</v>
      </c>
      <c r="AD645" s="127">
        <f t="shared" si="65"/>
        <v>0</v>
      </c>
    </row>
    <row r="646" spans="1:30" x14ac:dyDescent="0.25">
      <c r="A646">
        <v>641</v>
      </c>
      <c r="C646" s="11">
        <v>2.5290071964263916E-2</v>
      </c>
      <c r="D646" s="11">
        <v>2.6746064424514771E-2</v>
      </c>
      <c r="E646" s="11">
        <v>0.18930968592771716</v>
      </c>
      <c r="F646" s="11">
        <v>0.38798782930562475</v>
      </c>
      <c r="G646" s="11">
        <v>4.6679049730300903E-2</v>
      </c>
      <c r="H646" s="40">
        <v>4.8600588813351375E-4</v>
      </c>
      <c r="I646" s="40">
        <v>1.3584222666263461</v>
      </c>
      <c r="J646" s="59">
        <v>0</v>
      </c>
      <c r="K646" s="59">
        <v>6500.2543851733208</v>
      </c>
      <c r="L646" s="59">
        <v>0</v>
      </c>
      <c r="M646" s="11">
        <v>0.82544201612472534</v>
      </c>
      <c r="N646" s="11">
        <v>0.7888484001159668</v>
      </c>
      <c r="O646" s="11">
        <v>0.29833942651748657</v>
      </c>
      <c r="Q646" s="59">
        <v>14.176302920704991</v>
      </c>
      <c r="R646" s="78">
        <v>514.97331952116826</v>
      </c>
      <c r="S646" s="78">
        <v>14.204765512918868</v>
      </c>
      <c r="T646" s="78">
        <v>602.15936017795332</v>
      </c>
      <c r="U646" s="59">
        <v>14.197718878713514</v>
      </c>
      <c r="V646" s="78">
        <v>835.33426189031604</v>
      </c>
      <c r="X646" s="134">
        <f t="shared" si="60"/>
        <v>1417115.318750978</v>
      </c>
      <c r="Y646" s="134">
        <f t="shared" si="61"/>
        <v>1419874.3919317089</v>
      </c>
      <c r="Z646" s="134">
        <f t="shared" si="62"/>
        <v>1418936.5536094613</v>
      </c>
      <c r="AB646" s="127">
        <f t="shared" si="63"/>
        <v>0</v>
      </c>
      <c r="AC646" s="127">
        <f t="shared" si="64"/>
        <v>1</v>
      </c>
      <c r="AD646" s="127">
        <f t="shared" si="65"/>
        <v>0</v>
      </c>
    </row>
    <row r="647" spans="1:30" x14ac:dyDescent="0.25">
      <c r="A647">
        <v>642</v>
      </c>
      <c r="C647" s="11">
        <v>1.5382617712020874E-2</v>
      </c>
      <c r="D647" s="11">
        <v>8.6237639188766479E-3</v>
      </c>
      <c r="E647" s="11">
        <v>0.34595894472446831</v>
      </c>
      <c r="F647" s="11">
        <v>0.33519495819067219</v>
      </c>
      <c r="G647" s="11">
        <v>4.610028862953186E-2</v>
      </c>
      <c r="H647" s="40">
        <v>4.2787176838598003E-4</v>
      </c>
      <c r="I647" s="40">
        <v>1.571981381781197</v>
      </c>
      <c r="J647" s="59">
        <v>0</v>
      </c>
      <c r="K647" s="59">
        <v>7763.5142952203751</v>
      </c>
      <c r="L647" s="59">
        <v>0</v>
      </c>
      <c r="M647" s="11">
        <v>0.86625766754150391</v>
      </c>
      <c r="N647" s="11">
        <v>0.74337649345397949</v>
      </c>
      <c r="O647" s="11">
        <v>0.24844551086425781</v>
      </c>
      <c r="Q647" s="59">
        <v>14.974849337592529</v>
      </c>
      <c r="R647" s="78">
        <v>632.10511565645493</v>
      </c>
      <c r="S647" s="78">
        <v>15.03372966916246</v>
      </c>
      <c r="T647" s="78">
        <v>662.75972708776715</v>
      </c>
      <c r="U647" s="59">
        <v>15.034718410073797</v>
      </c>
      <c r="V647" s="78">
        <v>869.17612058646318</v>
      </c>
      <c r="X647" s="134">
        <f t="shared" si="60"/>
        <v>1496852.8286435963</v>
      </c>
      <c r="Y647" s="134">
        <f t="shared" si="61"/>
        <v>1502710.2071891581</v>
      </c>
      <c r="Z647" s="134">
        <f t="shared" si="62"/>
        <v>1502602.6648867931</v>
      </c>
      <c r="AB647" s="127">
        <f t="shared" si="63"/>
        <v>0</v>
      </c>
      <c r="AC647" s="127">
        <f t="shared" si="64"/>
        <v>1</v>
      </c>
      <c r="AD647" s="127">
        <f t="shared" si="65"/>
        <v>0</v>
      </c>
    </row>
    <row r="648" spans="1:30" x14ac:dyDescent="0.25">
      <c r="A648">
        <v>643</v>
      </c>
      <c r="C648" s="11">
        <v>2.2024452686309814E-2</v>
      </c>
      <c r="D648" s="11">
        <v>3.8594365119934082E-2</v>
      </c>
      <c r="E648" s="11">
        <v>0.32932219585637845</v>
      </c>
      <c r="F648" s="11">
        <v>0.17667711459124086</v>
      </c>
      <c r="G648" s="11">
        <v>6.9264411926269531E-2</v>
      </c>
      <c r="H648" s="40">
        <v>5.0068417437832942E-4</v>
      </c>
      <c r="I648" s="40">
        <v>1.3994806372405388</v>
      </c>
      <c r="J648" s="59">
        <v>0</v>
      </c>
      <c r="K648" s="59">
        <v>5721.4614935219288</v>
      </c>
      <c r="L648" s="59">
        <v>0</v>
      </c>
      <c r="M648" s="11">
        <v>0.87281113862991333</v>
      </c>
      <c r="N648" s="11">
        <v>0.71221840381622314</v>
      </c>
      <c r="O648" s="11">
        <v>0.32464587688446045</v>
      </c>
      <c r="Q648" s="59">
        <v>14.995004152039973</v>
      </c>
      <c r="R648" s="78">
        <v>530.24125461582935</v>
      </c>
      <c r="S648" s="78">
        <v>15.049937665331038</v>
      </c>
      <c r="T648" s="78">
        <v>624.35475006226932</v>
      </c>
      <c r="U648" s="59">
        <v>15.062632812353618</v>
      </c>
      <c r="V648" s="78">
        <v>812.39249868694469</v>
      </c>
      <c r="X648" s="134">
        <f t="shared" si="60"/>
        <v>1498970.1739493816</v>
      </c>
      <c r="Y648" s="134">
        <f t="shared" si="61"/>
        <v>1504369.4117830414</v>
      </c>
      <c r="Z648" s="134">
        <f t="shared" si="62"/>
        <v>1505450.8887366748</v>
      </c>
      <c r="AB648" s="127">
        <f t="shared" si="63"/>
        <v>0</v>
      </c>
      <c r="AC648" s="127">
        <f t="shared" si="64"/>
        <v>0</v>
      </c>
      <c r="AD648" s="127">
        <f t="shared" si="65"/>
        <v>1</v>
      </c>
    </row>
    <row r="649" spans="1:30" x14ac:dyDescent="0.25">
      <c r="A649">
        <v>644</v>
      </c>
      <c r="C649" s="11">
        <v>1.4512434601783752E-2</v>
      </c>
      <c r="D649" s="11">
        <v>4.640430212020874E-3</v>
      </c>
      <c r="E649" s="11">
        <v>0.21383711385875559</v>
      </c>
      <c r="F649" s="11">
        <v>0.12507812157136286</v>
      </c>
      <c r="G649" s="11">
        <v>2.0546138286590576E-2</v>
      </c>
      <c r="H649" s="40">
        <v>3.5861000068591019E-4</v>
      </c>
      <c r="I649" s="40">
        <v>1.5401481414447518</v>
      </c>
      <c r="J649" s="59">
        <v>0</v>
      </c>
      <c r="K649" s="59">
        <v>4762.2970305383205</v>
      </c>
      <c r="L649" s="59">
        <v>0</v>
      </c>
      <c r="M649" s="11">
        <v>0.86035186052322388</v>
      </c>
      <c r="N649" s="11">
        <v>0.76597315073013306</v>
      </c>
      <c r="O649" s="11">
        <v>0.27921384572982788</v>
      </c>
      <c r="Q649" s="59">
        <v>14.922047397685372</v>
      </c>
      <c r="R649" s="78">
        <v>492.01495697724482</v>
      </c>
      <c r="S649" s="78">
        <v>14.964522206327072</v>
      </c>
      <c r="T649" s="78">
        <v>600.28711405802312</v>
      </c>
      <c r="U649" s="59">
        <v>14.969416473959122</v>
      </c>
      <c r="V649" s="78">
        <v>800.47331884142352</v>
      </c>
      <c r="X649" s="134">
        <f t="shared" si="60"/>
        <v>1491712.72481156</v>
      </c>
      <c r="Y649" s="134">
        <f t="shared" si="61"/>
        <v>1495851.9335186493</v>
      </c>
      <c r="Z649" s="134">
        <f t="shared" si="62"/>
        <v>1496141.1740770708</v>
      </c>
      <c r="AB649" s="127">
        <f t="shared" si="63"/>
        <v>0</v>
      </c>
      <c r="AC649" s="127">
        <f t="shared" si="64"/>
        <v>0</v>
      </c>
      <c r="AD649" s="127">
        <f t="shared" si="65"/>
        <v>1</v>
      </c>
    </row>
    <row r="650" spans="1:30" x14ac:dyDescent="0.25">
      <c r="A650">
        <v>645</v>
      </c>
      <c r="C650" s="11">
        <v>1.5890404582023621E-2</v>
      </c>
      <c r="D650" s="11">
        <v>3.1180977821350098E-2</v>
      </c>
      <c r="E650" s="11">
        <v>0.19260229501441281</v>
      </c>
      <c r="F650" s="11">
        <v>6.8423931731064466E-2</v>
      </c>
      <c r="G650" s="11">
        <v>4.7819823026657104E-2</v>
      </c>
      <c r="H650" s="40">
        <v>6.3559790380853757E-4</v>
      </c>
      <c r="I650" s="40">
        <v>1.3497806205716669</v>
      </c>
      <c r="J650" s="59">
        <v>0</v>
      </c>
      <c r="K650" s="59">
        <v>8159.7920507192612</v>
      </c>
      <c r="L650" s="59">
        <v>0</v>
      </c>
      <c r="M650" s="11">
        <v>0.82607287168502808</v>
      </c>
      <c r="N650" s="11">
        <v>0.71627771854400635</v>
      </c>
      <c r="O650" s="11">
        <v>0.28532963991165161</v>
      </c>
      <c r="Q650" s="59">
        <v>14.290573764251176</v>
      </c>
      <c r="R650" s="78">
        <v>589.59353464641015</v>
      </c>
      <c r="S650" s="78">
        <v>14.346038465312287</v>
      </c>
      <c r="T650" s="78">
        <v>617.20740905983484</v>
      </c>
      <c r="U650" s="59">
        <v>14.354730837337577</v>
      </c>
      <c r="V650" s="78">
        <v>801.60327658000983</v>
      </c>
      <c r="X650" s="134">
        <f t="shared" si="60"/>
        <v>1428467.7828904714</v>
      </c>
      <c r="Y650" s="134">
        <f t="shared" si="61"/>
        <v>1433986.6391221688</v>
      </c>
      <c r="Z650" s="134">
        <f t="shared" si="62"/>
        <v>1434671.4804571776</v>
      </c>
      <c r="AB650" s="127">
        <f t="shared" si="63"/>
        <v>0</v>
      </c>
      <c r="AC650" s="127">
        <f t="shared" si="64"/>
        <v>0</v>
      </c>
      <c r="AD650" s="127">
        <f t="shared" si="65"/>
        <v>1</v>
      </c>
    </row>
    <row r="651" spans="1:30" x14ac:dyDescent="0.25">
      <c r="A651">
        <v>646</v>
      </c>
      <c r="C651" s="11">
        <v>1.0693535208702087E-2</v>
      </c>
      <c r="D651" s="11">
        <v>2.4641647934913635E-2</v>
      </c>
      <c r="E651" s="11">
        <v>0.14855526922582504</v>
      </c>
      <c r="F651" s="11">
        <v>0.30187449668478528</v>
      </c>
      <c r="G651" s="11">
        <v>9.5651149749755859E-3</v>
      </c>
      <c r="H651" s="40">
        <v>4.919426203412148E-4</v>
      </c>
      <c r="I651" s="40">
        <v>1.3816613806684959</v>
      </c>
      <c r="J651" s="59">
        <v>0</v>
      </c>
      <c r="K651" s="59">
        <v>4219.0821841359138</v>
      </c>
      <c r="L651" s="59">
        <v>0</v>
      </c>
      <c r="M651" s="11">
        <v>0.82689881324768066</v>
      </c>
      <c r="N651" s="11">
        <v>0.84739875793457031</v>
      </c>
      <c r="O651" s="11">
        <v>0.3245619535446167</v>
      </c>
      <c r="Q651" s="59">
        <v>14.433472817750113</v>
      </c>
      <c r="R651" s="78">
        <v>464.09680273070893</v>
      </c>
      <c r="S651" s="78">
        <v>14.447331423059024</v>
      </c>
      <c r="T651" s="78">
        <v>589.55433274659276</v>
      </c>
      <c r="U651" s="59">
        <v>14.444798274333273</v>
      </c>
      <c r="V651" s="78">
        <v>809.39498820134691</v>
      </c>
      <c r="X651" s="134">
        <f t="shared" si="60"/>
        <v>1442883.1849722804</v>
      </c>
      <c r="Y651" s="134">
        <f t="shared" si="61"/>
        <v>1444143.5879731558</v>
      </c>
      <c r="Z651" s="134">
        <f t="shared" si="62"/>
        <v>1443670.4324451259</v>
      </c>
      <c r="AB651" s="127">
        <f t="shared" si="63"/>
        <v>0</v>
      </c>
      <c r="AC651" s="127">
        <f t="shared" si="64"/>
        <v>1</v>
      </c>
      <c r="AD651" s="127">
        <f t="shared" si="65"/>
        <v>0</v>
      </c>
    </row>
    <row r="652" spans="1:30" x14ac:dyDescent="0.25">
      <c r="A652">
        <v>647</v>
      </c>
      <c r="C652" s="11">
        <v>1.1655151844024658E-2</v>
      </c>
      <c r="D652" s="11">
        <v>6.2470734119415283E-3</v>
      </c>
      <c r="E652" s="11">
        <v>0.26251809866193404</v>
      </c>
      <c r="F652" s="11">
        <v>0.20172764883172642</v>
      </c>
      <c r="G652" s="11">
        <v>3.8441002368927002E-2</v>
      </c>
      <c r="H652" s="40">
        <v>3.8153034976077393E-4</v>
      </c>
      <c r="I652" s="40">
        <v>1.3784003889745122</v>
      </c>
      <c r="J652" s="59">
        <v>0</v>
      </c>
      <c r="K652" s="59">
        <v>4715.1325270533562</v>
      </c>
      <c r="L652" s="59">
        <v>0</v>
      </c>
      <c r="M652" s="11">
        <v>0.80488049983978271</v>
      </c>
      <c r="N652" s="11">
        <v>0.6827845573425293</v>
      </c>
      <c r="O652" s="11">
        <v>0.27539008855819702</v>
      </c>
      <c r="Q652" s="59">
        <v>14.009533163585882</v>
      </c>
      <c r="R652" s="78">
        <v>465.61335042675097</v>
      </c>
      <c r="S652" s="78">
        <v>14.040274919203318</v>
      </c>
      <c r="T652" s="78">
        <v>597.96292816486243</v>
      </c>
      <c r="U652" s="59">
        <v>14.042836499302972</v>
      </c>
      <c r="V652" s="78">
        <v>802.58216690469681</v>
      </c>
      <c r="X652" s="134">
        <f t="shared" si="60"/>
        <v>1400487.7030081614</v>
      </c>
      <c r="Y652" s="134">
        <f t="shared" si="61"/>
        <v>1403429.528992167</v>
      </c>
      <c r="Z652" s="134">
        <f t="shared" si="62"/>
        <v>1403481.0677633926</v>
      </c>
      <c r="AB652" s="127">
        <f t="shared" si="63"/>
        <v>0</v>
      </c>
      <c r="AC652" s="127">
        <f t="shared" si="64"/>
        <v>0</v>
      </c>
      <c r="AD652" s="127">
        <f t="shared" si="65"/>
        <v>1</v>
      </c>
    </row>
    <row r="653" spans="1:30" x14ac:dyDescent="0.25">
      <c r="A653">
        <v>648</v>
      </c>
      <c r="C653" s="11">
        <v>1.1882692575454712E-2</v>
      </c>
      <c r="D653" s="11">
        <v>3.7255764007568359E-2</v>
      </c>
      <c r="E653" s="11">
        <v>0.26123699578537213</v>
      </c>
      <c r="F653" s="11">
        <v>7.9943907571792636E-2</v>
      </c>
      <c r="G653" s="11">
        <v>2.0818173885345459E-2</v>
      </c>
      <c r="H653" s="40">
        <v>5.4448963374598353E-4</v>
      </c>
      <c r="I653" s="40">
        <v>1.3973297980017505</v>
      </c>
      <c r="J653" s="59">
        <v>0</v>
      </c>
      <c r="K653" s="59">
        <v>4430.1780872046947</v>
      </c>
      <c r="L653" s="59">
        <v>0</v>
      </c>
      <c r="M653" s="11">
        <v>0.84673011302947998</v>
      </c>
      <c r="N653" s="11">
        <v>0.73637872934341431</v>
      </c>
      <c r="O653" s="11">
        <v>0.27427256107330322</v>
      </c>
      <c r="Q653" s="59">
        <v>14.711361437831153</v>
      </c>
      <c r="R653" s="78">
        <v>484.92924052660265</v>
      </c>
      <c r="S653" s="78">
        <v>14.760737111531199</v>
      </c>
      <c r="T653" s="78">
        <v>603.0752088363131</v>
      </c>
      <c r="U653" s="59">
        <v>14.773086863674255</v>
      </c>
      <c r="V653" s="78">
        <v>795.39199671506708</v>
      </c>
      <c r="X653" s="134">
        <f t="shared" si="60"/>
        <v>1470651.2145425887</v>
      </c>
      <c r="Y653" s="134">
        <f t="shared" si="61"/>
        <v>1475470.6359442836</v>
      </c>
      <c r="Z653" s="134">
        <f t="shared" si="62"/>
        <v>1476513.2943707106</v>
      </c>
      <c r="AB653" s="127">
        <f t="shared" si="63"/>
        <v>0</v>
      </c>
      <c r="AC653" s="127">
        <f t="shared" si="64"/>
        <v>0</v>
      </c>
      <c r="AD653" s="127">
        <f t="shared" si="65"/>
        <v>1</v>
      </c>
    </row>
    <row r="654" spans="1:30" x14ac:dyDescent="0.25">
      <c r="A654">
        <v>649</v>
      </c>
      <c r="C654" s="11">
        <v>1.3100132346153259E-2</v>
      </c>
      <c r="D654" s="11">
        <v>6.0797631740570068E-3</v>
      </c>
      <c r="E654" s="11">
        <v>0.24913527862156945</v>
      </c>
      <c r="F654" s="11">
        <v>0.33891569866870969</v>
      </c>
      <c r="G654" s="11">
        <v>4.1358679533004761E-2</v>
      </c>
      <c r="H654" s="40">
        <v>4.1507642283225864E-4</v>
      </c>
      <c r="I654" s="40">
        <v>1.5582162476334005</v>
      </c>
      <c r="J654" s="59">
        <v>0</v>
      </c>
      <c r="K654" s="59">
        <v>4160.8931496739388</v>
      </c>
      <c r="L654" s="59">
        <v>0</v>
      </c>
      <c r="M654" s="11">
        <v>0.8274303674697876</v>
      </c>
      <c r="N654" s="11">
        <v>0.79805660247802734</v>
      </c>
      <c r="O654" s="11">
        <v>0.29953661561012268</v>
      </c>
      <c r="Q654" s="59">
        <v>14.380521896337763</v>
      </c>
      <c r="R654" s="78">
        <v>510.7067058178971</v>
      </c>
      <c r="S654" s="78">
        <v>14.412859360316839</v>
      </c>
      <c r="T654" s="78">
        <v>608.59828996365809</v>
      </c>
      <c r="U654" s="59">
        <v>14.408915290104272</v>
      </c>
      <c r="V654" s="78">
        <v>828.17829273274856</v>
      </c>
      <c r="X654" s="134">
        <f t="shared" si="60"/>
        <v>1437541.4829279582</v>
      </c>
      <c r="Y654" s="134">
        <f t="shared" si="61"/>
        <v>1440677.3377417203</v>
      </c>
      <c r="Z654" s="134">
        <f t="shared" si="62"/>
        <v>1440063.3507176945</v>
      </c>
      <c r="AB654" s="127">
        <f t="shared" si="63"/>
        <v>0</v>
      </c>
      <c r="AC654" s="127">
        <f t="shared" si="64"/>
        <v>1</v>
      </c>
      <c r="AD654" s="127">
        <f t="shared" si="65"/>
        <v>0</v>
      </c>
    </row>
    <row r="655" spans="1:30" x14ac:dyDescent="0.25">
      <c r="A655">
        <v>650</v>
      </c>
      <c r="C655" s="11">
        <v>2.8057456016540527E-2</v>
      </c>
      <c r="D655" s="11">
        <v>4.2702406644821167E-3</v>
      </c>
      <c r="E655" s="11">
        <v>0.21431965673635395</v>
      </c>
      <c r="F655" s="11">
        <v>0.12611927386504906</v>
      </c>
      <c r="G655" s="11">
        <v>2.6158452033996582E-2</v>
      </c>
      <c r="H655" s="40">
        <v>4.5595292200531441E-4</v>
      </c>
      <c r="I655" s="40">
        <v>1.4746977516003799</v>
      </c>
      <c r="J655" s="59">
        <v>0</v>
      </c>
      <c r="K655" s="59">
        <v>8425.6194531917572</v>
      </c>
      <c r="L655" s="59">
        <v>0</v>
      </c>
      <c r="M655" s="11">
        <v>0.86190116405487061</v>
      </c>
      <c r="N655" s="11">
        <v>0.76782971620559692</v>
      </c>
      <c r="O655" s="11">
        <v>0.24938321113586426</v>
      </c>
      <c r="Q655" s="59">
        <v>14.739346866275058</v>
      </c>
      <c r="R655" s="78">
        <v>579.15626386622159</v>
      </c>
      <c r="S655" s="78">
        <v>14.784495881842004</v>
      </c>
      <c r="T655" s="78">
        <v>619.30484984940199</v>
      </c>
      <c r="U655" s="59">
        <v>14.789669263871771</v>
      </c>
      <c r="V655" s="78">
        <v>811.75970134660372</v>
      </c>
      <c r="X655" s="134">
        <f t="shared" si="60"/>
        <v>1473355.5303636396</v>
      </c>
      <c r="Y655" s="134">
        <f t="shared" si="61"/>
        <v>1477830.2833343511</v>
      </c>
      <c r="Z655" s="134">
        <f t="shared" si="62"/>
        <v>1478155.1666858306</v>
      </c>
      <c r="AB655" s="127">
        <f t="shared" si="63"/>
        <v>0</v>
      </c>
      <c r="AC655" s="127">
        <f t="shared" si="64"/>
        <v>0</v>
      </c>
      <c r="AD655" s="127">
        <f t="shared" si="65"/>
        <v>1</v>
      </c>
    </row>
    <row r="656" spans="1:30" x14ac:dyDescent="0.25">
      <c r="A656">
        <v>651</v>
      </c>
      <c r="C656" s="11">
        <v>1.1240199208259583E-2</v>
      </c>
      <c r="D656" s="11">
        <v>9.4687938690185547E-4</v>
      </c>
      <c r="E656" s="11">
        <v>0.28385951536113069</v>
      </c>
      <c r="F656" s="11">
        <v>9.9676153955417859E-2</v>
      </c>
      <c r="G656" s="11">
        <v>3.2423138618469238E-2</v>
      </c>
      <c r="H656" s="40">
        <v>6.9014027537322943E-4</v>
      </c>
      <c r="I656" s="40">
        <v>1.3678709434464997</v>
      </c>
      <c r="J656" s="59">
        <v>0</v>
      </c>
      <c r="K656" s="59">
        <v>4172.2040623426437</v>
      </c>
      <c r="L656" s="59">
        <v>0</v>
      </c>
      <c r="M656" s="11">
        <v>0.87918978929519653</v>
      </c>
      <c r="N656" s="11">
        <v>0.75443261861801147</v>
      </c>
      <c r="O656" s="11">
        <v>0.28354164958000183</v>
      </c>
      <c r="Q656" s="59">
        <v>15.280816762093842</v>
      </c>
      <c r="R656" s="78">
        <v>500.83677137617525</v>
      </c>
      <c r="S656" s="78">
        <v>15.333639969264988</v>
      </c>
      <c r="T656" s="78">
        <v>609.77410726270739</v>
      </c>
      <c r="U656" s="59">
        <v>15.347518945122095</v>
      </c>
      <c r="V656" s="78">
        <v>798.84730187820446</v>
      </c>
      <c r="X656" s="134">
        <f t="shared" si="60"/>
        <v>1527580.8394380079</v>
      </c>
      <c r="Y656" s="134">
        <f t="shared" si="61"/>
        <v>1532754.2228192361</v>
      </c>
      <c r="Z656" s="134">
        <f t="shared" si="62"/>
        <v>1533953.0472103313</v>
      </c>
      <c r="AB656" s="127">
        <f t="shared" si="63"/>
        <v>0</v>
      </c>
      <c r="AC656" s="127">
        <f t="shared" si="64"/>
        <v>0</v>
      </c>
      <c r="AD656" s="127">
        <f t="shared" si="65"/>
        <v>1</v>
      </c>
    </row>
    <row r="657" spans="1:30" x14ac:dyDescent="0.25">
      <c r="A657">
        <v>652</v>
      </c>
      <c r="C657" s="11">
        <v>2.0075559616088867E-2</v>
      </c>
      <c r="D657" s="11">
        <v>2.9637336730957031E-2</v>
      </c>
      <c r="E657" s="11">
        <v>0.37112463671744411</v>
      </c>
      <c r="F657" s="11">
        <v>0.12234887174682285</v>
      </c>
      <c r="G657" s="11">
        <v>7.1710348129272461E-2</v>
      </c>
      <c r="H657" s="40">
        <v>3.8354212761233287E-4</v>
      </c>
      <c r="I657" s="40">
        <v>1.551909622537037</v>
      </c>
      <c r="J657" s="59">
        <v>0</v>
      </c>
      <c r="K657" s="59">
        <v>4142.5484232604504</v>
      </c>
      <c r="L657" s="59">
        <v>0</v>
      </c>
      <c r="M657" s="11">
        <v>0.82741045951843262</v>
      </c>
      <c r="N657" s="11">
        <v>0.71047079563140869</v>
      </c>
      <c r="O657" s="11">
        <v>0.28888404369354248</v>
      </c>
      <c r="Q657" s="59">
        <v>14.239869393374022</v>
      </c>
      <c r="R657" s="78">
        <v>513.19817631037154</v>
      </c>
      <c r="S657" s="78">
        <v>14.290806949579794</v>
      </c>
      <c r="T657" s="78">
        <v>623.82353848698392</v>
      </c>
      <c r="U657" s="59">
        <v>14.311401262623793</v>
      </c>
      <c r="V657" s="78">
        <v>802.85481480398573</v>
      </c>
      <c r="X657" s="134">
        <f t="shared" si="60"/>
        <v>1423473.7411610917</v>
      </c>
      <c r="Y657" s="134">
        <f t="shared" si="61"/>
        <v>1428456.8714194924</v>
      </c>
      <c r="Z657" s="134">
        <f t="shared" si="62"/>
        <v>1430337.2714475754</v>
      </c>
      <c r="AB657" s="127">
        <f t="shared" si="63"/>
        <v>0</v>
      </c>
      <c r="AC657" s="127">
        <f t="shared" si="64"/>
        <v>0</v>
      </c>
      <c r="AD657" s="127">
        <f t="shared" si="65"/>
        <v>1</v>
      </c>
    </row>
    <row r="658" spans="1:30" x14ac:dyDescent="0.25">
      <c r="A658">
        <v>653</v>
      </c>
      <c r="C658" s="11">
        <v>1.7112657427787781E-2</v>
      </c>
      <c r="D658" s="11">
        <v>1.9814461469650269E-2</v>
      </c>
      <c r="E658" s="11">
        <v>0.37983485164588965</v>
      </c>
      <c r="F658" s="11">
        <v>0.23370203526109384</v>
      </c>
      <c r="G658" s="11">
        <v>7.0986151695251465E-2</v>
      </c>
      <c r="H658" s="40">
        <v>4.7458353561065635E-4</v>
      </c>
      <c r="I658" s="40">
        <v>1.3807844050192144</v>
      </c>
      <c r="J658" s="59">
        <v>0</v>
      </c>
      <c r="K658" s="59">
        <v>5188.3549895137548</v>
      </c>
      <c r="L658" s="59">
        <v>0</v>
      </c>
      <c r="M658" s="11">
        <v>0.8667181134223938</v>
      </c>
      <c r="N658" s="11">
        <v>0.75532013177871704</v>
      </c>
      <c r="O658" s="11">
        <v>0.25941848754882813</v>
      </c>
      <c r="Q658" s="59">
        <v>14.987127115106267</v>
      </c>
      <c r="R658" s="78">
        <v>507.43325226506767</v>
      </c>
      <c r="S658" s="78">
        <v>15.02424032225931</v>
      </c>
      <c r="T658" s="78">
        <v>622.46913149735292</v>
      </c>
      <c r="U658" s="59">
        <v>15.033099531153704</v>
      </c>
      <c r="V658" s="78">
        <v>814.80149706195266</v>
      </c>
      <c r="X658" s="134">
        <f t="shared" si="60"/>
        <v>1498205.2782583616</v>
      </c>
      <c r="Y658" s="134">
        <f t="shared" si="61"/>
        <v>1501801.5630944336</v>
      </c>
      <c r="Z658" s="134">
        <f t="shared" si="62"/>
        <v>1502495.1516183084</v>
      </c>
      <c r="AB658" s="127">
        <f t="shared" si="63"/>
        <v>0</v>
      </c>
      <c r="AC658" s="127">
        <f t="shared" si="64"/>
        <v>0</v>
      </c>
      <c r="AD658" s="127">
        <f t="shared" si="65"/>
        <v>1</v>
      </c>
    </row>
    <row r="659" spans="1:30" x14ac:dyDescent="0.25">
      <c r="A659">
        <v>654</v>
      </c>
      <c r="C659" s="11">
        <v>7.991790771484375E-3</v>
      </c>
      <c r="D659" s="11">
        <v>7.0394724607467651E-3</v>
      </c>
      <c r="E659" s="11">
        <v>0.4018145979420007</v>
      </c>
      <c r="F659" s="11">
        <v>8.748890295645885E-2</v>
      </c>
      <c r="G659" s="11">
        <v>2.0427972078323364E-2</v>
      </c>
      <c r="H659" s="40">
        <v>4.4305906209292226E-4</v>
      </c>
      <c r="I659" s="40">
        <v>1.5089670255541472</v>
      </c>
      <c r="J659" s="59">
        <v>0</v>
      </c>
      <c r="K659" s="59">
        <v>2385.4896426200867</v>
      </c>
      <c r="L659" s="59">
        <v>0</v>
      </c>
      <c r="M659" s="11">
        <v>0.84106993675231934</v>
      </c>
      <c r="N659" s="11">
        <v>0.79258877038955688</v>
      </c>
      <c r="O659" s="11">
        <v>0.30352982878684998</v>
      </c>
      <c r="Q659" s="59">
        <v>14.693690301397821</v>
      </c>
      <c r="R659" s="78">
        <v>449.50830103964995</v>
      </c>
      <c r="S659" s="78">
        <v>14.719659656763458</v>
      </c>
      <c r="T659" s="78">
        <v>601.59679349993019</v>
      </c>
      <c r="U659" s="59">
        <v>14.733641851678293</v>
      </c>
      <c r="V659" s="78">
        <v>792.95422686914333</v>
      </c>
      <c r="X659" s="134">
        <f t="shared" si="60"/>
        <v>1468919.5218387423</v>
      </c>
      <c r="Y659" s="134">
        <f t="shared" si="61"/>
        <v>1471364.3688828459</v>
      </c>
      <c r="Z659" s="134">
        <f t="shared" si="62"/>
        <v>1472571.2309409601</v>
      </c>
      <c r="AB659" s="127">
        <f t="shared" si="63"/>
        <v>0</v>
      </c>
      <c r="AC659" s="127">
        <f t="shared" si="64"/>
        <v>0</v>
      </c>
      <c r="AD659" s="127">
        <f t="shared" si="65"/>
        <v>1</v>
      </c>
    </row>
    <row r="660" spans="1:30" x14ac:dyDescent="0.25">
      <c r="A660">
        <v>655</v>
      </c>
      <c r="C660" s="11">
        <v>2.451208233833313E-2</v>
      </c>
      <c r="D660" s="11">
        <v>5.9364885091781616E-3</v>
      </c>
      <c r="E660" s="11">
        <v>0.26652670038831688</v>
      </c>
      <c r="F660" s="11">
        <v>0.18790940513161616</v>
      </c>
      <c r="G660" s="11">
        <v>6.2654554843902588E-2</v>
      </c>
      <c r="H660" s="40">
        <v>5.1329736923265055E-4</v>
      </c>
      <c r="I660" s="40">
        <v>1.3266431163770711</v>
      </c>
      <c r="J660" s="59">
        <v>0</v>
      </c>
      <c r="K660" s="59">
        <v>6948.5465064644814</v>
      </c>
      <c r="L660" s="59">
        <v>0</v>
      </c>
      <c r="M660" s="11">
        <v>0.87000727653503418</v>
      </c>
      <c r="N660" s="11">
        <v>0.6988222599029541</v>
      </c>
      <c r="O660" s="11">
        <v>0.31629264354705811</v>
      </c>
      <c r="Q660" s="59">
        <v>14.928977630957441</v>
      </c>
      <c r="R660" s="78">
        <v>529.40047523875194</v>
      </c>
      <c r="S660" s="78">
        <v>14.974108254181669</v>
      </c>
      <c r="T660" s="78">
        <v>615.4301754869681</v>
      </c>
      <c r="U660" s="59">
        <v>14.979004276308636</v>
      </c>
      <c r="V660" s="78">
        <v>813.71049496231842</v>
      </c>
      <c r="X660" s="134">
        <f t="shared" ref="X660:X723" si="66">Q660*cRatio-R660</f>
        <v>1492368.3626205053</v>
      </c>
      <c r="Y660" s="134">
        <f t="shared" ref="Y660:Y723" si="67">S660*cRatio-T660</f>
        <v>1496795.3952426799</v>
      </c>
      <c r="Z660" s="134">
        <f t="shared" ref="Z660:Z723" si="68">U660*cRatio-V660</f>
        <v>1497086.7171359013</v>
      </c>
      <c r="AB660" s="127">
        <f t="shared" ref="AB660:AB723" si="69">IF(X660=MAX($X660:$Z660),1,0)</f>
        <v>0</v>
      </c>
      <c r="AC660" s="127">
        <f t="shared" ref="AC660:AC723" si="70">IF(Y660=MAX($X660:$Z660),1,0)</f>
        <v>0</v>
      </c>
      <c r="AD660" s="127">
        <f t="shared" ref="AD660:AD723" si="71">IF(Z660=MAX($X660:$Z660),1,0)</f>
        <v>1</v>
      </c>
    </row>
    <row r="661" spans="1:30" x14ac:dyDescent="0.25">
      <c r="A661">
        <v>656</v>
      </c>
      <c r="C661" s="11">
        <v>8.1431865692138672E-4</v>
      </c>
      <c r="D661" s="11">
        <v>1.3079434633255005E-2</v>
      </c>
      <c r="E661" s="11">
        <v>0.18533224287368413</v>
      </c>
      <c r="F661" s="11">
        <v>9.5078169057970327E-2</v>
      </c>
      <c r="G661" s="11">
        <v>1.3235747814178467E-2</v>
      </c>
      <c r="H661" s="40">
        <v>5.1024247188588448E-4</v>
      </c>
      <c r="I661" s="40">
        <v>1.5210830324973974</v>
      </c>
      <c r="J661" s="59">
        <v>0</v>
      </c>
      <c r="K661" s="59">
        <v>3954.5679464936256</v>
      </c>
      <c r="L661" s="59">
        <v>0</v>
      </c>
      <c r="M661" s="11">
        <v>0.85829561948776245</v>
      </c>
      <c r="N661" s="11">
        <v>0.79739117622375488</v>
      </c>
      <c r="O661" s="11">
        <v>0.34882950782775879</v>
      </c>
      <c r="Q661" s="59">
        <v>15.090993315227395</v>
      </c>
      <c r="R661" s="78">
        <v>499.37408497698641</v>
      </c>
      <c r="S661" s="78">
        <v>15.137344685381866</v>
      </c>
      <c r="T661" s="78">
        <v>598.95456771286058</v>
      </c>
      <c r="U661" s="59">
        <v>15.142627717482201</v>
      </c>
      <c r="V661" s="78">
        <v>798.26170944250646</v>
      </c>
      <c r="X661" s="134">
        <f t="shared" si="66"/>
        <v>1508599.9574377625</v>
      </c>
      <c r="Y661" s="134">
        <f t="shared" si="67"/>
        <v>1513135.5139704735</v>
      </c>
      <c r="Z661" s="134">
        <f t="shared" si="68"/>
        <v>1513464.5100387775</v>
      </c>
      <c r="AB661" s="127">
        <f t="shared" si="69"/>
        <v>0</v>
      </c>
      <c r="AC661" s="127">
        <f t="shared" si="70"/>
        <v>0</v>
      </c>
      <c r="AD661" s="127">
        <f t="shared" si="71"/>
        <v>1</v>
      </c>
    </row>
    <row r="662" spans="1:30" x14ac:dyDescent="0.25">
      <c r="A662">
        <v>657</v>
      </c>
      <c r="C662" s="11">
        <v>9.6470266580581665E-3</v>
      </c>
      <c r="D662" s="11">
        <v>3.8993358612060547E-2</v>
      </c>
      <c r="E662" s="11">
        <v>0.37573040083296155</v>
      </c>
      <c r="F662" s="11">
        <v>8.2173940936353176E-2</v>
      </c>
      <c r="G662" s="11">
        <v>4.6672672033309937E-2</v>
      </c>
      <c r="H662" s="40">
        <v>3.453709166503432E-4</v>
      </c>
      <c r="I662" s="40">
        <v>1.4483348933910645</v>
      </c>
      <c r="J662" s="59">
        <v>0</v>
      </c>
      <c r="K662" s="59">
        <v>3919.5176213979721</v>
      </c>
      <c r="L662" s="59">
        <v>0</v>
      </c>
      <c r="M662" s="11">
        <v>0.8135601282119751</v>
      </c>
      <c r="N662" s="11">
        <v>0.727425217628479</v>
      </c>
      <c r="O662" s="11">
        <v>0.2811012864112854</v>
      </c>
      <c r="Q662" s="59">
        <v>14.184626255345059</v>
      </c>
      <c r="R662" s="78">
        <v>462.26858834630076</v>
      </c>
      <c r="S662" s="78">
        <v>14.213870741818466</v>
      </c>
      <c r="T662" s="78">
        <v>604.86672695274649</v>
      </c>
      <c r="U662" s="59">
        <v>14.227822532037241</v>
      </c>
      <c r="V662" s="78">
        <v>793.67965664596068</v>
      </c>
      <c r="X662" s="134">
        <f t="shared" si="66"/>
        <v>1418000.3569461596</v>
      </c>
      <c r="Y662" s="134">
        <f t="shared" si="67"/>
        <v>1420782.2074548937</v>
      </c>
      <c r="Z662" s="134">
        <f t="shared" si="68"/>
        <v>1421988.5735470781</v>
      </c>
      <c r="AB662" s="127">
        <f t="shared" si="69"/>
        <v>0</v>
      </c>
      <c r="AC662" s="127">
        <f t="shared" si="70"/>
        <v>0</v>
      </c>
      <c r="AD662" s="127">
        <f t="shared" si="71"/>
        <v>1</v>
      </c>
    </row>
    <row r="663" spans="1:30" x14ac:dyDescent="0.25">
      <c r="A663">
        <v>658</v>
      </c>
      <c r="C663" s="11">
        <v>7.6729655265808105E-3</v>
      </c>
      <c r="D663" s="11">
        <v>1.4328688383102417E-2</v>
      </c>
      <c r="E663" s="11">
        <v>0.3867273069630896</v>
      </c>
      <c r="F663" s="11">
        <v>0.21919527806629399</v>
      </c>
      <c r="G663" s="11">
        <v>4.6890288591384888E-2</v>
      </c>
      <c r="H663" s="40">
        <v>2.662030904810627E-4</v>
      </c>
      <c r="I663" s="40">
        <v>1.5569841198871894</v>
      </c>
      <c r="J663" s="59">
        <v>0</v>
      </c>
      <c r="K663" s="59">
        <v>3004.2603611946106</v>
      </c>
      <c r="L663" s="59">
        <v>0</v>
      </c>
      <c r="M663" s="11">
        <v>0.83611732721328735</v>
      </c>
      <c r="N663" s="11">
        <v>0.74642771482467651</v>
      </c>
      <c r="O663" s="11">
        <v>0.29041185975074768</v>
      </c>
      <c r="Q663" s="59">
        <v>14.609505942316563</v>
      </c>
      <c r="R663" s="78">
        <v>449.97529962526153</v>
      </c>
      <c r="S663" s="78">
        <v>14.637516217791102</v>
      </c>
      <c r="T663" s="78">
        <v>600.8490164414942</v>
      </c>
      <c r="U663" s="59">
        <v>14.645276979816005</v>
      </c>
      <c r="V663" s="78">
        <v>800.41553145918613</v>
      </c>
      <c r="X663" s="134">
        <f t="shared" si="66"/>
        <v>1460500.6189320311</v>
      </c>
      <c r="Y663" s="134">
        <f t="shared" si="67"/>
        <v>1463150.7727626688</v>
      </c>
      <c r="Z663" s="134">
        <f t="shared" si="68"/>
        <v>1463727.2824501412</v>
      </c>
      <c r="AB663" s="127">
        <f t="shared" si="69"/>
        <v>0</v>
      </c>
      <c r="AC663" s="127">
        <f t="shared" si="70"/>
        <v>0</v>
      </c>
      <c r="AD663" s="127">
        <f t="shared" si="71"/>
        <v>1</v>
      </c>
    </row>
    <row r="664" spans="1:30" x14ac:dyDescent="0.25">
      <c r="A664">
        <v>659</v>
      </c>
      <c r="C664" s="11">
        <v>2.0227953791618347E-2</v>
      </c>
      <c r="D664" s="11">
        <v>4.6703815460205078E-3</v>
      </c>
      <c r="E664" s="11">
        <v>0.23869649565052481</v>
      </c>
      <c r="F664" s="11">
        <v>0.11171233709548749</v>
      </c>
      <c r="G664" s="11">
        <v>4.171830415725708E-2</v>
      </c>
      <c r="H664" s="40">
        <v>6.1497038544392174E-4</v>
      </c>
      <c r="I664" s="40">
        <v>1.4878284628296621</v>
      </c>
      <c r="J664" s="59">
        <v>0</v>
      </c>
      <c r="K664" s="59">
        <v>6781.7047238349915</v>
      </c>
      <c r="L664" s="59">
        <v>0</v>
      </c>
      <c r="M664" s="11">
        <v>0.88178855180740356</v>
      </c>
      <c r="N664" s="11">
        <v>0.7520287036895752</v>
      </c>
      <c r="O664" s="11">
        <v>0.28557896614074707</v>
      </c>
      <c r="Q664" s="59">
        <v>15.161068161195907</v>
      </c>
      <c r="R664" s="78">
        <v>621.17302569208607</v>
      </c>
      <c r="S664" s="78">
        <v>15.236163762298471</v>
      </c>
      <c r="T664" s="78">
        <v>634.3674179603629</v>
      </c>
      <c r="U664" s="59">
        <v>15.249052429369705</v>
      </c>
      <c r="V664" s="78">
        <v>814.00371730813856</v>
      </c>
      <c r="X664" s="134">
        <f t="shared" si="66"/>
        <v>1515485.6430938987</v>
      </c>
      <c r="Y664" s="134">
        <f t="shared" si="67"/>
        <v>1522982.0088118867</v>
      </c>
      <c r="Z664" s="134">
        <f t="shared" si="68"/>
        <v>1524091.2392196623</v>
      </c>
      <c r="AB664" s="127">
        <f t="shared" si="69"/>
        <v>0</v>
      </c>
      <c r="AC664" s="127">
        <f t="shared" si="70"/>
        <v>0</v>
      </c>
      <c r="AD664" s="127">
        <f t="shared" si="71"/>
        <v>1</v>
      </c>
    </row>
    <row r="665" spans="1:30" x14ac:dyDescent="0.25">
      <c r="A665">
        <v>660</v>
      </c>
      <c r="C665" s="11">
        <v>1.1204570531845093E-2</v>
      </c>
      <c r="D665" s="11">
        <v>4.6113371849060059E-2</v>
      </c>
      <c r="E665" s="11">
        <v>9.8857484641459048E-2</v>
      </c>
      <c r="F665" s="11">
        <v>0.12356389681749297</v>
      </c>
      <c r="G665" s="11">
        <v>4.6784490346908569E-2</v>
      </c>
      <c r="H665" s="40">
        <v>5.2344579350477934E-4</v>
      </c>
      <c r="I665" s="40">
        <v>1.4247716135101549</v>
      </c>
      <c r="J665" s="59">
        <v>0</v>
      </c>
      <c r="K665" s="59">
        <v>5094.4741815328598</v>
      </c>
      <c r="L665" s="59">
        <v>0</v>
      </c>
      <c r="M665" s="11">
        <v>0.78637838363647461</v>
      </c>
      <c r="N665" s="11">
        <v>0.75699454545974731</v>
      </c>
      <c r="O665" s="11">
        <v>0.31282386183738708</v>
      </c>
      <c r="Q665" s="59">
        <v>13.686615267442365</v>
      </c>
      <c r="R665" s="78">
        <v>518.44876835245634</v>
      </c>
      <c r="S665" s="78">
        <v>13.729779487708445</v>
      </c>
      <c r="T665" s="78">
        <v>591.51230961325894</v>
      </c>
      <c r="U665" s="59">
        <v>13.728572735052962</v>
      </c>
      <c r="V665" s="78">
        <v>803.63208624520689</v>
      </c>
      <c r="X665" s="134">
        <f t="shared" si="66"/>
        <v>1368143.0779758841</v>
      </c>
      <c r="Y665" s="134">
        <f t="shared" si="67"/>
        <v>1372386.4364612312</v>
      </c>
      <c r="Z665" s="134">
        <f t="shared" si="68"/>
        <v>1372053.6414190512</v>
      </c>
      <c r="AB665" s="127">
        <f t="shared" si="69"/>
        <v>0</v>
      </c>
      <c r="AC665" s="127">
        <f t="shared" si="70"/>
        <v>1</v>
      </c>
      <c r="AD665" s="127">
        <f t="shared" si="71"/>
        <v>0</v>
      </c>
    </row>
    <row r="666" spans="1:30" x14ac:dyDescent="0.25">
      <c r="A666">
        <v>661</v>
      </c>
      <c r="C666" s="11">
        <v>1.7837285995483398E-2</v>
      </c>
      <c r="D666" s="11">
        <v>5.6287527084350586E-2</v>
      </c>
      <c r="E666" s="11">
        <v>0.67210747244814983</v>
      </c>
      <c r="F666" s="11">
        <v>0.33111460437270318</v>
      </c>
      <c r="G666" s="11">
        <v>2.3888677358627319E-2</v>
      </c>
      <c r="H666" s="40">
        <v>5.6641135902122579E-4</v>
      </c>
      <c r="I666" s="40">
        <v>1.5193064509700771</v>
      </c>
      <c r="J666" s="59">
        <v>0</v>
      </c>
      <c r="K666" s="59">
        <v>6031.4522124826908</v>
      </c>
      <c r="L666" s="59">
        <v>0</v>
      </c>
      <c r="M666" s="11">
        <v>0.83213746547698975</v>
      </c>
      <c r="N666" s="11">
        <v>0.73593127727508545</v>
      </c>
      <c r="O666" s="11">
        <v>0.3043801486492157</v>
      </c>
      <c r="Q666" s="59">
        <v>14.337483580472378</v>
      </c>
      <c r="R666" s="78">
        <v>578.06349183590612</v>
      </c>
      <c r="S666" s="78">
        <v>14.369184339375142</v>
      </c>
      <c r="T666" s="78">
        <v>703.87604102294074</v>
      </c>
      <c r="U666" s="59">
        <v>14.402883411236534</v>
      </c>
      <c r="V666" s="78">
        <v>850.12839629816347</v>
      </c>
      <c r="X666" s="134">
        <f t="shared" si="66"/>
        <v>1433170.2945554019</v>
      </c>
      <c r="Y666" s="134">
        <f t="shared" si="67"/>
        <v>1436214.5578964914</v>
      </c>
      <c r="Z666" s="134">
        <f t="shared" si="68"/>
        <v>1439438.2127273551</v>
      </c>
      <c r="AB666" s="127">
        <f t="shared" si="69"/>
        <v>0</v>
      </c>
      <c r="AC666" s="127">
        <f t="shared" si="70"/>
        <v>0</v>
      </c>
      <c r="AD666" s="127">
        <f t="shared" si="71"/>
        <v>1</v>
      </c>
    </row>
    <row r="667" spans="1:30" x14ac:dyDescent="0.25">
      <c r="A667">
        <v>662</v>
      </c>
      <c r="C667" s="11">
        <v>1.9269853830337524E-2</v>
      </c>
      <c r="D667" s="11">
        <v>1.9325375556945801E-2</v>
      </c>
      <c r="E667" s="11">
        <v>0.29777592158689742</v>
      </c>
      <c r="F667" s="11">
        <v>0.1340159780403283</v>
      </c>
      <c r="G667" s="11">
        <v>5.8517694473266602E-2</v>
      </c>
      <c r="H667" s="40">
        <v>3.5210888687415171E-4</v>
      </c>
      <c r="I667" s="40">
        <v>1.598548639738717</v>
      </c>
      <c r="J667" s="59">
        <v>0</v>
      </c>
      <c r="K667" s="59">
        <v>4847.345408052206</v>
      </c>
      <c r="L667" s="59">
        <v>0</v>
      </c>
      <c r="M667" s="11">
        <v>0.83827042579650879</v>
      </c>
      <c r="N667" s="11">
        <v>0.6971811056137085</v>
      </c>
      <c r="O667" s="11">
        <v>0.26952540874481201</v>
      </c>
      <c r="Q667" s="59">
        <v>14.431175481614309</v>
      </c>
      <c r="R667" s="78">
        <v>533.36665762607618</v>
      </c>
      <c r="S667" s="78">
        <v>14.494109904567562</v>
      </c>
      <c r="T667" s="78">
        <v>621.1713767606027</v>
      </c>
      <c r="U667" s="59">
        <v>14.509133675876049</v>
      </c>
      <c r="V667" s="78">
        <v>807.05133307162362</v>
      </c>
      <c r="X667" s="134">
        <f t="shared" si="66"/>
        <v>1442584.1815038049</v>
      </c>
      <c r="Y667" s="134">
        <f t="shared" si="67"/>
        <v>1448789.8190799956</v>
      </c>
      <c r="Z667" s="134">
        <f t="shared" si="68"/>
        <v>1450106.3162545331</v>
      </c>
      <c r="AB667" s="127">
        <f t="shared" si="69"/>
        <v>0</v>
      </c>
      <c r="AC667" s="127">
        <f t="shared" si="70"/>
        <v>0</v>
      </c>
      <c r="AD667" s="127">
        <f t="shared" si="71"/>
        <v>1</v>
      </c>
    </row>
    <row r="668" spans="1:30" x14ac:dyDescent="0.25">
      <c r="A668">
        <v>663</v>
      </c>
      <c r="C668" s="11">
        <v>2.5257706642150879E-2</v>
      </c>
      <c r="D668" s="11">
        <v>1.6659766435623169E-2</v>
      </c>
      <c r="E668" s="11">
        <v>0.27140512972044295</v>
      </c>
      <c r="F668" s="11">
        <v>0.13732305722582147</v>
      </c>
      <c r="G668" s="11">
        <v>5.8466196060180664E-2</v>
      </c>
      <c r="H668" s="40">
        <v>5.3858606470093392E-4</v>
      </c>
      <c r="I668" s="40">
        <v>1.4312158278082379</v>
      </c>
      <c r="J668" s="59">
        <v>0</v>
      </c>
      <c r="K668" s="59">
        <v>4405.2163138985634</v>
      </c>
      <c r="L668" s="59">
        <v>0</v>
      </c>
      <c r="M668" s="11">
        <v>0.921783447265625</v>
      </c>
      <c r="N668" s="11">
        <v>0.75385874509811401</v>
      </c>
      <c r="O668" s="11">
        <v>0.27130252122879028</v>
      </c>
      <c r="Q668" s="59">
        <v>15.7749534478471</v>
      </c>
      <c r="R668" s="78">
        <v>512.47291254170534</v>
      </c>
      <c r="S668" s="78">
        <v>15.844316368442684</v>
      </c>
      <c r="T668" s="78">
        <v>611.61333466215262</v>
      </c>
      <c r="U668" s="59">
        <v>15.85733331386173</v>
      </c>
      <c r="V668" s="78">
        <v>804.54482365594561</v>
      </c>
      <c r="X668" s="134">
        <f t="shared" si="66"/>
        <v>1576982.8718721685</v>
      </c>
      <c r="Y668" s="134">
        <f t="shared" si="67"/>
        <v>1583820.0235096063</v>
      </c>
      <c r="Z668" s="134">
        <f t="shared" si="68"/>
        <v>1584928.7865625171</v>
      </c>
      <c r="AB668" s="127">
        <f t="shared" si="69"/>
        <v>0</v>
      </c>
      <c r="AC668" s="127">
        <f t="shared" si="70"/>
        <v>0</v>
      </c>
      <c r="AD668" s="127">
        <f t="shared" si="71"/>
        <v>1</v>
      </c>
    </row>
    <row r="669" spans="1:30" x14ac:dyDescent="0.25">
      <c r="A669">
        <v>664</v>
      </c>
      <c r="C669" s="11">
        <v>6.5474361181259155E-3</v>
      </c>
      <c r="D669" s="11">
        <v>2.3065656423568726E-2</v>
      </c>
      <c r="E669" s="11">
        <v>0.29680666086135299</v>
      </c>
      <c r="F669" s="11">
        <v>0.10437776900477425</v>
      </c>
      <c r="G669" s="11">
        <v>3.9641797542572021E-2</v>
      </c>
      <c r="H669" s="40">
        <v>3.8076084625479525E-4</v>
      </c>
      <c r="I669" s="40">
        <v>1.4368705918513489</v>
      </c>
      <c r="J669" s="59">
        <v>0</v>
      </c>
      <c r="K669" s="59">
        <v>6262.4318525195122</v>
      </c>
      <c r="L669" s="59">
        <v>0</v>
      </c>
      <c r="M669" s="11">
        <v>0.88995730876922607</v>
      </c>
      <c r="N669" s="11">
        <v>0.72571420669555664</v>
      </c>
      <c r="O669" s="11">
        <v>0.35271644592285156</v>
      </c>
      <c r="Q669" s="59">
        <v>15.55222005320212</v>
      </c>
      <c r="R669" s="78">
        <v>507.13393138822448</v>
      </c>
      <c r="S669" s="78">
        <v>15.597485733521792</v>
      </c>
      <c r="T669" s="78">
        <v>612.91867303441256</v>
      </c>
      <c r="U669" s="59">
        <v>15.610054731933753</v>
      </c>
      <c r="V669" s="78">
        <v>799.96124227850487</v>
      </c>
      <c r="X669" s="134">
        <f t="shared" si="66"/>
        <v>1554714.871388824</v>
      </c>
      <c r="Y669" s="134">
        <f t="shared" si="67"/>
        <v>1559135.6546791447</v>
      </c>
      <c r="Z669" s="134">
        <f t="shared" si="68"/>
        <v>1560205.5119510966</v>
      </c>
      <c r="AB669" s="127">
        <f t="shared" si="69"/>
        <v>0</v>
      </c>
      <c r="AC669" s="127">
        <f t="shared" si="70"/>
        <v>0</v>
      </c>
      <c r="AD669" s="127">
        <f t="shared" si="71"/>
        <v>1</v>
      </c>
    </row>
    <row r="670" spans="1:30" x14ac:dyDescent="0.25">
      <c r="A670">
        <v>665</v>
      </c>
      <c r="C670" s="11">
        <v>3.0152201652526855E-2</v>
      </c>
      <c r="D670" s="11">
        <v>6.5969079732894897E-3</v>
      </c>
      <c r="E670" s="11">
        <v>0.17872405842405528</v>
      </c>
      <c r="F670" s="11">
        <v>0.18915865329505133</v>
      </c>
      <c r="G670" s="11">
        <v>1.7905175685882568E-2</v>
      </c>
      <c r="H670" s="40">
        <v>3.5358727390910703E-4</v>
      </c>
      <c r="I670" s="40">
        <v>1.464835737758541</v>
      </c>
      <c r="J670" s="59">
        <v>0</v>
      </c>
      <c r="K670" s="59">
        <v>3823.1955841183662</v>
      </c>
      <c r="L670" s="59">
        <v>0</v>
      </c>
      <c r="M670" s="11">
        <v>0.84756812453269958</v>
      </c>
      <c r="N670" s="11">
        <v>0.70897901058197021</v>
      </c>
      <c r="O670" s="11">
        <v>0.3496239185333252</v>
      </c>
      <c r="Q670" s="59">
        <v>14.46930500473152</v>
      </c>
      <c r="R670" s="78">
        <v>454.43314715749591</v>
      </c>
      <c r="S670" s="78">
        <v>14.510546030920542</v>
      </c>
      <c r="T670" s="78">
        <v>589.93501056325124</v>
      </c>
      <c r="U670" s="59">
        <v>14.510014800042875</v>
      </c>
      <c r="V670" s="78">
        <v>799.57161394087018</v>
      </c>
      <c r="X670" s="134">
        <f t="shared" si="66"/>
        <v>1446476.0673259946</v>
      </c>
      <c r="Y670" s="134">
        <f t="shared" si="67"/>
        <v>1450464.6680814908</v>
      </c>
      <c r="Z670" s="134">
        <f t="shared" si="68"/>
        <v>1450201.9083903467</v>
      </c>
      <c r="AB670" s="127">
        <f t="shared" si="69"/>
        <v>0</v>
      </c>
      <c r="AC670" s="127">
        <f t="shared" si="70"/>
        <v>1</v>
      </c>
      <c r="AD670" s="127">
        <f t="shared" si="71"/>
        <v>0</v>
      </c>
    </row>
    <row r="671" spans="1:30" x14ac:dyDescent="0.25">
      <c r="A671">
        <v>666</v>
      </c>
      <c r="C671" s="11">
        <v>2.2064656019210815E-2</v>
      </c>
      <c r="D671" s="11">
        <v>1.7741948366165161E-2</v>
      </c>
      <c r="E671" s="11">
        <v>0.33395363489413671</v>
      </c>
      <c r="F671" s="11">
        <v>0.28089008136422194</v>
      </c>
      <c r="G671" s="11">
        <v>3.1497538089752197E-2</v>
      </c>
      <c r="H671" s="40">
        <v>3.2899881511604649E-4</v>
      </c>
      <c r="I671" s="40">
        <v>1.4997523306847484</v>
      </c>
      <c r="J671" s="59">
        <v>0</v>
      </c>
      <c r="K671" s="59">
        <v>4659.0087004005909</v>
      </c>
      <c r="L671" s="59">
        <v>0</v>
      </c>
      <c r="M671" s="11">
        <v>0.86471867561340332</v>
      </c>
      <c r="N671" s="11">
        <v>0.80386209487915039</v>
      </c>
      <c r="O671" s="11">
        <v>0.29425016045570374</v>
      </c>
      <c r="Q671" s="59">
        <v>14.897079235389434</v>
      </c>
      <c r="R671" s="78">
        <v>476.5459746791982</v>
      </c>
      <c r="S671" s="78">
        <v>14.923507756419854</v>
      </c>
      <c r="T671" s="78">
        <v>606.85330505056959</v>
      </c>
      <c r="U671" s="59">
        <v>14.925641798410913</v>
      </c>
      <c r="V671" s="78">
        <v>811.44697461155772</v>
      </c>
      <c r="X671" s="134">
        <f t="shared" si="66"/>
        <v>1489231.377564264</v>
      </c>
      <c r="Y671" s="134">
        <f t="shared" si="67"/>
        <v>1491743.9223369348</v>
      </c>
      <c r="Z671" s="134">
        <f t="shared" si="68"/>
        <v>1491752.7328664798</v>
      </c>
      <c r="AB671" s="127">
        <f t="shared" si="69"/>
        <v>0</v>
      </c>
      <c r="AC671" s="127">
        <f t="shared" si="70"/>
        <v>0</v>
      </c>
      <c r="AD671" s="127">
        <f t="shared" si="71"/>
        <v>1</v>
      </c>
    </row>
    <row r="672" spans="1:30" x14ac:dyDescent="0.25">
      <c r="A672">
        <v>667</v>
      </c>
      <c r="C672" s="11">
        <v>2.8347671031951904E-3</v>
      </c>
      <c r="D672" s="11">
        <v>3.6049365997314453E-2</v>
      </c>
      <c r="E672" s="11">
        <v>0.19707285245655082</v>
      </c>
      <c r="F672" s="11">
        <v>0.32319622510861262</v>
      </c>
      <c r="G672" s="11">
        <v>3.7564963102340698E-2</v>
      </c>
      <c r="H672" s="40">
        <v>4.2473965886859042E-4</v>
      </c>
      <c r="I672" s="40">
        <v>1.502039513560117</v>
      </c>
      <c r="J672" s="59">
        <v>0</v>
      </c>
      <c r="K672" s="59">
        <v>5344.3689830601215</v>
      </c>
      <c r="L672" s="59">
        <v>0</v>
      </c>
      <c r="M672" s="11">
        <v>0.86004757881164551</v>
      </c>
      <c r="N672" s="11">
        <v>0.70076346397399902</v>
      </c>
      <c r="O672" s="11">
        <v>0.30311945080757141</v>
      </c>
      <c r="Q672" s="59">
        <v>15.058170622092497</v>
      </c>
      <c r="R672" s="78">
        <v>522.35368993464169</v>
      </c>
      <c r="S672" s="78">
        <v>15.130331126930942</v>
      </c>
      <c r="T672" s="78">
        <v>604.70616705455029</v>
      </c>
      <c r="U672" s="59">
        <v>15.118819621563102</v>
      </c>
      <c r="V672" s="78">
        <v>830.05041507712372</v>
      </c>
      <c r="X672" s="134">
        <f t="shared" si="66"/>
        <v>1505294.7085193151</v>
      </c>
      <c r="Y672" s="134">
        <f t="shared" si="67"/>
        <v>1512428.4065260396</v>
      </c>
      <c r="Z672" s="134">
        <f t="shared" si="68"/>
        <v>1511051.9117412332</v>
      </c>
      <c r="AB672" s="127">
        <f t="shared" si="69"/>
        <v>0</v>
      </c>
      <c r="AC672" s="127">
        <f t="shared" si="70"/>
        <v>1</v>
      </c>
      <c r="AD672" s="127">
        <f t="shared" si="71"/>
        <v>0</v>
      </c>
    </row>
    <row r="673" spans="1:30" x14ac:dyDescent="0.25">
      <c r="A673">
        <v>668</v>
      </c>
      <c r="C673" s="11">
        <v>1.4108091592788696E-2</v>
      </c>
      <c r="D673" s="11">
        <v>7.8080892562866211E-3</v>
      </c>
      <c r="E673" s="11">
        <v>0.24600226427850802</v>
      </c>
      <c r="F673" s="11">
        <v>7.9165763008691631E-2</v>
      </c>
      <c r="G673" s="11">
        <v>7.4704766273498535E-2</v>
      </c>
      <c r="H673" s="40">
        <v>4.0374410365217868E-4</v>
      </c>
      <c r="I673" s="40">
        <v>1.6292545269262046</v>
      </c>
      <c r="J673" s="59">
        <v>0</v>
      </c>
      <c r="K673" s="59">
        <v>3934.3256503343582</v>
      </c>
      <c r="L673" s="59">
        <v>0</v>
      </c>
      <c r="M673" s="11">
        <v>0.82892525196075439</v>
      </c>
      <c r="N673" s="11">
        <v>0.69238829612731934</v>
      </c>
      <c r="O673" s="11">
        <v>0.35596227645874023</v>
      </c>
      <c r="Q673" s="59">
        <v>14.333750789774044</v>
      </c>
      <c r="R673" s="78">
        <v>546.5430019426243</v>
      </c>
      <c r="S673" s="78">
        <v>14.409605257837402</v>
      </c>
      <c r="T673" s="78">
        <v>617.34742420587452</v>
      </c>
      <c r="U673" s="59">
        <v>14.426927777996699</v>
      </c>
      <c r="V673" s="78">
        <v>800.40059539899687</v>
      </c>
      <c r="X673" s="134">
        <f t="shared" si="66"/>
        <v>1432828.5359754618</v>
      </c>
      <c r="Y673" s="134">
        <f t="shared" si="67"/>
        <v>1440343.1783595344</v>
      </c>
      <c r="Z673" s="134">
        <f t="shared" si="68"/>
        <v>1441892.3772042708</v>
      </c>
      <c r="AB673" s="127">
        <f t="shared" si="69"/>
        <v>0</v>
      </c>
      <c r="AC673" s="127">
        <f t="shared" si="70"/>
        <v>0</v>
      </c>
      <c r="AD673" s="127">
        <f t="shared" si="71"/>
        <v>1</v>
      </c>
    </row>
    <row r="674" spans="1:30" x14ac:dyDescent="0.25">
      <c r="A674">
        <v>669</v>
      </c>
      <c r="C674" s="11">
        <v>2.1992027759552002E-2</v>
      </c>
      <c r="D674" s="11">
        <v>5.2189111709594727E-2</v>
      </c>
      <c r="E674" s="11">
        <v>0.41018965717428296</v>
      </c>
      <c r="F674" s="11">
        <v>0.16009623795685085</v>
      </c>
      <c r="G674" s="11">
        <v>9.3369007110595703E-2</v>
      </c>
      <c r="H674" s="40">
        <v>4.3922282874796822E-4</v>
      </c>
      <c r="I674" s="40">
        <v>1.3738518991718009</v>
      </c>
      <c r="J674" s="59">
        <v>0</v>
      </c>
      <c r="K674" s="59">
        <v>6446.9105564057827</v>
      </c>
      <c r="L674" s="59">
        <v>0</v>
      </c>
      <c r="M674" s="11">
        <v>0.84466642141342163</v>
      </c>
      <c r="N674" s="11">
        <v>0.79552257061004639</v>
      </c>
      <c r="O674" s="11">
        <v>0.26535624265670776</v>
      </c>
      <c r="Q674" s="59">
        <v>14.539733580779531</v>
      </c>
      <c r="R674" s="78">
        <v>530.40462174053175</v>
      </c>
      <c r="S674" s="78">
        <v>14.570200839201403</v>
      </c>
      <c r="T674" s="78">
        <v>635.37479382818719</v>
      </c>
      <c r="U674" s="59">
        <v>14.583285311292718</v>
      </c>
      <c r="V674" s="78">
        <v>810.0736817846423</v>
      </c>
      <c r="X674" s="134">
        <f t="shared" si="66"/>
        <v>1453442.9534562125</v>
      </c>
      <c r="Y674" s="134">
        <f t="shared" si="67"/>
        <v>1456384.7091263121</v>
      </c>
      <c r="Z674" s="134">
        <f t="shared" si="68"/>
        <v>1457518.4574474872</v>
      </c>
      <c r="AB674" s="127">
        <f t="shared" si="69"/>
        <v>0</v>
      </c>
      <c r="AC674" s="127">
        <f t="shared" si="70"/>
        <v>0</v>
      </c>
      <c r="AD674" s="127">
        <f t="shared" si="71"/>
        <v>1</v>
      </c>
    </row>
    <row r="675" spans="1:30" x14ac:dyDescent="0.25">
      <c r="A675">
        <v>670</v>
      </c>
      <c r="C675" s="11">
        <v>2.1079123020172119E-2</v>
      </c>
      <c r="D675" s="11">
        <v>8.2598328590393066E-3</v>
      </c>
      <c r="E675" s="11">
        <v>0.12798039805596251</v>
      </c>
      <c r="F675" s="11">
        <v>0.41340682276424917</v>
      </c>
      <c r="G675" s="11">
        <v>1.456451416015625E-2</v>
      </c>
      <c r="H675" s="40">
        <v>3.2259241776665316E-4</v>
      </c>
      <c r="I675" s="40">
        <v>1.5762376375493472</v>
      </c>
      <c r="J675" s="59">
        <v>0</v>
      </c>
      <c r="K675" s="59">
        <v>3362.3422496020794</v>
      </c>
      <c r="L675" s="59">
        <v>0</v>
      </c>
      <c r="M675" s="11">
        <v>0.81553220748901367</v>
      </c>
      <c r="N675" s="11">
        <v>0.72203958034515381</v>
      </c>
      <c r="O675" s="11">
        <v>0.28066486120223999</v>
      </c>
      <c r="Q675" s="59">
        <v>14.049516475018816</v>
      </c>
      <c r="R675" s="78">
        <v>460.33019729161236</v>
      </c>
      <c r="S675" s="78">
        <v>14.094766392876924</v>
      </c>
      <c r="T675" s="78">
        <v>587.64093117262166</v>
      </c>
      <c r="U675" s="59">
        <v>14.079748108455558</v>
      </c>
      <c r="V675" s="78">
        <v>815.74974281001266</v>
      </c>
      <c r="X675" s="134">
        <f t="shared" si="66"/>
        <v>1404491.31730459</v>
      </c>
      <c r="Y675" s="134">
        <f t="shared" si="67"/>
        <v>1408888.99835652</v>
      </c>
      <c r="Z675" s="134">
        <f t="shared" si="68"/>
        <v>1407159.0611027458</v>
      </c>
      <c r="AB675" s="127">
        <f t="shared" si="69"/>
        <v>0</v>
      </c>
      <c r="AC675" s="127">
        <f t="shared" si="70"/>
        <v>1</v>
      </c>
      <c r="AD675" s="127">
        <f t="shared" si="71"/>
        <v>0</v>
      </c>
    </row>
    <row r="676" spans="1:30" x14ac:dyDescent="0.25">
      <c r="A676">
        <v>671</v>
      </c>
      <c r="C676" s="11">
        <v>1.1648029088973999E-2</v>
      </c>
      <c r="D676" s="11">
        <v>5.5379867553710938E-3</v>
      </c>
      <c r="E676" s="11">
        <v>0.26042621361689028</v>
      </c>
      <c r="F676" s="11">
        <v>0.24041707380179622</v>
      </c>
      <c r="G676" s="11">
        <v>2.439647912979126E-2</v>
      </c>
      <c r="H676" s="40">
        <v>5.3376083613081182E-4</v>
      </c>
      <c r="I676" s="40">
        <v>1.3500663700668571</v>
      </c>
      <c r="J676" s="59">
        <v>0</v>
      </c>
      <c r="K676" s="59">
        <v>6757.2761327028275</v>
      </c>
      <c r="L676" s="59">
        <v>0</v>
      </c>
      <c r="M676" s="11">
        <v>0.82189512252807617</v>
      </c>
      <c r="N676" s="11">
        <v>0.77478104829788208</v>
      </c>
      <c r="O676" s="11">
        <v>0.34522271156311035</v>
      </c>
      <c r="Q676" s="59">
        <v>14.318263931174867</v>
      </c>
      <c r="R676" s="78">
        <v>515.83235583165731</v>
      </c>
      <c r="S676" s="78">
        <v>14.340525036463575</v>
      </c>
      <c r="T676" s="78">
        <v>611.08346102186408</v>
      </c>
      <c r="U676" s="59">
        <v>14.341135631861594</v>
      </c>
      <c r="V676" s="78">
        <v>817.62737709656369</v>
      </c>
      <c r="X676" s="134">
        <f t="shared" si="66"/>
        <v>1431310.560761655</v>
      </c>
      <c r="Y676" s="134">
        <f t="shared" si="67"/>
        <v>1433441.4201853357</v>
      </c>
      <c r="Z676" s="134">
        <f t="shared" si="68"/>
        <v>1433295.9358090628</v>
      </c>
      <c r="AB676" s="127">
        <f t="shared" si="69"/>
        <v>0</v>
      </c>
      <c r="AC676" s="127">
        <f t="shared" si="70"/>
        <v>1</v>
      </c>
      <c r="AD676" s="127">
        <f t="shared" si="71"/>
        <v>0</v>
      </c>
    </row>
    <row r="677" spans="1:30" x14ac:dyDescent="0.25">
      <c r="A677">
        <v>672</v>
      </c>
      <c r="C677" s="11">
        <v>3.5775899887084961E-3</v>
      </c>
      <c r="D677" s="11">
        <v>9.7721964120864868E-3</v>
      </c>
      <c r="E677" s="11">
        <v>0.30426005252183791</v>
      </c>
      <c r="F677" s="11">
        <v>0.35495503394705108</v>
      </c>
      <c r="G677" s="11">
        <v>1.9334197044372559E-2</v>
      </c>
      <c r="H677" s="40">
        <v>3.571777990547794E-4</v>
      </c>
      <c r="I677" s="40">
        <v>1.4791893937172982</v>
      </c>
      <c r="J677" s="59">
        <v>0</v>
      </c>
      <c r="K677" s="59">
        <v>5314.5061247050762</v>
      </c>
      <c r="L677" s="59">
        <v>0</v>
      </c>
      <c r="M677" s="11">
        <v>0.87894785404205322</v>
      </c>
      <c r="N677" s="11">
        <v>0.75024586915969849</v>
      </c>
      <c r="O677" s="11">
        <v>0.30209028720855713</v>
      </c>
      <c r="Q677" s="59">
        <v>15.414275401966057</v>
      </c>
      <c r="R677" s="78">
        <v>485.62106663899453</v>
      </c>
      <c r="S677" s="78">
        <v>15.452704705614327</v>
      </c>
      <c r="T677" s="78">
        <v>607.18709141343174</v>
      </c>
      <c r="U677" s="59">
        <v>15.449871452609262</v>
      </c>
      <c r="V677" s="78">
        <v>820.8569042996005</v>
      </c>
      <c r="X677" s="134">
        <f t="shared" si="66"/>
        <v>1540941.9191299668</v>
      </c>
      <c r="Y677" s="134">
        <f t="shared" si="67"/>
        <v>1544663.2834700192</v>
      </c>
      <c r="Z677" s="134">
        <f t="shared" si="68"/>
        <v>1544166.2883566264</v>
      </c>
      <c r="AB677" s="127">
        <f t="shared" si="69"/>
        <v>0</v>
      </c>
      <c r="AC677" s="127">
        <f t="shared" si="70"/>
        <v>1</v>
      </c>
      <c r="AD677" s="127">
        <f t="shared" si="71"/>
        <v>0</v>
      </c>
    </row>
    <row r="678" spans="1:30" x14ac:dyDescent="0.25">
      <c r="A678">
        <v>673</v>
      </c>
      <c r="C678" s="11">
        <v>1.2020379304885864E-2</v>
      </c>
      <c r="D678" s="11">
        <v>2.2904127836227417E-2</v>
      </c>
      <c r="E678" s="11">
        <v>0.14639078784399001</v>
      </c>
      <c r="F678" s="11">
        <v>0.16652401087362526</v>
      </c>
      <c r="G678" s="11">
        <v>3.5932332277297974E-2</v>
      </c>
      <c r="H678" s="40">
        <v>5.5493105937175094E-4</v>
      </c>
      <c r="I678" s="40">
        <v>1.4419341593732378</v>
      </c>
      <c r="J678" s="59">
        <v>0</v>
      </c>
      <c r="K678" s="59">
        <v>3768.9739838242531</v>
      </c>
      <c r="L678" s="59">
        <v>0</v>
      </c>
      <c r="M678" s="11">
        <v>0.87943106889724731</v>
      </c>
      <c r="N678" s="11">
        <v>0.76218748092651367</v>
      </c>
      <c r="O678" s="11">
        <v>0.34175479412078857</v>
      </c>
      <c r="Q678" s="59">
        <v>15.269717561619526</v>
      </c>
      <c r="R678" s="78">
        <v>491.60022648310036</v>
      </c>
      <c r="S678" s="78">
        <v>15.335597137652428</v>
      </c>
      <c r="T678" s="78">
        <v>593.54950950211992</v>
      </c>
      <c r="U678" s="59">
        <v>15.334011261854917</v>
      </c>
      <c r="V678" s="78">
        <v>804.54337469820575</v>
      </c>
      <c r="X678" s="134">
        <f t="shared" si="66"/>
        <v>1526480.1559354695</v>
      </c>
      <c r="Y678" s="134">
        <f t="shared" si="67"/>
        <v>1532966.1642557408</v>
      </c>
      <c r="Z678" s="134">
        <f t="shared" si="68"/>
        <v>1532596.5828107935</v>
      </c>
      <c r="AB678" s="127">
        <f t="shared" si="69"/>
        <v>0</v>
      </c>
      <c r="AC678" s="127">
        <f t="shared" si="70"/>
        <v>1</v>
      </c>
      <c r="AD678" s="127">
        <f t="shared" si="71"/>
        <v>0</v>
      </c>
    </row>
    <row r="679" spans="1:30" x14ac:dyDescent="0.25">
      <c r="A679">
        <v>674</v>
      </c>
      <c r="C679" s="11">
        <v>9.8662227392196655E-3</v>
      </c>
      <c r="D679" s="11">
        <v>1.265406608581543E-3</v>
      </c>
      <c r="E679" s="11">
        <v>0.15988538771166255</v>
      </c>
      <c r="F679" s="11">
        <v>0.2781210193625307</v>
      </c>
      <c r="G679" s="11">
        <v>3.8496792316436768E-2</v>
      </c>
      <c r="H679" s="40">
        <v>4.8067388866049815E-4</v>
      </c>
      <c r="I679" s="40">
        <v>1.4100755512064731</v>
      </c>
      <c r="J679" s="59">
        <v>0</v>
      </c>
      <c r="K679" s="59">
        <v>7315.3199627995491</v>
      </c>
      <c r="L679" s="59">
        <v>0</v>
      </c>
      <c r="M679" s="11">
        <v>0.88688111305236816</v>
      </c>
      <c r="N679" s="11">
        <v>0.67669034004211426</v>
      </c>
      <c r="O679" s="11">
        <v>0.28096330165863037</v>
      </c>
      <c r="Q679" s="59">
        <v>15.426440149713921</v>
      </c>
      <c r="R679" s="78">
        <v>547.37981082809972</v>
      </c>
      <c r="S679" s="78">
        <v>15.497211601102224</v>
      </c>
      <c r="T679" s="78">
        <v>603.86450598029012</v>
      </c>
      <c r="U679" s="59">
        <v>15.487116470582546</v>
      </c>
      <c r="V679" s="78">
        <v>831.1673919472978</v>
      </c>
      <c r="X679" s="134">
        <f t="shared" si="66"/>
        <v>1542096.635160564</v>
      </c>
      <c r="Y679" s="134">
        <f t="shared" si="67"/>
        <v>1549117.295604242</v>
      </c>
      <c r="Z679" s="134">
        <f t="shared" si="68"/>
        <v>1547880.4796663073</v>
      </c>
      <c r="AB679" s="127">
        <f t="shared" si="69"/>
        <v>0</v>
      </c>
      <c r="AC679" s="127">
        <f t="shared" si="70"/>
        <v>1</v>
      </c>
      <c r="AD679" s="127">
        <f t="shared" si="71"/>
        <v>0</v>
      </c>
    </row>
    <row r="680" spans="1:30" x14ac:dyDescent="0.25">
      <c r="A680">
        <v>675</v>
      </c>
      <c r="C680" s="11">
        <v>6.8891793489456177E-3</v>
      </c>
      <c r="D680" s="11">
        <v>1.0204508900642395E-2</v>
      </c>
      <c r="E680" s="11">
        <v>0.10990649238147397</v>
      </c>
      <c r="F680" s="11">
        <v>0.37209938298642731</v>
      </c>
      <c r="G680" s="11">
        <v>3.6964356899261475E-2</v>
      </c>
      <c r="H680" s="40">
        <v>3.6020338701931039E-4</v>
      </c>
      <c r="I680" s="40">
        <v>1.4553387589735585</v>
      </c>
      <c r="J680" s="59">
        <v>0</v>
      </c>
      <c r="K680" s="59">
        <v>5214.5612426102161</v>
      </c>
      <c r="L680" s="59">
        <v>0</v>
      </c>
      <c r="M680" s="11">
        <v>0.83492892980575562</v>
      </c>
      <c r="N680" s="11">
        <v>0.76928871870040894</v>
      </c>
      <c r="O680" s="11">
        <v>0.3440244197845459</v>
      </c>
      <c r="Q680" s="59">
        <v>14.610373731982129</v>
      </c>
      <c r="R680" s="78">
        <v>487.05755499064446</v>
      </c>
      <c r="S680" s="78">
        <v>14.642229545116873</v>
      </c>
      <c r="T680" s="78">
        <v>589.36044088354959</v>
      </c>
      <c r="U680" s="59">
        <v>14.632743538626794</v>
      </c>
      <c r="V680" s="78">
        <v>822.94272938548556</v>
      </c>
      <c r="X680" s="134">
        <f t="shared" si="66"/>
        <v>1460550.3156432221</v>
      </c>
      <c r="Y680" s="134">
        <f t="shared" si="67"/>
        <v>1463633.5940708038</v>
      </c>
      <c r="Z680" s="134">
        <f t="shared" si="68"/>
        <v>1462451.4111332938</v>
      </c>
      <c r="AB680" s="127">
        <f t="shared" si="69"/>
        <v>0</v>
      </c>
      <c r="AC680" s="127">
        <f t="shared" si="70"/>
        <v>1</v>
      </c>
      <c r="AD680" s="127">
        <f t="shared" si="71"/>
        <v>0</v>
      </c>
    </row>
    <row r="681" spans="1:30" x14ac:dyDescent="0.25">
      <c r="A681">
        <v>676</v>
      </c>
      <c r="C681" s="11">
        <v>1.3558566570281982E-2</v>
      </c>
      <c r="D681" s="11">
        <v>1.4880865812301636E-2</v>
      </c>
      <c r="E681" s="11">
        <v>0.1615981997828477</v>
      </c>
      <c r="F681" s="11">
        <v>0.82770485441024899</v>
      </c>
      <c r="G681" s="11">
        <v>1.7707675695419312E-2</v>
      </c>
      <c r="H681" s="40">
        <v>3.7639631105975118E-4</v>
      </c>
      <c r="I681" s="40">
        <v>1.4346896082885416</v>
      </c>
      <c r="J681" s="59">
        <v>0</v>
      </c>
      <c r="K681" s="59">
        <v>5728.5698130726814</v>
      </c>
      <c r="L681" s="59">
        <v>0</v>
      </c>
      <c r="M681" s="11">
        <v>0.85162758827209473</v>
      </c>
      <c r="N681" s="11">
        <v>0.72610890865325928</v>
      </c>
      <c r="O681" s="11">
        <v>0.29075425863265991</v>
      </c>
      <c r="Q681" s="59">
        <v>14.788557967587266</v>
      </c>
      <c r="R681" s="78">
        <v>483.55104343085833</v>
      </c>
      <c r="S681" s="78">
        <v>14.830595122028049</v>
      </c>
      <c r="T681" s="78">
        <v>593.64713829463483</v>
      </c>
      <c r="U681" s="59">
        <v>14.797102825656156</v>
      </c>
      <c r="V681" s="78">
        <v>862.30530771962754</v>
      </c>
      <c r="X681" s="134">
        <f t="shared" si="66"/>
        <v>1478372.2457152959</v>
      </c>
      <c r="Y681" s="134">
        <f t="shared" si="67"/>
        <v>1482465.8650645104</v>
      </c>
      <c r="Z681" s="134">
        <f t="shared" si="68"/>
        <v>1478847.977257896</v>
      </c>
      <c r="AB681" s="127">
        <f t="shared" si="69"/>
        <v>0</v>
      </c>
      <c r="AC681" s="127">
        <f t="shared" si="70"/>
        <v>1</v>
      </c>
      <c r="AD681" s="127">
        <f t="shared" si="71"/>
        <v>0</v>
      </c>
    </row>
    <row r="682" spans="1:30" x14ac:dyDescent="0.25">
      <c r="A682">
        <v>677</v>
      </c>
      <c r="C682" s="11">
        <v>2.2037595510482788E-2</v>
      </c>
      <c r="D682" s="11">
        <v>1.6485840082168579E-2</v>
      </c>
      <c r="E682" s="11">
        <v>0.30965470207434076</v>
      </c>
      <c r="F682" s="11">
        <v>0.23246185852288714</v>
      </c>
      <c r="G682" s="11">
        <v>3.9115071296691895E-2</v>
      </c>
      <c r="H682" s="40">
        <v>4.1395345865389546E-4</v>
      </c>
      <c r="I682" s="40">
        <v>1.5194992290139404</v>
      </c>
      <c r="J682" s="59">
        <v>0</v>
      </c>
      <c r="K682" s="59">
        <v>6655.2404314279556</v>
      </c>
      <c r="L682" s="59">
        <v>0</v>
      </c>
      <c r="M682" s="11">
        <v>0.83681434392929077</v>
      </c>
      <c r="N682" s="11">
        <v>0.70741117000579834</v>
      </c>
      <c r="O682" s="11">
        <v>0.3069419264793396</v>
      </c>
      <c r="Q682" s="59">
        <v>14.38142334974118</v>
      </c>
      <c r="R682" s="78">
        <v>556.79914592568844</v>
      </c>
      <c r="S682" s="78">
        <v>14.432106337661386</v>
      </c>
      <c r="T682" s="78">
        <v>630.13800884275236</v>
      </c>
      <c r="U682" s="59">
        <v>14.437879109501496</v>
      </c>
      <c r="V682" s="78">
        <v>826.45188542964638</v>
      </c>
      <c r="X682" s="134">
        <f t="shared" si="66"/>
        <v>1437585.5358281923</v>
      </c>
      <c r="Y682" s="134">
        <f t="shared" si="67"/>
        <v>1442580.495757296</v>
      </c>
      <c r="Z682" s="134">
        <f t="shared" si="68"/>
        <v>1442961.45906472</v>
      </c>
      <c r="AB682" s="127">
        <f t="shared" si="69"/>
        <v>0</v>
      </c>
      <c r="AC682" s="127">
        <f t="shared" si="70"/>
        <v>0</v>
      </c>
      <c r="AD682" s="127">
        <f t="shared" si="71"/>
        <v>1</v>
      </c>
    </row>
    <row r="683" spans="1:30" x14ac:dyDescent="0.25">
      <c r="A683">
        <v>678</v>
      </c>
      <c r="C683" s="11">
        <v>1.6381025314331055E-2</v>
      </c>
      <c r="D683" s="11">
        <v>1.0317042469978333E-2</v>
      </c>
      <c r="E683" s="11">
        <v>0.45557845984795642</v>
      </c>
      <c r="F683" s="11">
        <v>0.27821500643195501</v>
      </c>
      <c r="G683" s="11">
        <v>7.8568816184997559E-2</v>
      </c>
      <c r="H683" s="40">
        <v>3.6567954807188127E-4</v>
      </c>
      <c r="I683" s="40">
        <v>1.550055896314174</v>
      </c>
      <c r="J683" s="59">
        <v>0</v>
      </c>
      <c r="K683" s="59">
        <v>5737.5547476112843</v>
      </c>
      <c r="L683" s="59">
        <v>0</v>
      </c>
      <c r="M683" s="11">
        <v>0.85008406639099121</v>
      </c>
      <c r="N683" s="11">
        <v>0.74289661645889282</v>
      </c>
      <c r="O683" s="11">
        <v>0.3336341381072998</v>
      </c>
      <c r="Q683" s="59">
        <v>14.701609671408034</v>
      </c>
      <c r="R683" s="78">
        <v>557.17759167392455</v>
      </c>
      <c r="S683" s="78">
        <v>14.738199669453614</v>
      </c>
      <c r="T683" s="78">
        <v>654.14162661441037</v>
      </c>
      <c r="U683" s="59">
        <v>14.750326069168851</v>
      </c>
      <c r="V683" s="78">
        <v>834.04953197212444</v>
      </c>
      <c r="X683" s="134">
        <f t="shared" si="66"/>
        <v>1469603.7895491293</v>
      </c>
      <c r="Y683" s="134">
        <f t="shared" si="67"/>
        <v>1473165.825318747</v>
      </c>
      <c r="Z683" s="134">
        <f t="shared" si="68"/>
        <v>1474198.5573849131</v>
      </c>
      <c r="AB683" s="127">
        <f t="shared" si="69"/>
        <v>0</v>
      </c>
      <c r="AC683" s="127">
        <f t="shared" si="70"/>
        <v>0</v>
      </c>
      <c r="AD683" s="127">
        <f t="shared" si="71"/>
        <v>1</v>
      </c>
    </row>
    <row r="684" spans="1:30" x14ac:dyDescent="0.25">
      <c r="A684">
        <v>679</v>
      </c>
      <c r="C684" s="11">
        <v>4.0232658386230469E-2</v>
      </c>
      <c r="D684" s="11">
        <v>2.5808930397033691E-2</v>
      </c>
      <c r="E684" s="11">
        <v>0.1187613735512603</v>
      </c>
      <c r="F684" s="11">
        <v>0.30312555632443061</v>
      </c>
      <c r="G684" s="11">
        <v>3.2677501440048218E-2</v>
      </c>
      <c r="H684" s="40">
        <v>4.8271141351469908E-4</v>
      </c>
      <c r="I684" s="40">
        <v>1.4404810230451666</v>
      </c>
      <c r="J684" s="59">
        <v>0</v>
      </c>
      <c r="K684" s="59">
        <v>5030.3922034800053</v>
      </c>
      <c r="L684" s="59">
        <v>0</v>
      </c>
      <c r="M684" s="11">
        <v>0.84511899948120117</v>
      </c>
      <c r="N684" s="11">
        <v>0.72095388174057007</v>
      </c>
      <c r="O684" s="11">
        <v>0.32402467727661133</v>
      </c>
      <c r="Q684" s="59">
        <v>14.260527252553453</v>
      </c>
      <c r="R684" s="78">
        <v>501.97741629449257</v>
      </c>
      <c r="S684" s="78">
        <v>14.319167428751649</v>
      </c>
      <c r="T684" s="78">
        <v>592.03431797424912</v>
      </c>
      <c r="U684" s="59">
        <v>14.306717539862522</v>
      </c>
      <c r="V684" s="78">
        <v>821.1547888609249</v>
      </c>
      <c r="X684" s="134">
        <f t="shared" si="66"/>
        <v>1425550.7478390511</v>
      </c>
      <c r="Y684" s="134">
        <f t="shared" si="67"/>
        <v>1431324.7085571906</v>
      </c>
      <c r="Z684" s="134">
        <f t="shared" si="68"/>
        <v>1429850.5991973914</v>
      </c>
      <c r="AB684" s="127">
        <f t="shared" si="69"/>
        <v>0</v>
      </c>
      <c r="AC684" s="127">
        <f t="shared" si="70"/>
        <v>1</v>
      </c>
      <c r="AD684" s="127">
        <f t="shared" si="71"/>
        <v>0</v>
      </c>
    </row>
    <row r="685" spans="1:30" x14ac:dyDescent="0.25">
      <c r="A685">
        <v>680</v>
      </c>
      <c r="C685" s="11">
        <v>1.7657950520515442E-2</v>
      </c>
      <c r="D685" s="11">
        <v>9.7646564245223999E-3</v>
      </c>
      <c r="E685" s="11">
        <v>0.44405515501509341</v>
      </c>
      <c r="F685" s="11">
        <v>0.25988314866545392</v>
      </c>
      <c r="G685" s="11">
        <v>3.3274233341217041E-2</v>
      </c>
      <c r="H685" s="40">
        <v>2.8612789390274724E-4</v>
      </c>
      <c r="I685" s="40">
        <v>1.5283887294959932</v>
      </c>
      <c r="J685" s="59">
        <v>0</v>
      </c>
      <c r="K685" s="59">
        <v>4514.157772064209</v>
      </c>
      <c r="L685" s="59">
        <v>0</v>
      </c>
      <c r="M685" s="11">
        <v>0.79940485954284668</v>
      </c>
      <c r="N685" s="11">
        <v>0.80693864822387695</v>
      </c>
      <c r="O685" s="11">
        <v>0.30956447124481201</v>
      </c>
      <c r="Q685" s="59">
        <v>13.85366522665867</v>
      </c>
      <c r="R685" s="78">
        <v>470.92647167498927</v>
      </c>
      <c r="S685" s="78">
        <v>13.863223197569484</v>
      </c>
      <c r="T685" s="78">
        <v>613.4438492633883</v>
      </c>
      <c r="U685" s="59">
        <v>13.866437210369373</v>
      </c>
      <c r="V685" s="78">
        <v>808.21394271493796</v>
      </c>
      <c r="X685" s="134">
        <f t="shared" si="66"/>
        <v>1384895.5961941918</v>
      </c>
      <c r="Y685" s="134">
        <f t="shared" si="67"/>
        <v>1385708.8759076849</v>
      </c>
      <c r="Z685" s="134">
        <f t="shared" si="68"/>
        <v>1385835.5070942224</v>
      </c>
      <c r="AB685" s="127">
        <f t="shared" si="69"/>
        <v>0</v>
      </c>
      <c r="AC685" s="127">
        <f t="shared" si="70"/>
        <v>0</v>
      </c>
      <c r="AD685" s="127">
        <f t="shared" si="71"/>
        <v>1</v>
      </c>
    </row>
    <row r="686" spans="1:30" x14ac:dyDescent="0.25">
      <c r="A686">
        <v>681</v>
      </c>
      <c r="C686" s="11">
        <v>2.6515394449234009E-2</v>
      </c>
      <c r="D686" s="11">
        <v>6.6663175821304321E-3</v>
      </c>
      <c r="E686" s="11">
        <v>0.42214267428780655</v>
      </c>
      <c r="F686" s="11">
        <v>0.13732793258325998</v>
      </c>
      <c r="G686" s="11">
        <v>1.8002212047576904E-2</v>
      </c>
      <c r="H686" s="40">
        <v>5.1156136494504955E-4</v>
      </c>
      <c r="I686" s="40">
        <v>1.4934349003992107</v>
      </c>
      <c r="J686" s="59">
        <v>0</v>
      </c>
      <c r="K686" s="59">
        <v>9796.9174385070801</v>
      </c>
      <c r="L686" s="59">
        <v>0</v>
      </c>
      <c r="M686" s="11">
        <v>0.87643170356750488</v>
      </c>
      <c r="N686" s="11">
        <v>0.69753897190093994</v>
      </c>
      <c r="O686" s="11">
        <v>0.27154338359832764</v>
      </c>
      <c r="Q686" s="59">
        <v>14.970939923346217</v>
      </c>
      <c r="R686" s="78">
        <v>636.67599835182023</v>
      </c>
      <c r="S686" s="78">
        <v>15.027778335711234</v>
      </c>
      <c r="T686" s="78">
        <v>682.86687561259407</v>
      </c>
      <c r="U686" s="59">
        <v>15.056451978249978</v>
      </c>
      <c r="V686" s="78">
        <v>822.02169694715576</v>
      </c>
      <c r="X686" s="134">
        <f t="shared" si="66"/>
        <v>1496457.31633627</v>
      </c>
      <c r="Y686" s="134">
        <f t="shared" si="67"/>
        <v>1502094.9666955108</v>
      </c>
      <c r="Z686" s="134">
        <f t="shared" si="68"/>
        <v>1504823.1761280508</v>
      </c>
      <c r="AB686" s="127">
        <f t="shared" si="69"/>
        <v>0</v>
      </c>
      <c r="AC686" s="127">
        <f t="shared" si="70"/>
        <v>0</v>
      </c>
      <c r="AD686" s="127">
        <f t="shared" si="71"/>
        <v>1</v>
      </c>
    </row>
    <row r="687" spans="1:30" x14ac:dyDescent="0.25">
      <c r="A687">
        <v>682</v>
      </c>
      <c r="C687" s="11">
        <v>1.5881061553955078E-2</v>
      </c>
      <c r="D687" s="11">
        <v>2.5200575590133667E-2</v>
      </c>
      <c r="E687" s="11">
        <v>0.29635966088175986</v>
      </c>
      <c r="F687" s="11">
        <v>0.20539702440873064</v>
      </c>
      <c r="G687" s="11">
        <v>5.3166955709457397E-2</v>
      </c>
      <c r="H687" s="40">
        <v>5.9868559140584666E-4</v>
      </c>
      <c r="I687" s="40">
        <v>1.4712709063118232</v>
      </c>
      <c r="J687" s="59">
        <v>0</v>
      </c>
      <c r="K687" s="59">
        <v>8391.7565643787384</v>
      </c>
      <c r="L687" s="59">
        <v>0</v>
      </c>
      <c r="M687" s="11">
        <v>0.89542520046234131</v>
      </c>
      <c r="N687" s="11">
        <v>0.84081172943115234</v>
      </c>
      <c r="O687" s="11">
        <v>0.30852586030960083</v>
      </c>
      <c r="Q687" s="59">
        <v>15.49128761063565</v>
      </c>
      <c r="R687" s="78">
        <v>669.57643662684973</v>
      </c>
      <c r="S687" s="78">
        <v>15.542848474956168</v>
      </c>
      <c r="T687" s="78">
        <v>662.11508310255545</v>
      </c>
      <c r="U687" s="59">
        <v>15.549675560643918</v>
      </c>
      <c r="V687" s="78">
        <v>845.73623192218338</v>
      </c>
      <c r="X687" s="134">
        <f t="shared" si="66"/>
        <v>1548459.1846269381</v>
      </c>
      <c r="Y687" s="134">
        <f t="shared" si="67"/>
        <v>1553622.7324125143</v>
      </c>
      <c r="Z687" s="134">
        <f t="shared" si="68"/>
        <v>1554121.8198324696</v>
      </c>
      <c r="AB687" s="127">
        <f t="shared" si="69"/>
        <v>0</v>
      </c>
      <c r="AC687" s="127">
        <f t="shared" si="70"/>
        <v>0</v>
      </c>
      <c r="AD687" s="127">
        <f t="shared" si="71"/>
        <v>1</v>
      </c>
    </row>
    <row r="688" spans="1:30" x14ac:dyDescent="0.25">
      <c r="A688">
        <v>683</v>
      </c>
      <c r="C688" s="11">
        <v>4.4591665267944336E-2</v>
      </c>
      <c r="D688" s="11">
        <v>1.418718695640564E-2</v>
      </c>
      <c r="E688" s="11">
        <v>0.22809423572098306</v>
      </c>
      <c r="F688" s="11">
        <v>0.12324447906599051</v>
      </c>
      <c r="G688" s="11">
        <v>7.5879812240600586E-2</v>
      </c>
      <c r="H688" s="40">
        <v>3.8919861339881508E-4</v>
      </c>
      <c r="I688" s="40">
        <v>1.525869542161727</v>
      </c>
      <c r="J688" s="59">
        <v>0</v>
      </c>
      <c r="K688" s="59">
        <v>6177.3764900863171</v>
      </c>
      <c r="L688" s="59">
        <v>0</v>
      </c>
      <c r="M688" s="11">
        <v>0.84059351682662964</v>
      </c>
      <c r="N688" s="11">
        <v>0.76103007793426514</v>
      </c>
      <c r="O688" s="11">
        <v>0.30394303798675537</v>
      </c>
      <c r="Q688" s="59">
        <v>14.126443257606685</v>
      </c>
      <c r="R688" s="78">
        <v>561.19033109984821</v>
      </c>
      <c r="S688" s="78">
        <v>14.172011202161238</v>
      </c>
      <c r="T688" s="78">
        <v>617.70880552251572</v>
      </c>
      <c r="U688" s="59">
        <v>14.1783296791577</v>
      </c>
      <c r="V688" s="78">
        <v>808.95803766099289</v>
      </c>
      <c r="X688" s="134">
        <f t="shared" si="66"/>
        <v>1412083.1354295686</v>
      </c>
      <c r="Y688" s="134">
        <f t="shared" si="67"/>
        <v>1416583.4114106013</v>
      </c>
      <c r="Z688" s="134">
        <f t="shared" si="68"/>
        <v>1417024.0098781092</v>
      </c>
      <c r="AB688" s="127">
        <f t="shared" si="69"/>
        <v>0</v>
      </c>
      <c r="AC688" s="127">
        <f t="shared" si="70"/>
        <v>0</v>
      </c>
      <c r="AD688" s="127">
        <f t="shared" si="71"/>
        <v>1</v>
      </c>
    </row>
    <row r="689" spans="1:30" x14ac:dyDescent="0.25">
      <c r="A689">
        <v>684</v>
      </c>
      <c r="C689" s="11">
        <v>1.4062657952308655E-2</v>
      </c>
      <c r="D689" s="11">
        <v>2.8891980648040771E-2</v>
      </c>
      <c r="E689" s="11">
        <v>0.2092274439315194</v>
      </c>
      <c r="F689" s="11">
        <v>0.15545019359676093</v>
      </c>
      <c r="G689" s="11">
        <v>3.1353235244750977E-2</v>
      </c>
      <c r="H689" s="40">
        <v>4.0803474198622793E-4</v>
      </c>
      <c r="I689" s="40">
        <v>1.524064349777237</v>
      </c>
      <c r="J689" s="59">
        <v>0</v>
      </c>
      <c r="K689" s="59">
        <v>6383.2290470600128</v>
      </c>
      <c r="L689" s="59">
        <v>0</v>
      </c>
      <c r="M689" s="11">
        <v>0.80699372291564941</v>
      </c>
      <c r="N689" s="11">
        <v>0.71702492237091064</v>
      </c>
      <c r="O689" s="11">
        <v>0.31752589344978333</v>
      </c>
      <c r="Q689" s="59">
        <v>13.991811455444576</v>
      </c>
      <c r="R689" s="78">
        <v>544.61116028252604</v>
      </c>
      <c r="S689" s="78">
        <v>14.040689716929901</v>
      </c>
      <c r="T689" s="78">
        <v>611.03869151650031</v>
      </c>
      <c r="U689" s="59">
        <v>14.044082844752859</v>
      </c>
      <c r="V689" s="78">
        <v>811.83092134074298</v>
      </c>
      <c r="X689" s="134">
        <f t="shared" si="66"/>
        <v>1398636.5343841752</v>
      </c>
      <c r="Y689" s="134">
        <f t="shared" si="67"/>
        <v>1403457.9330014735</v>
      </c>
      <c r="Z689" s="134">
        <f t="shared" si="68"/>
        <v>1403596.4535539453</v>
      </c>
      <c r="AB689" s="127">
        <f t="shared" si="69"/>
        <v>0</v>
      </c>
      <c r="AC689" s="127">
        <f t="shared" si="70"/>
        <v>0</v>
      </c>
      <c r="AD689" s="127">
        <f t="shared" si="71"/>
        <v>1</v>
      </c>
    </row>
    <row r="690" spans="1:30" x14ac:dyDescent="0.25">
      <c r="A690">
        <v>685</v>
      </c>
      <c r="C690" s="11">
        <v>1.0973930358886719E-2</v>
      </c>
      <c r="D690" s="11">
        <v>4.0818750858306885E-3</v>
      </c>
      <c r="E690" s="11">
        <v>0.19832951272239396</v>
      </c>
      <c r="F690" s="11">
        <v>0.11956971011115826</v>
      </c>
      <c r="G690" s="11">
        <v>2.8694808483123779E-2</v>
      </c>
      <c r="H690" s="40">
        <v>5.2456754651056335E-4</v>
      </c>
      <c r="I690" s="40">
        <v>1.5313055582022135</v>
      </c>
      <c r="J690" s="59">
        <v>0</v>
      </c>
      <c r="K690" s="59">
        <v>6934.3158975243568</v>
      </c>
      <c r="L690" s="59">
        <v>0</v>
      </c>
      <c r="M690" s="11">
        <v>0.83373218774795532</v>
      </c>
      <c r="N690" s="11">
        <v>0.69611227512359619</v>
      </c>
      <c r="O690" s="11">
        <v>0.27540254592895508</v>
      </c>
      <c r="Q690" s="59">
        <v>14.46924499874773</v>
      </c>
      <c r="R690" s="78">
        <v>606.15009323272852</v>
      </c>
      <c r="S690" s="78">
        <v>14.545584276068359</v>
      </c>
      <c r="T690" s="78">
        <v>622.01708433975216</v>
      </c>
      <c r="U690" s="59">
        <v>14.553297897792339</v>
      </c>
      <c r="V690" s="78">
        <v>813.99137603894883</v>
      </c>
      <c r="X690" s="134">
        <f t="shared" si="66"/>
        <v>1446318.3497815402</v>
      </c>
      <c r="Y690" s="134">
        <f t="shared" si="67"/>
        <v>1453936.4105224961</v>
      </c>
      <c r="Z690" s="134">
        <f t="shared" si="68"/>
        <v>1454515.7984031951</v>
      </c>
      <c r="AB690" s="127">
        <f t="shared" si="69"/>
        <v>0</v>
      </c>
      <c r="AC690" s="127">
        <f t="shared" si="70"/>
        <v>0</v>
      </c>
      <c r="AD690" s="127">
        <f t="shared" si="71"/>
        <v>1</v>
      </c>
    </row>
    <row r="691" spans="1:30" x14ac:dyDescent="0.25">
      <c r="A691">
        <v>686</v>
      </c>
      <c r="C691" s="11">
        <v>2.9423177242279053E-2</v>
      </c>
      <c r="D691" s="11">
        <v>4.7534704208374023E-2</v>
      </c>
      <c r="E691" s="11">
        <v>0.18051658109319652</v>
      </c>
      <c r="F691" s="11">
        <v>0.10106583902495581</v>
      </c>
      <c r="G691" s="11">
        <v>2.5391250848770142E-2</v>
      </c>
      <c r="H691" s="40">
        <v>5.0509214079622262E-4</v>
      </c>
      <c r="I691" s="40">
        <v>1.4810098997116872</v>
      </c>
      <c r="J691" s="59">
        <v>0</v>
      </c>
      <c r="K691" s="59">
        <v>2862.3268008232117</v>
      </c>
      <c r="L691" s="59">
        <v>0</v>
      </c>
      <c r="M691" s="11">
        <v>0.88922446966171265</v>
      </c>
      <c r="N691" s="11">
        <v>0.81052613258361816</v>
      </c>
      <c r="O691" s="11">
        <v>0.35111391544342041</v>
      </c>
      <c r="Q691" s="59">
        <v>15.173322732030785</v>
      </c>
      <c r="R691" s="78">
        <v>463.85603354966679</v>
      </c>
      <c r="S691" s="78">
        <v>15.231570749169169</v>
      </c>
      <c r="T691" s="78">
        <v>591.84441329031722</v>
      </c>
      <c r="U691" s="59">
        <v>15.237351234406102</v>
      </c>
      <c r="V691" s="78">
        <v>795.20415936003178</v>
      </c>
      <c r="X691" s="134">
        <f t="shared" si="66"/>
        <v>1516868.4171695288</v>
      </c>
      <c r="Y691" s="134">
        <f t="shared" si="67"/>
        <v>1522565.2305036266</v>
      </c>
      <c r="Z691" s="134">
        <f t="shared" si="68"/>
        <v>1522939.9192812501</v>
      </c>
      <c r="AB691" s="127">
        <f t="shared" si="69"/>
        <v>0</v>
      </c>
      <c r="AC691" s="127">
        <f t="shared" si="70"/>
        <v>0</v>
      </c>
      <c r="AD691" s="127">
        <f t="shared" si="71"/>
        <v>1</v>
      </c>
    </row>
    <row r="692" spans="1:30" x14ac:dyDescent="0.25">
      <c r="A692">
        <v>687</v>
      </c>
      <c r="C692" s="11">
        <v>1.7695397138595581E-2</v>
      </c>
      <c r="D692" s="11">
        <v>3.121793270111084E-2</v>
      </c>
      <c r="E692" s="11">
        <v>0.29351134997814071</v>
      </c>
      <c r="F692" s="11">
        <v>0.25387681901207887</v>
      </c>
      <c r="G692" s="11">
        <v>5.2963554859161377E-2</v>
      </c>
      <c r="H692" s="40">
        <v>4.9380170471975205E-4</v>
      </c>
      <c r="I692" s="40">
        <v>1.4612569611258281</v>
      </c>
      <c r="J692" s="59">
        <v>0</v>
      </c>
      <c r="K692" s="59">
        <v>5173.06849360466</v>
      </c>
      <c r="L692" s="59">
        <v>0</v>
      </c>
      <c r="M692" s="11">
        <v>0.85174345970153809</v>
      </c>
      <c r="N692" s="11">
        <v>0.69493484497070313</v>
      </c>
      <c r="O692" s="11">
        <v>0.31254470348358154</v>
      </c>
      <c r="Q692" s="59">
        <v>14.687939262750881</v>
      </c>
      <c r="R692" s="78">
        <v>530.09176987546266</v>
      </c>
      <c r="S692" s="78">
        <v>14.751565497987626</v>
      </c>
      <c r="T692" s="78">
        <v>619.51071874728189</v>
      </c>
      <c r="U692" s="59">
        <v>14.755196446962097</v>
      </c>
      <c r="V692" s="78">
        <v>823.06818500612223</v>
      </c>
      <c r="X692" s="134">
        <f t="shared" si="66"/>
        <v>1468263.8345052125</v>
      </c>
      <c r="Y692" s="134">
        <f t="shared" si="67"/>
        <v>1474537.0390800154</v>
      </c>
      <c r="Z692" s="134">
        <f t="shared" si="68"/>
        <v>1474696.5765112038</v>
      </c>
      <c r="AB692" s="127">
        <f t="shared" si="69"/>
        <v>0</v>
      </c>
      <c r="AC692" s="127">
        <f t="shared" si="70"/>
        <v>0</v>
      </c>
      <c r="AD692" s="127">
        <f t="shared" si="71"/>
        <v>1</v>
      </c>
    </row>
    <row r="693" spans="1:30" x14ac:dyDescent="0.25">
      <c r="A693">
        <v>688</v>
      </c>
      <c r="C693" s="11">
        <v>5.0211250782012939E-3</v>
      </c>
      <c r="D693" s="11">
        <v>1.2602105736732483E-2</v>
      </c>
      <c r="E693" s="11">
        <v>0.31230282836227635</v>
      </c>
      <c r="F693" s="11">
        <v>0.15719524507047539</v>
      </c>
      <c r="G693" s="11">
        <v>2.9355138540267944E-2</v>
      </c>
      <c r="H693" s="40">
        <v>4.5370919456464586E-4</v>
      </c>
      <c r="I693" s="40">
        <v>1.4620127113964394</v>
      </c>
      <c r="J693" s="59">
        <v>0</v>
      </c>
      <c r="K693" s="59">
        <v>5879.5069344341755</v>
      </c>
      <c r="L693" s="59">
        <v>0</v>
      </c>
      <c r="M693" s="11">
        <v>0.86134988069534302</v>
      </c>
      <c r="N693" s="11">
        <v>0.69990277290344238</v>
      </c>
      <c r="O693" s="11">
        <v>0.31407159566879272</v>
      </c>
      <c r="Q693" s="59">
        <v>15.060360564974298</v>
      </c>
      <c r="R693" s="78">
        <v>523.00273769707428</v>
      </c>
      <c r="S693" s="78">
        <v>15.113481870439205</v>
      </c>
      <c r="T693" s="78">
        <v>619.8115528524263</v>
      </c>
      <c r="U693" s="59">
        <v>15.125680549720647</v>
      </c>
      <c r="V693" s="78">
        <v>808.60251171442826</v>
      </c>
      <c r="X693" s="134">
        <f t="shared" si="66"/>
        <v>1505513.0537597327</v>
      </c>
      <c r="Y693" s="134">
        <f t="shared" si="67"/>
        <v>1510728.3754910682</v>
      </c>
      <c r="Z693" s="134">
        <f t="shared" si="68"/>
        <v>1511759.4524603502</v>
      </c>
      <c r="AB693" s="127">
        <f t="shared" si="69"/>
        <v>0</v>
      </c>
      <c r="AC693" s="127">
        <f t="shared" si="70"/>
        <v>0</v>
      </c>
      <c r="AD693" s="127">
        <f t="shared" si="71"/>
        <v>1</v>
      </c>
    </row>
    <row r="694" spans="1:30" x14ac:dyDescent="0.25">
      <c r="A694">
        <v>689</v>
      </c>
      <c r="C694" s="11">
        <v>1.2384682893753052E-2</v>
      </c>
      <c r="D694" s="11">
        <v>2.7852535247802734E-2</v>
      </c>
      <c r="E694" s="11">
        <v>0.3045243274302441</v>
      </c>
      <c r="F694" s="11">
        <v>0.18967045009650924</v>
      </c>
      <c r="G694" s="11">
        <v>1.6700237989425659E-2</v>
      </c>
      <c r="H694" s="40">
        <v>6.0650912459721891E-4</v>
      </c>
      <c r="I694" s="40">
        <v>1.3699378614810631</v>
      </c>
      <c r="J694" s="59">
        <v>0</v>
      </c>
      <c r="K694" s="59">
        <v>7120.4127743840218</v>
      </c>
      <c r="L694" s="59">
        <v>0</v>
      </c>
      <c r="M694" s="11">
        <v>0.8483465313911438</v>
      </c>
      <c r="N694" s="11">
        <v>0.77012127637863159</v>
      </c>
      <c r="O694" s="11">
        <v>0.29959219694137573</v>
      </c>
      <c r="Q694" s="59">
        <v>14.744722198929034</v>
      </c>
      <c r="R694" s="78">
        <v>540.62451424523022</v>
      </c>
      <c r="S694" s="78">
        <v>14.782399143910531</v>
      </c>
      <c r="T694" s="78">
        <v>624.22828719905158</v>
      </c>
      <c r="U694" s="59">
        <v>14.788729696735642</v>
      </c>
      <c r="V694" s="78">
        <v>816.23027915697992</v>
      </c>
      <c r="X694" s="134">
        <f t="shared" si="66"/>
        <v>1473931.5953786583</v>
      </c>
      <c r="Y694" s="134">
        <f t="shared" si="67"/>
        <v>1477615.6861038541</v>
      </c>
      <c r="Z694" s="134">
        <f t="shared" si="68"/>
        <v>1478056.7393944073</v>
      </c>
      <c r="AB694" s="127">
        <f t="shared" si="69"/>
        <v>0</v>
      </c>
      <c r="AC694" s="127">
        <f t="shared" si="70"/>
        <v>0</v>
      </c>
      <c r="AD694" s="127">
        <f t="shared" si="71"/>
        <v>1</v>
      </c>
    </row>
    <row r="695" spans="1:30" x14ac:dyDescent="0.25">
      <c r="A695">
        <v>690</v>
      </c>
      <c r="C695" s="11">
        <v>9.1497898101806641E-3</v>
      </c>
      <c r="D695" s="11">
        <v>3.0961781740188599E-2</v>
      </c>
      <c r="E695" s="11">
        <v>0.79342621588589179</v>
      </c>
      <c r="F695" s="11">
        <v>0.17433151645765183</v>
      </c>
      <c r="G695" s="11">
        <v>2.9097050428390503E-2</v>
      </c>
      <c r="H695" s="40">
        <v>6.6359697552613613E-4</v>
      </c>
      <c r="I695" s="40">
        <v>1.5793861848135533</v>
      </c>
      <c r="J695" s="59">
        <v>0</v>
      </c>
      <c r="K695" s="59">
        <v>2868.0311515927315</v>
      </c>
      <c r="L695" s="59">
        <v>0</v>
      </c>
      <c r="M695" s="11">
        <v>0.90530133247375488</v>
      </c>
      <c r="N695" s="11">
        <v>0.74504119157791138</v>
      </c>
      <c r="O695" s="11">
        <v>0.32739996910095215</v>
      </c>
      <c r="Q695" s="59">
        <v>15.673736599553797</v>
      </c>
      <c r="R695" s="78">
        <v>520.04852694374483</v>
      </c>
      <c r="S695" s="78">
        <v>15.70772324492026</v>
      </c>
      <c r="T695" s="78">
        <v>679.85304666011336</v>
      </c>
      <c r="U695" s="59">
        <v>15.813596598200245</v>
      </c>
      <c r="V695" s="78">
        <v>810.73275164592121</v>
      </c>
      <c r="X695" s="134">
        <f t="shared" si="66"/>
        <v>1566853.6114284361</v>
      </c>
      <c r="Y695" s="134">
        <f t="shared" si="67"/>
        <v>1570092.4714453658</v>
      </c>
      <c r="Z695" s="134">
        <f t="shared" si="68"/>
        <v>1580548.9270683788</v>
      </c>
      <c r="AB695" s="127">
        <f t="shared" si="69"/>
        <v>0</v>
      </c>
      <c r="AC695" s="127">
        <f t="shared" si="70"/>
        <v>0</v>
      </c>
      <c r="AD695" s="127">
        <f t="shared" si="71"/>
        <v>1</v>
      </c>
    </row>
    <row r="696" spans="1:30" x14ac:dyDescent="0.25">
      <c r="A696">
        <v>691</v>
      </c>
      <c r="C696" s="11">
        <v>2.7518272399902344E-2</v>
      </c>
      <c r="D696" s="11">
        <v>1.2165293097496033E-2</v>
      </c>
      <c r="E696" s="11">
        <v>0.26820278574195455</v>
      </c>
      <c r="F696" s="11">
        <v>0.15144478141126952</v>
      </c>
      <c r="G696" s="11">
        <v>3.4365743398666382E-2</v>
      </c>
      <c r="H696" s="40">
        <v>4.8848219565841898E-4</v>
      </c>
      <c r="I696" s="40">
        <v>1.3958688266321673</v>
      </c>
      <c r="J696" s="59">
        <v>0</v>
      </c>
      <c r="K696" s="59">
        <v>3984.5937862992287</v>
      </c>
      <c r="L696" s="59">
        <v>0</v>
      </c>
      <c r="M696" s="11">
        <v>0.87742131948471069</v>
      </c>
      <c r="N696" s="11">
        <v>0.79428243637084961</v>
      </c>
      <c r="O696" s="11">
        <v>0.26599836349487305</v>
      </c>
      <c r="Q696" s="59">
        <v>15.022602626217795</v>
      </c>
      <c r="R696" s="78">
        <v>472.07352064943069</v>
      </c>
      <c r="S696" s="78">
        <v>15.058501695665525</v>
      </c>
      <c r="T696" s="78">
        <v>600.18582260791834</v>
      </c>
      <c r="U696" s="59">
        <v>15.064322217910807</v>
      </c>
      <c r="V696" s="78">
        <v>799.98536285204852</v>
      </c>
      <c r="X696" s="134">
        <f t="shared" si="66"/>
        <v>1501788.18910113</v>
      </c>
      <c r="Y696" s="134">
        <f t="shared" si="67"/>
        <v>1505249.9837439444</v>
      </c>
      <c r="Z696" s="134">
        <f t="shared" si="68"/>
        <v>1505632.2364282287</v>
      </c>
      <c r="AB696" s="127">
        <f t="shared" si="69"/>
        <v>0</v>
      </c>
      <c r="AC696" s="127">
        <f t="shared" si="70"/>
        <v>0</v>
      </c>
      <c r="AD696" s="127">
        <f t="shared" si="71"/>
        <v>1</v>
      </c>
    </row>
    <row r="697" spans="1:30" x14ac:dyDescent="0.25">
      <c r="A697">
        <v>692</v>
      </c>
      <c r="C697" s="11">
        <v>8.4435194730758667E-3</v>
      </c>
      <c r="D697" s="11">
        <v>1.2123912572860718E-2</v>
      </c>
      <c r="E697" s="11">
        <v>0.38741582950967374</v>
      </c>
      <c r="F697" s="11">
        <v>0.37836890701788006</v>
      </c>
      <c r="G697" s="11">
        <v>5.5571109056472778E-2</v>
      </c>
      <c r="H697" s="40">
        <v>3.6834804413352464E-4</v>
      </c>
      <c r="I697" s="40">
        <v>1.4277893535931994</v>
      </c>
      <c r="J697" s="59">
        <v>0</v>
      </c>
      <c r="K697" s="59">
        <v>6864.0895187854767</v>
      </c>
      <c r="L697" s="59">
        <v>0</v>
      </c>
      <c r="M697" s="11">
        <v>0.78718662261962891</v>
      </c>
      <c r="N697" s="11">
        <v>0.73978489637374878</v>
      </c>
      <c r="O697" s="11">
        <v>0.32331675291061401</v>
      </c>
      <c r="Q697" s="59">
        <v>13.756263324383831</v>
      </c>
      <c r="R697" s="78">
        <v>520.49246287223309</v>
      </c>
      <c r="S697" s="78">
        <v>13.775053054031506</v>
      </c>
      <c r="T697" s="78">
        <v>628.40351845917735</v>
      </c>
      <c r="U697" s="59">
        <v>13.775333332714835</v>
      </c>
      <c r="V697" s="78">
        <v>836.25563852413654</v>
      </c>
      <c r="X697" s="134">
        <f t="shared" si="66"/>
        <v>1375105.8399755107</v>
      </c>
      <c r="Y697" s="134">
        <f t="shared" si="67"/>
        <v>1376876.9018846916</v>
      </c>
      <c r="Z697" s="134">
        <f t="shared" si="68"/>
        <v>1376697.0776329592</v>
      </c>
      <c r="AB697" s="127">
        <f t="shared" si="69"/>
        <v>0</v>
      </c>
      <c r="AC697" s="127">
        <f t="shared" si="70"/>
        <v>1</v>
      </c>
      <c r="AD697" s="127">
        <f t="shared" si="71"/>
        <v>0</v>
      </c>
    </row>
    <row r="698" spans="1:30" x14ac:dyDescent="0.25">
      <c r="A698">
        <v>693</v>
      </c>
      <c r="C698" s="11">
        <v>1.8763095140457153E-2</v>
      </c>
      <c r="D698" s="11">
        <v>2.642408013343811E-2</v>
      </c>
      <c r="E698" s="11">
        <v>0.30506062633714165</v>
      </c>
      <c r="F698" s="11">
        <v>0.60928292627338043</v>
      </c>
      <c r="G698" s="11">
        <v>7.0935606956481934E-2</v>
      </c>
      <c r="H698" s="40">
        <v>4.0009897012374381E-4</v>
      </c>
      <c r="I698" s="40">
        <v>1.3519729132613938</v>
      </c>
      <c r="J698" s="59">
        <v>0</v>
      </c>
      <c r="K698" s="59">
        <v>6550.3409132361412</v>
      </c>
      <c r="L698" s="59">
        <v>0</v>
      </c>
      <c r="M698" s="11">
        <v>0.80839872360229492</v>
      </c>
      <c r="N698" s="11">
        <v>0.71886634826660156</v>
      </c>
      <c r="O698" s="11">
        <v>0.28213208913803101</v>
      </c>
      <c r="Q698" s="59">
        <v>13.970382868633406</v>
      </c>
      <c r="R698" s="78">
        <v>504.85767199114866</v>
      </c>
      <c r="S698" s="78">
        <v>13.998700030661661</v>
      </c>
      <c r="T698" s="78">
        <v>613.07591708581174</v>
      </c>
      <c r="U698" s="59">
        <v>13.986241379898868</v>
      </c>
      <c r="V698" s="78">
        <v>855.83207728071602</v>
      </c>
      <c r="X698" s="134">
        <f t="shared" si="66"/>
        <v>1396533.4291913493</v>
      </c>
      <c r="Y698" s="134">
        <f t="shared" si="67"/>
        <v>1399256.9271490802</v>
      </c>
      <c r="Z698" s="134">
        <f t="shared" si="68"/>
        <v>1397768.3059126062</v>
      </c>
      <c r="AB698" s="127">
        <f t="shared" si="69"/>
        <v>0</v>
      </c>
      <c r="AC698" s="127">
        <f t="shared" si="70"/>
        <v>1</v>
      </c>
      <c r="AD698" s="127">
        <f t="shared" si="71"/>
        <v>0</v>
      </c>
    </row>
    <row r="699" spans="1:30" x14ac:dyDescent="0.25">
      <c r="A699">
        <v>694</v>
      </c>
      <c r="C699" s="11">
        <v>2.2567778825759888E-2</v>
      </c>
      <c r="D699" s="11">
        <v>2.0661473274230957E-2</v>
      </c>
      <c r="E699" s="11">
        <v>0.24559235912654784</v>
      </c>
      <c r="F699" s="11">
        <v>0.20689854990502382</v>
      </c>
      <c r="G699" s="11">
        <v>4.8668861389160156E-2</v>
      </c>
      <c r="H699" s="40">
        <v>6.370105783227208E-4</v>
      </c>
      <c r="I699" s="40">
        <v>1.4238652008346835</v>
      </c>
      <c r="J699" s="59">
        <v>0</v>
      </c>
      <c r="K699" s="59">
        <v>3990.6683377921581</v>
      </c>
      <c r="L699" s="59">
        <v>0</v>
      </c>
      <c r="M699" s="11">
        <v>0.78896117210388184</v>
      </c>
      <c r="N699" s="11">
        <v>0.73849028348922729</v>
      </c>
      <c r="O699" s="11">
        <v>0.3149864673614502</v>
      </c>
      <c r="Q699" s="59">
        <v>13.566000235866387</v>
      </c>
      <c r="R699" s="78">
        <v>512.51299131511985</v>
      </c>
      <c r="S699" s="78">
        <v>13.607495240573828</v>
      </c>
      <c r="T699" s="78">
        <v>608.60629241288734</v>
      </c>
      <c r="U699" s="59">
        <v>13.609669732731566</v>
      </c>
      <c r="V699" s="78">
        <v>812.96371731321767</v>
      </c>
      <c r="X699" s="134">
        <f t="shared" si="66"/>
        <v>1356087.5105953235</v>
      </c>
      <c r="Y699" s="134">
        <f t="shared" si="67"/>
        <v>1360140.9177649699</v>
      </c>
      <c r="Z699" s="134">
        <f t="shared" si="68"/>
        <v>1360154.0095558434</v>
      </c>
      <c r="AB699" s="127">
        <f t="shared" si="69"/>
        <v>0</v>
      </c>
      <c r="AC699" s="127">
        <f t="shared" si="70"/>
        <v>0</v>
      </c>
      <c r="AD699" s="127">
        <f t="shared" si="71"/>
        <v>1</v>
      </c>
    </row>
    <row r="700" spans="1:30" x14ac:dyDescent="0.25">
      <c r="A700">
        <v>695</v>
      </c>
      <c r="C700" s="11">
        <v>1.0495424270629883E-2</v>
      </c>
      <c r="D700" s="11">
        <v>1.3502836227416992E-3</v>
      </c>
      <c r="E700" s="11">
        <v>0.17328111357775428</v>
      </c>
      <c r="F700" s="11">
        <v>0.13798421592964949</v>
      </c>
      <c r="G700" s="11">
        <v>5.9385955333709717E-2</v>
      </c>
      <c r="H700" s="40">
        <v>3.4583012331428379E-4</v>
      </c>
      <c r="I700" s="40">
        <v>1.4899886272733738</v>
      </c>
      <c r="J700" s="59">
        <v>0</v>
      </c>
      <c r="K700" s="59">
        <v>3318.4001222252846</v>
      </c>
      <c r="L700" s="59">
        <v>0</v>
      </c>
      <c r="M700" s="11">
        <v>0.82538938522338867</v>
      </c>
      <c r="N700" s="11">
        <v>0.79135876893997192</v>
      </c>
      <c r="O700" s="11">
        <v>0.28946223855018616</v>
      </c>
      <c r="Q700" s="59">
        <v>14.394286865289882</v>
      </c>
      <c r="R700" s="78">
        <v>464.05485988273546</v>
      </c>
      <c r="S700" s="78">
        <v>14.420673720041881</v>
      </c>
      <c r="T700" s="78">
        <v>591.29440906092179</v>
      </c>
      <c r="U700" s="59">
        <v>14.421819406576748</v>
      </c>
      <c r="V700" s="78">
        <v>797.79541492323278</v>
      </c>
      <c r="X700" s="134">
        <f t="shared" si="66"/>
        <v>1438964.6316691055</v>
      </c>
      <c r="Y700" s="134">
        <f t="shared" si="67"/>
        <v>1441476.0775951273</v>
      </c>
      <c r="Z700" s="134">
        <f t="shared" si="68"/>
        <v>1441384.1452427516</v>
      </c>
      <c r="AB700" s="127">
        <f t="shared" si="69"/>
        <v>0</v>
      </c>
      <c r="AC700" s="127">
        <f t="shared" si="70"/>
        <v>1</v>
      </c>
      <c r="AD700" s="127">
        <f t="shared" si="71"/>
        <v>0</v>
      </c>
    </row>
    <row r="701" spans="1:30" x14ac:dyDescent="0.25">
      <c r="A701">
        <v>696</v>
      </c>
      <c r="C701" s="11">
        <v>2.0677834749221802E-2</v>
      </c>
      <c r="D701" s="11">
        <v>1.9024834036827087E-2</v>
      </c>
      <c r="E701" s="11">
        <v>0.29233696444685342</v>
      </c>
      <c r="F701" s="11">
        <v>0.21453122827402613</v>
      </c>
      <c r="G701" s="11">
        <v>6.4122676849365234E-2</v>
      </c>
      <c r="H701" s="40">
        <v>5.3799176116654324E-4</v>
      </c>
      <c r="I701" s="40">
        <v>1.4090022144358436</v>
      </c>
      <c r="J701" s="59">
        <v>0</v>
      </c>
      <c r="K701" s="59">
        <v>8309.7070455551147</v>
      </c>
      <c r="L701" s="59">
        <v>0</v>
      </c>
      <c r="M701" s="11">
        <v>0.89098387956619263</v>
      </c>
      <c r="N701" s="11">
        <v>0.70521795749664307</v>
      </c>
      <c r="O701" s="11">
        <v>0.30399429798126221</v>
      </c>
      <c r="Q701" s="59">
        <v>15.319080645788004</v>
      </c>
      <c r="R701" s="78">
        <v>609.65398367160856</v>
      </c>
      <c r="S701" s="78">
        <v>15.384813159877437</v>
      </c>
      <c r="T701" s="78">
        <v>642.84836319968588</v>
      </c>
      <c r="U701" s="59">
        <v>15.392158689944399</v>
      </c>
      <c r="V701" s="78">
        <v>834.92084993024287</v>
      </c>
      <c r="X701" s="134">
        <f t="shared" si="66"/>
        <v>1531298.4105951288</v>
      </c>
      <c r="Y701" s="134">
        <f t="shared" si="67"/>
        <v>1537838.4676245439</v>
      </c>
      <c r="Z701" s="134">
        <f t="shared" si="68"/>
        <v>1538380.9481445097</v>
      </c>
      <c r="AB701" s="127">
        <f t="shared" si="69"/>
        <v>0</v>
      </c>
      <c r="AC701" s="127">
        <f t="shared" si="70"/>
        <v>0</v>
      </c>
      <c r="AD701" s="127">
        <f t="shared" si="71"/>
        <v>1</v>
      </c>
    </row>
    <row r="702" spans="1:30" x14ac:dyDescent="0.25">
      <c r="A702">
        <v>697</v>
      </c>
      <c r="C702" s="11">
        <v>1.5307515859603882E-2</v>
      </c>
      <c r="D702" s="11">
        <v>2.4088948965072632E-2</v>
      </c>
      <c r="E702" s="11">
        <v>0.36217640323605088</v>
      </c>
      <c r="F702" s="11">
        <v>0.20565226847805776</v>
      </c>
      <c r="G702" s="11">
        <v>5.1452428102493286E-2</v>
      </c>
      <c r="H702" s="40">
        <v>4.2796647998742568E-4</v>
      </c>
      <c r="I702" s="40">
        <v>1.4931885602074484</v>
      </c>
      <c r="J702" s="59">
        <v>0</v>
      </c>
      <c r="K702" s="59">
        <v>4921.8698404729366</v>
      </c>
      <c r="L702" s="59">
        <v>0</v>
      </c>
      <c r="M702" s="11">
        <v>0.87668114900588989</v>
      </c>
      <c r="N702" s="11">
        <v>0.71495682001113892</v>
      </c>
      <c r="O702" s="11">
        <v>0.30926701426506042</v>
      </c>
      <c r="Q702" s="59">
        <v>15.160747337240498</v>
      </c>
      <c r="R702" s="78">
        <v>517.03780722586907</v>
      </c>
      <c r="S702" s="78">
        <v>15.216126109213345</v>
      </c>
      <c r="T702" s="78">
        <v>624.11403657675521</v>
      </c>
      <c r="U702" s="59">
        <v>15.229959591105715</v>
      </c>
      <c r="V702" s="78">
        <v>813.69494445197518</v>
      </c>
      <c r="X702" s="134">
        <f t="shared" si="66"/>
        <v>1515557.6959168238</v>
      </c>
      <c r="Y702" s="134">
        <f t="shared" si="67"/>
        <v>1520988.4968847577</v>
      </c>
      <c r="Z702" s="134">
        <f t="shared" si="68"/>
        <v>1522182.2641661195</v>
      </c>
      <c r="AB702" s="127">
        <f t="shared" si="69"/>
        <v>0</v>
      </c>
      <c r="AC702" s="127">
        <f t="shared" si="70"/>
        <v>0</v>
      </c>
      <c r="AD702" s="127">
        <f t="shared" si="71"/>
        <v>1</v>
      </c>
    </row>
    <row r="703" spans="1:30" x14ac:dyDescent="0.25">
      <c r="A703">
        <v>698</v>
      </c>
      <c r="C703" s="11">
        <v>1.0575473308563232E-2</v>
      </c>
      <c r="D703" s="11">
        <v>1.3389825820922852E-2</v>
      </c>
      <c r="E703" s="11">
        <v>0.25854422754514866</v>
      </c>
      <c r="F703" s="11">
        <v>9.9456073927807087E-2</v>
      </c>
      <c r="G703" s="11">
        <v>3.8541913032531738E-2</v>
      </c>
      <c r="H703" s="40">
        <v>4.8924317482825256E-4</v>
      </c>
      <c r="I703" s="40">
        <v>1.4503639360581508</v>
      </c>
      <c r="J703" s="59">
        <v>0</v>
      </c>
      <c r="K703" s="59">
        <v>6742.8546026349068</v>
      </c>
      <c r="L703" s="59">
        <v>0</v>
      </c>
      <c r="M703" s="11">
        <v>0.84400802850723267</v>
      </c>
      <c r="N703" s="11">
        <v>0.73561859130859375</v>
      </c>
      <c r="O703" s="11">
        <v>0.36775827407836914</v>
      </c>
      <c r="Q703" s="59">
        <v>14.688829855076802</v>
      </c>
      <c r="R703" s="78">
        <v>554.88634334799599</v>
      </c>
      <c r="S703" s="78">
        <v>14.734319800319559</v>
      </c>
      <c r="T703" s="78">
        <v>621.19422957793529</v>
      </c>
      <c r="U703" s="59">
        <v>14.744278288578789</v>
      </c>
      <c r="V703" s="78">
        <v>804.28131865504338</v>
      </c>
      <c r="X703" s="134">
        <f t="shared" si="66"/>
        <v>1468328.0991643323</v>
      </c>
      <c r="Y703" s="134">
        <f t="shared" si="67"/>
        <v>1472810.7858023781</v>
      </c>
      <c r="Z703" s="134">
        <f t="shared" si="68"/>
        <v>1473623.5475392239</v>
      </c>
      <c r="AB703" s="127">
        <f t="shared" si="69"/>
        <v>0</v>
      </c>
      <c r="AC703" s="127">
        <f t="shared" si="70"/>
        <v>0</v>
      </c>
      <c r="AD703" s="127">
        <f t="shared" si="71"/>
        <v>1</v>
      </c>
    </row>
    <row r="704" spans="1:30" x14ac:dyDescent="0.25">
      <c r="A704">
        <v>699</v>
      </c>
      <c r="C704" s="11">
        <v>1.6918540000915527E-2</v>
      </c>
      <c r="D704" s="11">
        <v>1.0152816772460938E-2</v>
      </c>
      <c r="E704" s="11">
        <v>0.30008514781662327</v>
      </c>
      <c r="F704" s="11">
        <v>6.2846063949719061E-2</v>
      </c>
      <c r="G704" s="11">
        <v>6.9427013397216797E-2</v>
      </c>
      <c r="H704" s="40">
        <v>4.6609997658944433E-4</v>
      </c>
      <c r="I704" s="40">
        <v>1.4796059778783532</v>
      </c>
      <c r="J704" s="59">
        <v>0</v>
      </c>
      <c r="K704" s="59">
        <v>7974.9710857868195</v>
      </c>
      <c r="L704" s="59">
        <v>0</v>
      </c>
      <c r="M704" s="11">
        <v>0.78838872909545898</v>
      </c>
      <c r="N704" s="11">
        <v>0.81522440910339355</v>
      </c>
      <c r="O704" s="11">
        <v>0.2489166259765625</v>
      </c>
      <c r="Q704" s="59">
        <v>13.663130314864317</v>
      </c>
      <c r="R704" s="78">
        <v>620.65012567215717</v>
      </c>
      <c r="S704" s="78">
        <v>13.681894223865793</v>
      </c>
      <c r="T704" s="78">
        <v>647.96162390069605</v>
      </c>
      <c r="U704" s="59">
        <v>13.688419254485224</v>
      </c>
      <c r="V704" s="78">
        <v>802.510892373959</v>
      </c>
      <c r="X704" s="134">
        <f t="shared" si="66"/>
        <v>1365692.3813607595</v>
      </c>
      <c r="Y704" s="134">
        <f t="shared" si="67"/>
        <v>1367541.4607626784</v>
      </c>
      <c r="Z704" s="134">
        <f t="shared" si="68"/>
        <v>1368039.4145561485</v>
      </c>
      <c r="AB704" s="127">
        <f t="shared" si="69"/>
        <v>0</v>
      </c>
      <c r="AC704" s="127">
        <f t="shared" si="70"/>
        <v>0</v>
      </c>
      <c r="AD704" s="127">
        <f t="shared" si="71"/>
        <v>1</v>
      </c>
    </row>
    <row r="705" spans="1:30" x14ac:dyDescent="0.25">
      <c r="A705">
        <v>700</v>
      </c>
      <c r="C705" s="11">
        <v>1.4944285154342651E-2</v>
      </c>
      <c r="D705" s="11">
        <v>9.1453790664672852E-3</v>
      </c>
      <c r="E705" s="11">
        <v>0.18165862430742341</v>
      </c>
      <c r="F705" s="11">
        <v>0.16593477241668211</v>
      </c>
      <c r="G705" s="11">
        <v>3.4816548228263855E-2</v>
      </c>
      <c r="H705" s="40">
        <v>4.3003611686699391E-4</v>
      </c>
      <c r="I705" s="40">
        <v>1.4666472809605764</v>
      </c>
      <c r="J705" s="59">
        <v>0</v>
      </c>
      <c r="K705" s="59">
        <v>3344.1837877035141</v>
      </c>
      <c r="L705" s="59">
        <v>0</v>
      </c>
      <c r="M705" s="11">
        <v>0.86519229412078857</v>
      </c>
      <c r="N705" s="11">
        <v>0.71460616588592529</v>
      </c>
      <c r="O705" s="11">
        <v>0.32654035091400146</v>
      </c>
      <c r="Q705" s="59">
        <v>14.983745229489266</v>
      </c>
      <c r="R705" s="78">
        <v>466.00043380897165</v>
      </c>
      <c r="S705" s="78">
        <v>15.041026253319515</v>
      </c>
      <c r="T705" s="78">
        <v>592.27364030337765</v>
      </c>
      <c r="U705" s="59">
        <v>15.042145962264364</v>
      </c>
      <c r="V705" s="78">
        <v>800.12816732943622</v>
      </c>
      <c r="X705" s="134">
        <f t="shared" si="66"/>
        <v>1497908.5225151177</v>
      </c>
      <c r="Y705" s="134">
        <f t="shared" si="67"/>
        <v>1503510.3516916481</v>
      </c>
      <c r="Z705" s="134">
        <f t="shared" si="68"/>
        <v>1503414.468059107</v>
      </c>
      <c r="AB705" s="127">
        <f t="shared" si="69"/>
        <v>0</v>
      </c>
      <c r="AC705" s="127">
        <f t="shared" si="70"/>
        <v>1</v>
      </c>
      <c r="AD705" s="127">
        <f t="shared" si="71"/>
        <v>0</v>
      </c>
    </row>
    <row r="706" spans="1:30" x14ac:dyDescent="0.25">
      <c r="A706">
        <v>701</v>
      </c>
      <c r="C706" s="11">
        <v>6.5683424472808838E-3</v>
      </c>
      <c r="D706" s="11">
        <v>1.6506940126419067E-2</v>
      </c>
      <c r="E706" s="11">
        <v>0.44001033030001319</v>
      </c>
      <c r="F706" s="11">
        <v>0.22353404252044182</v>
      </c>
      <c r="G706" s="11">
        <v>2.0829856395721436E-2</v>
      </c>
      <c r="H706" s="40">
        <v>3.2624229563953116E-4</v>
      </c>
      <c r="I706" s="40">
        <v>1.4915245332975704</v>
      </c>
      <c r="J706" s="59">
        <v>0</v>
      </c>
      <c r="K706" s="59">
        <v>5786.4515110850334</v>
      </c>
      <c r="L706" s="59">
        <v>0</v>
      </c>
      <c r="M706" s="11">
        <v>0.84012603759765625</v>
      </c>
      <c r="N706" s="11">
        <v>0.76317447423934937</v>
      </c>
      <c r="O706" s="11">
        <v>0.2906501293182373</v>
      </c>
      <c r="Q706" s="59">
        <v>14.701607506536972</v>
      </c>
      <c r="R706" s="78">
        <v>489.02808995138992</v>
      </c>
      <c r="S706" s="78">
        <v>14.724137436494015</v>
      </c>
      <c r="T706" s="78">
        <v>621.16961755944965</v>
      </c>
      <c r="U706" s="59">
        <v>14.732968528308596</v>
      </c>
      <c r="V706" s="78">
        <v>809.49374873617614</v>
      </c>
      <c r="X706" s="134">
        <f t="shared" si="66"/>
        <v>1469671.7225637457</v>
      </c>
      <c r="Y706" s="134">
        <f t="shared" si="67"/>
        <v>1471792.5740318419</v>
      </c>
      <c r="Z706" s="134">
        <f t="shared" si="68"/>
        <v>1472487.3590821235</v>
      </c>
      <c r="AB706" s="127">
        <f t="shared" si="69"/>
        <v>0</v>
      </c>
      <c r="AC706" s="127">
        <f t="shared" si="70"/>
        <v>0</v>
      </c>
      <c r="AD706" s="127">
        <f t="shared" si="71"/>
        <v>1</v>
      </c>
    </row>
    <row r="707" spans="1:30" x14ac:dyDescent="0.25">
      <c r="A707">
        <v>702</v>
      </c>
      <c r="C707" s="11">
        <v>7.1889013051986694E-3</v>
      </c>
      <c r="D707" s="11">
        <v>2.3016571998596191E-2</v>
      </c>
      <c r="E707" s="11">
        <v>0.31988151468789511</v>
      </c>
      <c r="F707" s="11">
        <v>0.13345503669136391</v>
      </c>
      <c r="G707" s="11">
        <v>2.9031246900558472E-2</v>
      </c>
      <c r="H707" s="40">
        <v>4.8288136092335463E-4</v>
      </c>
      <c r="I707" s="40">
        <v>1.340032509813657</v>
      </c>
      <c r="J707" s="59">
        <v>0</v>
      </c>
      <c r="K707" s="59">
        <v>6632.8374668955803</v>
      </c>
      <c r="L707" s="59">
        <v>0</v>
      </c>
      <c r="M707" s="11">
        <v>0.89206910133361816</v>
      </c>
      <c r="N707" s="11">
        <v>0.79436075687408447</v>
      </c>
      <c r="O707" s="11">
        <v>0.30888384580612183</v>
      </c>
      <c r="Q707" s="59">
        <v>15.597344355605919</v>
      </c>
      <c r="R707" s="78">
        <v>502.2054837136746</v>
      </c>
      <c r="S707" s="78">
        <v>15.628823916141757</v>
      </c>
      <c r="T707" s="78">
        <v>613.92256222989636</v>
      </c>
      <c r="U707" s="59">
        <v>15.637566584143858</v>
      </c>
      <c r="V707" s="78">
        <v>802.60551706525723</v>
      </c>
      <c r="X707" s="134">
        <f t="shared" si="66"/>
        <v>1559232.2300768783</v>
      </c>
      <c r="Y707" s="134">
        <f t="shared" si="67"/>
        <v>1562268.4690519457</v>
      </c>
      <c r="Z707" s="134">
        <f t="shared" si="68"/>
        <v>1562954.0528973206</v>
      </c>
      <c r="AB707" s="127">
        <f t="shared" si="69"/>
        <v>0</v>
      </c>
      <c r="AC707" s="127">
        <f t="shared" si="70"/>
        <v>0</v>
      </c>
      <c r="AD707" s="127">
        <f t="shared" si="71"/>
        <v>1</v>
      </c>
    </row>
    <row r="708" spans="1:30" x14ac:dyDescent="0.25">
      <c r="A708">
        <v>703</v>
      </c>
      <c r="C708" s="11">
        <v>1.2554049491882324E-2</v>
      </c>
      <c r="D708" s="11">
        <v>1.6073286533355713E-3</v>
      </c>
      <c r="E708" s="11">
        <v>0.3255524146675205</v>
      </c>
      <c r="F708" s="11">
        <v>9.5357694127389314E-2</v>
      </c>
      <c r="G708" s="11">
        <v>2.3887842893600464E-2</v>
      </c>
      <c r="H708" s="40">
        <v>4.0562362863173188E-4</v>
      </c>
      <c r="I708" s="40">
        <v>1.4893873700105562</v>
      </c>
      <c r="J708" s="59">
        <v>0</v>
      </c>
      <c r="K708" s="59">
        <v>5017.2209739685059</v>
      </c>
      <c r="L708" s="59">
        <v>0</v>
      </c>
      <c r="M708" s="11">
        <v>0.86290258169174194</v>
      </c>
      <c r="N708" s="11">
        <v>0.7843252420425415</v>
      </c>
      <c r="O708" s="11">
        <v>0.3570857048034668</v>
      </c>
      <c r="Q708" s="59">
        <v>15.006010451796914</v>
      </c>
      <c r="R708" s="78">
        <v>496.88338172057553</v>
      </c>
      <c r="S708" s="78">
        <v>15.035866000146303</v>
      </c>
      <c r="T708" s="78">
        <v>612.91661077250808</v>
      </c>
      <c r="U708" s="59">
        <v>15.046261321994034</v>
      </c>
      <c r="V708" s="78">
        <v>797.97745460128715</v>
      </c>
      <c r="X708" s="134">
        <f t="shared" si="66"/>
        <v>1500104.1617979708</v>
      </c>
      <c r="Y708" s="134">
        <f t="shared" si="67"/>
        <v>1502973.6834038578</v>
      </c>
      <c r="Z708" s="134">
        <f t="shared" si="68"/>
        <v>1503828.154744802</v>
      </c>
      <c r="AB708" s="127">
        <f t="shared" si="69"/>
        <v>0</v>
      </c>
      <c r="AC708" s="127">
        <f t="shared" si="70"/>
        <v>0</v>
      </c>
      <c r="AD708" s="127">
        <f t="shared" si="71"/>
        <v>1</v>
      </c>
    </row>
    <row r="709" spans="1:30" x14ac:dyDescent="0.25">
      <c r="A709">
        <v>704</v>
      </c>
      <c r="C709" s="11">
        <v>1.5061631798744202E-2</v>
      </c>
      <c r="D709" s="11">
        <v>1.5356719493865967E-2</v>
      </c>
      <c r="E709" s="11">
        <v>0.25600087405388672</v>
      </c>
      <c r="F709" s="11">
        <v>0.22757893786754926</v>
      </c>
      <c r="G709" s="11">
        <v>3.6802858114242554E-2</v>
      </c>
      <c r="H709" s="40">
        <v>3.4040119232210756E-4</v>
      </c>
      <c r="I709" s="40">
        <v>1.5148717818260984</v>
      </c>
      <c r="J709" s="59">
        <v>0</v>
      </c>
      <c r="K709" s="59">
        <v>6434.5402643084526</v>
      </c>
      <c r="L709" s="59">
        <v>0</v>
      </c>
      <c r="M709" s="11">
        <v>0.88817393779754639</v>
      </c>
      <c r="N709" s="11">
        <v>0.70968925952911377</v>
      </c>
      <c r="O709" s="11">
        <v>0.32616943120956421</v>
      </c>
      <c r="Q709" s="59">
        <v>15.377311815878988</v>
      </c>
      <c r="R709" s="78">
        <v>521.61847309579832</v>
      </c>
      <c r="S709" s="78">
        <v>15.432632179382683</v>
      </c>
      <c r="T709" s="78">
        <v>612.08266117069184</v>
      </c>
      <c r="U709" s="59">
        <v>15.434777139563458</v>
      </c>
      <c r="V709" s="78">
        <v>817.42390353355177</v>
      </c>
      <c r="X709" s="134">
        <f t="shared" si="66"/>
        <v>1537209.5631148031</v>
      </c>
      <c r="Y709" s="134">
        <f t="shared" si="67"/>
        <v>1542651.1352770976</v>
      </c>
      <c r="Z709" s="134">
        <f t="shared" si="68"/>
        <v>1542660.2900528123</v>
      </c>
      <c r="AB709" s="127">
        <f t="shared" si="69"/>
        <v>0</v>
      </c>
      <c r="AC709" s="127">
        <f t="shared" si="70"/>
        <v>0</v>
      </c>
      <c r="AD709" s="127">
        <f t="shared" si="71"/>
        <v>1</v>
      </c>
    </row>
    <row r="710" spans="1:30" x14ac:dyDescent="0.25">
      <c r="A710">
        <v>705</v>
      </c>
      <c r="C710" s="11">
        <v>4.2088806629180908E-2</v>
      </c>
      <c r="D710" s="11">
        <v>3.9835214614868164E-2</v>
      </c>
      <c r="E710" s="11">
        <v>0.30163382160132041</v>
      </c>
      <c r="F710" s="11">
        <v>0.12382785195658418</v>
      </c>
      <c r="G710" s="11">
        <v>4.4709056615829468E-2</v>
      </c>
      <c r="H710" s="40">
        <v>4.3922936697891711E-4</v>
      </c>
      <c r="I710" s="40">
        <v>1.481925749281801</v>
      </c>
      <c r="J710" s="59">
        <v>0</v>
      </c>
      <c r="K710" s="59">
        <v>9996.8910217285156</v>
      </c>
      <c r="L710" s="59">
        <v>0</v>
      </c>
      <c r="M710" s="11">
        <v>0.82717794179916382</v>
      </c>
      <c r="N710" s="11">
        <v>0.78067636489868164</v>
      </c>
      <c r="O710" s="11">
        <v>0.2754637598991394</v>
      </c>
      <c r="Q710" s="59">
        <v>13.942651378768096</v>
      </c>
      <c r="R710" s="78">
        <v>626.75117401018497</v>
      </c>
      <c r="S710" s="78">
        <v>13.97962440854838</v>
      </c>
      <c r="T710" s="78">
        <v>650.15389580830629</v>
      </c>
      <c r="U710" s="59">
        <v>13.989229550516184</v>
      </c>
      <c r="V710" s="78">
        <v>817.31106000557838</v>
      </c>
      <c r="X710" s="134">
        <f t="shared" si="66"/>
        <v>1393638.3867027995</v>
      </c>
      <c r="Y710" s="134">
        <f t="shared" si="67"/>
        <v>1397312.2869590297</v>
      </c>
      <c r="Z710" s="134">
        <f t="shared" si="68"/>
        <v>1398105.6439916128</v>
      </c>
      <c r="AB710" s="127">
        <f t="shared" si="69"/>
        <v>0</v>
      </c>
      <c r="AC710" s="127">
        <f t="shared" si="70"/>
        <v>0</v>
      </c>
      <c r="AD710" s="127">
        <f t="shared" si="71"/>
        <v>1</v>
      </c>
    </row>
    <row r="711" spans="1:30" x14ac:dyDescent="0.25">
      <c r="A711">
        <v>706</v>
      </c>
      <c r="C711" s="11">
        <v>1.3500228524208069E-2</v>
      </c>
      <c r="D711" s="11">
        <v>1.5160083770751953E-2</v>
      </c>
      <c r="E711" s="11">
        <v>0.20476305378995263</v>
      </c>
      <c r="F711" s="11">
        <v>0.2079638648173264</v>
      </c>
      <c r="G711" s="11">
        <v>2.1186649799346924E-2</v>
      </c>
      <c r="H711" s="40">
        <v>6.0664483978292456E-4</v>
      </c>
      <c r="I711" s="40">
        <v>1.3905224378010053</v>
      </c>
      <c r="J711" s="59">
        <v>0</v>
      </c>
      <c r="K711" s="59">
        <v>5472.223274409771</v>
      </c>
      <c r="L711" s="59">
        <v>0</v>
      </c>
      <c r="M711" s="11">
        <v>0.88553822040557861</v>
      </c>
      <c r="N711" s="11">
        <v>0.81239175796508789</v>
      </c>
      <c r="O711" s="11">
        <v>0.3093332052230835</v>
      </c>
      <c r="Q711" s="59">
        <v>15.376076463778974</v>
      </c>
      <c r="R711" s="78">
        <v>516.9312298146142</v>
      </c>
      <c r="S711" s="78">
        <v>15.419232416668383</v>
      </c>
      <c r="T711" s="78">
        <v>604.57016278048002</v>
      </c>
      <c r="U711" s="59">
        <v>15.419055493833563</v>
      </c>
      <c r="V711" s="78">
        <v>813.96821804663966</v>
      </c>
      <c r="X711" s="134">
        <f t="shared" si="66"/>
        <v>1537090.7151480827</v>
      </c>
      <c r="Y711" s="134">
        <f t="shared" si="67"/>
        <v>1541318.6715040577</v>
      </c>
      <c r="Z711" s="134">
        <f t="shared" si="68"/>
        <v>1541091.5811653095</v>
      </c>
      <c r="AB711" s="127">
        <f t="shared" si="69"/>
        <v>0</v>
      </c>
      <c r="AC711" s="127">
        <f t="shared" si="70"/>
        <v>1</v>
      </c>
      <c r="AD711" s="127">
        <f t="shared" si="71"/>
        <v>0</v>
      </c>
    </row>
    <row r="712" spans="1:30" x14ac:dyDescent="0.25">
      <c r="A712">
        <v>707</v>
      </c>
      <c r="C712" s="11">
        <v>1.2612968683242798E-2</v>
      </c>
      <c r="D712" s="11">
        <v>1.5787020325660706E-2</v>
      </c>
      <c r="E712" s="11">
        <v>0.26459652884241347</v>
      </c>
      <c r="F712" s="11">
        <v>0.53507129106514584</v>
      </c>
      <c r="G712" s="11">
        <v>5.5101573467254639E-2</v>
      </c>
      <c r="H712" s="40">
        <v>4.8366695692653015E-4</v>
      </c>
      <c r="I712" s="40">
        <v>1.3785675539717528</v>
      </c>
      <c r="J712" s="59">
        <v>0</v>
      </c>
      <c r="K712" s="59">
        <v>3742.9644726216793</v>
      </c>
      <c r="L712" s="59">
        <v>0</v>
      </c>
      <c r="M712" s="11">
        <v>0.87274414300918579</v>
      </c>
      <c r="N712" s="11">
        <v>0.70498967170715332</v>
      </c>
      <c r="O712" s="11">
        <v>0.2900577187538147</v>
      </c>
      <c r="Q712" s="59">
        <v>15.150392301852975</v>
      </c>
      <c r="R712" s="78">
        <v>471.73918999596458</v>
      </c>
      <c r="S712" s="78">
        <v>15.202337702224511</v>
      </c>
      <c r="T712" s="78">
        <v>599.7918692049783</v>
      </c>
      <c r="U712" s="59">
        <v>15.183082865033446</v>
      </c>
      <c r="V712" s="78">
        <v>829.87924039870143</v>
      </c>
      <c r="X712" s="134">
        <f t="shared" si="66"/>
        <v>1514567.4909953016</v>
      </c>
      <c r="Y712" s="134">
        <f t="shared" si="67"/>
        <v>1519633.9783532461</v>
      </c>
      <c r="Z712" s="134">
        <f t="shared" si="68"/>
        <v>1517478.4072629458</v>
      </c>
      <c r="AB712" s="127">
        <f t="shared" si="69"/>
        <v>0</v>
      </c>
      <c r="AC712" s="127">
        <f t="shared" si="70"/>
        <v>1</v>
      </c>
      <c r="AD712" s="127">
        <f t="shared" si="71"/>
        <v>0</v>
      </c>
    </row>
    <row r="713" spans="1:30" x14ac:dyDescent="0.25">
      <c r="A713">
        <v>708</v>
      </c>
      <c r="C713" s="11">
        <v>1.6072526574134827E-2</v>
      </c>
      <c r="D713" s="11">
        <v>9.5642805099487305E-3</v>
      </c>
      <c r="E713" s="11">
        <v>0.33903476925783571</v>
      </c>
      <c r="F713" s="11">
        <v>0.31080486761122372</v>
      </c>
      <c r="G713" s="11">
        <v>3.6233276128768921E-2</v>
      </c>
      <c r="H713" s="40">
        <v>3.7430555448185021E-4</v>
      </c>
      <c r="I713" s="40">
        <v>1.4265339947020221</v>
      </c>
      <c r="J713" s="59">
        <v>0</v>
      </c>
      <c r="K713" s="59">
        <v>3359.3736588954926</v>
      </c>
      <c r="L713" s="59">
        <v>0</v>
      </c>
      <c r="M713" s="11">
        <v>0.81711804866790771</v>
      </c>
      <c r="N713" s="11">
        <v>0.76838600635528564</v>
      </c>
      <c r="O713" s="11">
        <v>0.28350961208343506</v>
      </c>
      <c r="Q713" s="59">
        <v>14.17012133135589</v>
      </c>
      <c r="R713" s="78">
        <v>450.56011129189199</v>
      </c>
      <c r="S713" s="78">
        <v>14.190580083218855</v>
      </c>
      <c r="T713" s="78">
        <v>598.34917158689018</v>
      </c>
      <c r="U713" s="59">
        <v>14.191463913417925</v>
      </c>
      <c r="V713" s="78">
        <v>805.74489851838018</v>
      </c>
      <c r="X713" s="134">
        <f t="shared" si="66"/>
        <v>1416561.5730242971</v>
      </c>
      <c r="Y713" s="134">
        <f t="shared" si="67"/>
        <v>1418459.6591502987</v>
      </c>
      <c r="Z713" s="134">
        <f t="shared" si="68"/>
        <v>1418340.6464432741</v>
      </c>
      <c r="AB713" s="127">
        <f t="shared" si="69"/>
        <v>0</v>
      </c>
      <c r="AC713" s="127">
        <f t="shared" si="70"/>
        <v>1</v>
      </c>
      <c r="AD713" s="127">
        <f t="shared" si="71"/>
        <v>0</v>
      </c>
    </row>
    <row r="714" spans="1:30" x14ac:dyDescent="0.25">
      <c r="A714">
        <v>709</v>
      </c>
      <c r="C714" s="11">
        <v>7.3682069778442383E-3</v>
      </c>
      <c r="D714" s="11">
        <v>7.4142366647720337E-3</v>
      </c>
      <c r="E714" s="11">
        <v>0.22482699501916975</v>
      </c>
      <c r="F714" s="11">
        <v>0.16188965095025193</v>
      </c>
      <c r="G714" s="11">
        <v>5.7567954063415527E-2</v>
      </c>
      <c r="H714" s="40">
        <v>3.7212272499361024E-4</v>
      </c>
      <c r="I714" s="40">
        <v>1.5717578654578996</v>
      </c>
      <c r="J714" s="59">
        <v>0</v>
      </c>
      <c r="K714" s="59">
        <v>3055.3340911865234</v>
      </c>
      <c r="L714" s="59">
        <v>0</v>
      </c>
      <c r="M714" s="11">
        <v>0.80946803092956543</v>
      </c>
      <c r="N714" s="11">
        <v>0.77036702632904053</v>
      </c>
      <c r="O714" s="11">
        <v>0.31440138816833496</v>
      </c>
      <c r="Q714" s="59">
        <v>14.14719414356729</v>
      </c>
      <c r="R714" s="78">
        <v>480.95523449840158</v>
      </c>
      <c r="S714" s="78">
        <v>14.182286928612049</v>
      </c>
      <c r="T714" s="78">
        <v>598.88615259627397</v>
      </c>
      <c r="U714" s="59">
        <v>14.185202784871661</v>
      </c>
      <c r="V714" s="78">
        <v>802.33930001485953</v>
      </c>
      <c r="X714" s="134">
        <f t="shared" si="66"/>
        <v>1414238.4591222305</v>
      </c>
      <c r="Y714" s="134">
        <f t="shared" si="67"/>
        <v>1417629.8067086088</v>
      </c>
      <c r="Z714" s="134">
        <f t="shared" si="68"/>
        <v>1417717.9391871514</v>
      </c>
      <c r="AB714" s="127">
        <f t="shared" si="69"/>
        <v>0</v>
      </c>
      <c r="AC714" s="127">
        <f t="shared" si="70"/>
        <v>0</v>
      </c>
      <c r="AD714" s="127">
        <f t="shared" si="71"/>
        <v>1</v>
      </c>
    </row>
    <row r="715" spans="1:30" x14ac:dyDescent="0.25">
      <c r="A715">
        <v>710</v>
      </c>
      <c r="C715" s="11">
        <v>2.1929651498794556E-2</v>
      </c>
      <c r="D715" s="11">
        <v>3.7935733795166016E-2</v>
      </c>
      <c r="E715" s="11">
        <v>0.36237209144021737</v>
      </c>
      <c r="F715" s="11">
        <v>0.12181556973851321</v>
      </c>
      <c r="G715" s="11">
        <v>3.0346333980560303E-2</v>
      </c>
      <c r="H715" s="40">
        <v>3.7978991575955549E-4</v>
      </c>
      <c r="I715" s="40">
        <v>1.4845728242202489</v>
      </c>
      <c r="J715" s="59">
        <v>0</v>
      </c>
      <c r="K715" s="59">
        <v>5741.7131029069424</v>
      </c>
      <c r="L715" s="59">
        <v>0</v>
      </c>
      <c r="M715" s="11">
        <v>0.88462352752685547</v>
      </c>
      <c r="N715" s="11">
        <v>0.75644409656524658</v>
      </c>
      <c r="O715" s="11">
        <v>0.34553301334381104</v>
      </c>
      <c r="Q715" s="59">
        <v>15.216698255564957</v>
      </c>
      <c r="R715" s="78">
        <v>504.98770208716309</v>
      </c>
      <c r="S715" s="78">
        <v>15.258645030186647</v>
      </c>
      <c r="T715" s="78">
        <v>619.65778441023372</v>
      </c>
      <c r="U715" s="59">
        <v>15.274742615026291</v>
      </c>
      <c r="V715" s="78">
        <v>801.72403628932659</v>
      </c>
      <c r="X715" s="134">
        <f t="shared" si="66"/>
        <v>1521164.8378544084</v>
      </c>
      <c r="Y715" s="134">
        <f t="shared" si="67"/>
        <v>1525244.8452342544</v>
      </c>
      <c r="Z715" s="134">
        <f t="shared" si="68"/>
        <v>1526672.5374663398</v>
      </c>
      <c r="AB715" s="127">
        <f t="shared" si="69"/>
        <v>0</v>
      </c>
      <c r="AC715" s="127">
        <f t="shared" si="70"/>
        <v>0</v>
      </c>
      <c r="AD715" s="127">
        <f t="shared" si="71"/>
        <v>1</v>
      </c>
    </row>
    <row r="716" spans="1:30" x14ac:dyDescent="0.25">
      <c r="A716">
        <v>711</v>
      </c>
      <c r="C716" s="11">
        <v>5.416572093963623E-3</v>
      </c>
      <c r="D716" s="11">
        <v>3.6347508430480957E-3</v>
      </c>
      <c r="E716" s="11">
        <v>0.49357148043285393</v>
      </c>
      <c r="F716" s="11">
        <v>0.10496956443066972</v>
      </c>
      <c r="G716" s="11">
        <v>3.1357824802398682E-2</v>
      </c>
      <c r="H716" s="40">
        <v>5.6914484593185511E-4</v>
      </c>
      <c r="I716" s="40">
        <v>1.3850863880058566</v>
      </c>
      <c r="J716" s="59">
        <v>0</v>
      </c>
      <c r="K716" s="59">
        <v>2895.6728056073189</v>
      </c>
      <c r="L716" s="59">
        <v>0</v>
      </c>
      <c r="M716" s="11">
        <v>0.914398193359375</v>
      </c>
      <c r="N716" s="11">
        <v>0.68012094497680664</v>
      </c>
      <c r="O716" s="11">
        <v>0.25441396236419678</v>
      </c>
      <c r="Q716" s="59">
        <v>15.961323153392923</v>
      </c>
      <c r="R716" s="78">
        <v>458.43615951122285</v>
      </c>
      <c r="S716" s="78">
        <v>16.012831778328454</v>
      </c>
      <c r="T716" s="78">
        <v>611.09397635687549</v>
      </c>
      <c r="U716" s="59">
        <v>16.053077183328288</v>
      </c>
      <c r="V716" s="78">
        <v>794.87358459602558</v>
      </c>
      <c r="X716" s="134">
        <f t="shared" si="66"/>
        <v>1595673.8791797811</v>
      </c>
      <c r="Y716" s="134">
        <f t="shared" si="67"/>
        <v>1600672.0838564886</v>
      </c>
      <c r="Z716" s="134">
        <f t="shared" si="68"/>
        <v>1604512.8447482327</v>
      </c>
      <c r="AB716" s="127">
        <f t="shared" si="69"/>
        <v>0</v>
      </c>
      <c r="AC716" s="127">
        <f t="shared" si="70"/>
        <v>0</v>
      </c>
      <c r="AD716" s="127">
        <f t="shared" si="71"/>
        <v>1</v>
      </c>
    </row>
    <row r="717" spans="1:30" x14ac:dyDescent="0.25">
      <c r="A717">
        <v>712</v>
      </c>
      <c r="C717" s="11">
        <v>2.4659842252731323E-2</v>
      </c>
      <c r="D717" s="11">
        <v>1.1847317218780518E-2</v>
      </c>
      <c r="E717" s="11">
        <v>0.2868868326855798</v>
      </c>
      <c r="F717" s="11">
        <v>0.31168132717635783</v>
      </c>
      <c r="G717" s="11">
        <v>5.020606517791748E-2</v>
      </c>
      <c r="H717" s="40">
        <v>3.1449278023014035E-4</v>
      </c>
      <c r="I717" s="40">
        <v>1.5379707590913876</v>
      </c>
      <c r="J717" s="59">
        <v>0</v>
      </c>
      <c r="K717" s="59">
        <v>6553.2978624105453</v>
      </c>
      <c r="L717" s="59">
        <v>0</v>
      </c>
      <c r="M717" s="11">
        <v>0.8582550585269928</v>
      </c>
      <c r="N717" s="11">
        <v>0.7483246922492981</v>
      </c>
      <c r="O717" s="11">
        <v>0.2676079273223877</v>
      </c>
      <c r="Q717" s="59">
        <v>14.728743900125401</v>
      </c>
      <c r="R717" s="78">
        <v>530.10653691818004</v>
      </c>
      <c r="S717" s="78">
        <v>14.769350982977668</v>
      </c>
      <c r="T717" s="78">
        <v>618.51392512318898</v>
      </c>
      <c r="U717" s="59">
        <v>14.767919695025572</v>
      </c>
      <c r="V717" s="78">
        <v>830.91113200649102</v>
      </c>
      <c r="X717" s="134">
        <f t="shared" si="66"/>
        <v>1472344.2834756221</v>
      </c>
      <c r="Y717" s="134">
        <f t="shared" si="67"/>
        <v>1476316.5843726436</v>
      </c>
      <c r="Z717" s="134">
        <f t="shared" si="68"/>
        <v>1475961.0583705509</v>
      </c>
      <c r="AB717" s="127">
        <f t="shared" si="69"/>
        <v>0</v>
      </c>
      <c r="AC717" s="127">
        <f t="shared" si="70"/>
        <v>1</v>
      </c>
      <c r="AD717" s="127">
        <f t="shared" si="71"/>
        <v>0</v>
      </c>
    </row>
    <row r="718" spans="1:30" x14ac:dyDescent="0.25">
      <c r="A718">
        <v>713</v>
      </c>
      <c r="C718" s="11">
        <v>3.4930408000946045E-3</v>
      </c>
      <c r="D718" s="11">
        <v>5.6245803833007813E-2</v>
      </c>
      <c r="E718" s="11">
        <v>0.22183578311257704</v>
      </c>
      <c r="F718" s="11">
        <v>0.30106686834348961</v>
      </c>
      <c r="G718" s="11">
        <v>3.2571375370025635E-2</v>
      </c>
      <c r="H718" s="40">
        <v>5.9706192960101657E-4</v>
      </c>
      <c r="I718" s="40">
        <v>1.3224063704407518</v>
      </c>
      <c r="J718" s="59">
        <v>0</v>
      </c>
      <c r="K718" s="59">
        <v>4584.2025429010391</v>
      </c>
      <c r="L718" s="59">
        <v>0</v>
      </c>
      <c r="M718" s="11">
        <v>0.83760911226272583</v>
      </c>
      <c r="N718" s="11">
        <v>0.8301544189453125</v>
      </c>
      <c r="O718" s="11">
        <v>0.31662803888320923</v>
      </c>
      <c r="Q718" s="59">
        <v>14.705440955911831</v>
      </c>
      <c r="R718" s="78">
        <v>483.00150574378409</v>
      </c>
      <c r="S718" s="78">
        <v>14.734932848679179</v>
      </c>
      <c r="T718" s="78">
        <v>598.97835185931854</v>
      </c>
      <c r="U718" s="59">
        <v>14.731891941228486</v>
      </c>
      <c r="V718" s="78">
        <v>815.08110685252154</v>
      </c>
      <c r="X718" s="134">
        <f t="shared" si="66"/>
        <v>1470061.0940854393</v>
      </c>
      <c r="Y718" s="134">
        <f t="shared" si="67"/>
        <v>1472894.3065160585</v>
      </c>
      <c r="Z718" s="134">
        <f t="shared" si="68"/>
        <v>1472374.1130159961</v>
      </c>
      <c r="AB718" s="127">
        <f t="shared" si="69"/>
        <v>0</v>
      </c>
      <c r="AC718" s="127">
        <f t="shared" si="70"/>
        <v>1</v>
      </c>
      <c r="AD718" s="127">
        <f t="shared" si="71"/>
        <v>0</v>
      </c>
    </row>
    <row r="719" spans="1:30" x14ac:dyDescent="0.25">
      <c r="A719">
        <v>714</v>
      </c>
      <c r="C719" s="11">
        <v>7.8195035457611084E-3</v>
      </c>
      <c r="D719" s="11">
        <v>1.0305553674697876E-2</v>
      </c>
      <c r="E719" s="11">
        <v>0.16193668822175625</v>
      </c>
      <c r="F719" s="11">
        <v>0.23746247323874406</v>
      </c>
      <c r="G719" s="11">
        <v>5.741506814956665E-2</v>
      </c>
      <c r="H719" s="40">
        <v>5.805385885287764E-4</v>
      </c>
      <c r="I719" s="40">
        <v>1.4580106222712186</v>
      </c>
      <c r="J719" s="59">
        <v>0</v>
      </c>
      <c r="K719" s="59">
        <v>7388.5684832930565</v>
      </c>
      <c r="L719" s="59">
        <v>0</v>
      </c>
      <c r="M719" s="11">
        <v>0.87300044298171997</v>
      </c>
      <c r="N719" s="11">
        <v>0.67213916778564453</v>
      </c>
      <c r="O719" s="11">
        <v>0.31015622615814209</v>
      </c>
      <c r="Q719" s="59">
        <v>15.182607505818556</v>
      </c>
      <c r="R719" s="78">
        <v>628.37710927713874</v>
      </c>
      <c r="S719" s="78">
        <v>15.280339940930215</v>
      </c>
      <c r="T719" s="78">
        <v>617.69384738938879</v>
      </c>
      <c r="U719" s="59">
        <v>15.271352895608352</v>
      </c>
      <c r="V719" s="78">
        <v>844.64094317681963</v>
      </c>
      <c r="X719" s="134">
        <f t="shared" si="66"/>
        <v>1517632.3734725786</v>
      </c>
      <c r="Y719" s="134">
        <f t="shared" si="67"/>
        <v>1527416.3002456322</v>
      </c>
      <c r="Z719" s="134">
        <f t="shared" si="68"/>
        <v>1526290.6486176583</v>
      </c>
      <c r="AB719" s="127">
        <f t="shared" si="69"/>
        <v>0</v>
      </c>
      <c r="AC719" s="127">
        <f t="shared" si="70"/>
        <v>1</v>
      </c>
      <c r="AD719" s="127">
        <f t="shared" si="71"/>
        <v>0</v>
      </c>
    </row>
    <row r="720" spans="1:30" x14ac:dyDescent="0.25">
      <c r="A720">
        <v>715</v>
      </c>
      <c r="C720" s="11">
        <v>2.1851316094398499E-2</v>
      </c>
      <c r="D720" s="11">
        <v>6.4011096954345703E-2</v>
      </c>
      <c r="E720" s="11">
        <v>0.15039248925419524</v>
      </c>
      <c r="F720" s="11">
        <v>0.25398181710391371</v>
      </c>
      <c r="G720" s="11">
        <v>8.1715583801269531E-2</v>
      </c>
      <c r="H720" s="40">
        <v>4.9393569719263406E-4</v>
      </c>
      <c r="I720" s="40">
        <v>1.3910543679534879</v>
      </c>
      <c r="J720" s="59">
        <v>0</v>
      </c>
      <c r="K720" s="59">
        <v>5370.3389130532742</v>
      </c>
      <c r="L720" s="59">
        <v>0</v>
      </c>
      <c r="M720" s="11">
        <v>0.82750058174133301</v>
      </c>
      <c r="N720" s="11">
        <v>0.74172931909561157</v>
      </c>
      <c r="O720" s="11">
        <v>0.30790472030639648</v>
      </c>
      <c r="Q720" s="59">
        <v>14.228848305346084</v>
      </c>
      <c r="R720" s="78">
        <v>521.71328783268621</v>
      </c>
      <c r="S720" s="78">
        <v>14.286787990202782</v>
      </c>
      <c r="T720" s="78">
        <v>598.45958564940281</v>
      </c>
      <c r="U720" s="59">
        <v>14.279629249997065</v>
      </c>
      <c r="V720" s="78">
        <v>820.81067728461107</v>
      </c>
      <c r="X720" s="134">
        <f t="shared" si="66"/>
        <v>1422363.1172467757</v>
      </c>
      <c r="Y720" s="134">
        <f t="shared" si="67"/>
        <v>1428080.3394346288</v>
      </c>
      <c r="Z720" s="134">
        <f t="shared" si="68"/>
        <v>1427142.1143224218</v>
      </c>
      <c r="AB720" s="127">
        <f t="shared" si="69"/>
        <v>0</v>
      </c>
      <c r="AC720" s="127">
        <f t="shared" si="70"/>
        <v>1</v>
      </c>
      <c r="AD720" s="127">
        <f t="shared" si="71"/>
        <v>0</v>
      </c>
    </row>
    <row r="721" spans="1:30" x14ac:dyDescent="0.25">
      <c r="A721">
        <v>716</v>
      </c>
      <c r="C721" s="11">
        <v>6.5898150205612183E-3</v>
      </c>
      <c r="D721" s="11">
        <v>1.3673961162567139E-2</v>
      </c>
      <c r="E721" s="11">
        <v>0.2194673468164289</v>
      </c>
      <c r="F721" s="11">
        <v>0.14528604066690742</v>
      </c>
      <c r="G721" s="11">
        <v>2.5563031435012817E-2</v>
      </c>
      <c r="H721" s="40">
        <v>5.4693732598245213E-4</v>
      </c>
      <c r="I721" s="40">
        <v>1.402161588966967</v>
      </c>
      <c r="J721" s="59">
        <v>0</v>
      </c>
      <c r="K721" s="59">
        <v>6241.1045655608177</v>
      </c>
      <c r="L721" s="59">
        <v>0</v>
      </c>
      <c r="M721" s="11">
        <v>0.80189383029937744</v>
      </c>
      <c r="N721" s="11">
        <v>0.67414712905883789</v>
      </c>
      <c r="O721" s="11">
        <v>0.2592771053314209</v>
      </c>
      <c r="Q721" s="59">
        <v>14.004081023525456</v>
      </c>
      <c r="R721" s="78">
        <v>529.32458317791134</v>
      </c>
      <c r="S721" s="78">
        <v>14.05605019983361</v>
      </c>
      <c r="T721" s="78">
        <v>609.1301989610464</v>
      </c>
      <c r="U721" s="59">
        <v>14.06107897269812</v>
      </c>
      <c r="V721" s="78">
        <v>807.97350955915351</v>
      </c>
      <c r="X721" s="134">
        <f t="shared" si="66"/>
        <v>1399878.7777693677</v>
      </c>
      <c r="Y721" s="134">
        <f t="shared" si="67"/>
        <v>1404995.8897843999</v>
      </c>
      <c r="Z721" s="134">
        <f t="shared" si="68"/>
        <v>1405299.9237602528</v>
      </c>
      <c r="AB721" s="127">
        <f t="shared" si="69"/>
        <v>0</v>
      </c>
      <c r="AC721" s="127">
        <f t="shared" si="70"/>
        <v>0</v>
      </c>
      <c r="AD721" s="127">
        <f t="shared" si="71"/>
        <v>1</v>
      </c>
    </row>
    <row r="722" spans="1:30" x14ac:dyDescent="0.25">
      <c r="A722">
        <v>717</v>
      </c>
      <c r="C722" s="11">
        <v>1.8092572689056396E-2</v>
      </c>
      <c r="D722" s="11">
        <v>2.4258345365524292E-2</v>
      </c>
      <c r="E722" s="11">
        <v>0.31935580094276339</v>
      </c>
      <c r="F722" s="11">
        <v>0.15190647849108327</v>
      </c>
      <c r="G722" s="11">
        <v>1.7547279596328735E-2</v>
      </c>
      <c r="H722" s="40">
        <v>3.8351639479731862E-4</v>
      </c>
      <c r="I722" s="40">
        <v>1.4966158343037883</v>
      </c>
      <c r="J722" s="59">
        <v>0</v>
      </c>
      <c r="K722" s="59">
        <v>2573.5050439834595</v>
      </c>
      <c r="L722" s="59">
        <v>0</v>
      </c>
      <c r="M722" s="11">
        <v>0.88162165880203247</v>
      </c>
      <c r="N722" s="11">
        <v>0.63687896728515625</v>
      </c>
      <c r="O722" s="11">
        <v>0.25889849662780762</v>
      </c>
      <c r="Q722" s="59">
        <v>15.190690309641285</v>
      </c>
      <c r="R722" s="78">
        <v>442.69990691279912</v>
      </c>
      <c r="S722" s="78">
        <v>15.258419511079085</v>
      </c>
      <c r="T722" s="78">
        <v>594.74641587437463</v>
      </c>
      <c r="U722" s="59">
        <v>15.275368735859432</v>
      </c>
      <c r="V722" s="78">
        <v>795.51303350090336</v>
      </c>
      <c r="X722" s="134">
        <f t="shared" si="66"/>
        <v>1518626.3310572156</v>
      </c>
      <c r="Y722" s="134">
        <f t="shared" si="67"/>
        <v>1525247.2046920341</v>
      </c>
      <c r="Z722" s="134">
        <f t="shared" si="68"/>
        <v>1526741.3605524423</v>
      </c>
      <c r="AB722" s="127">
        <f t="shared" si="69"/>
        <v>0</v>
      </c>
      <c r="AC722" s="127">
        <f t="shared" si="70"/>
        <v>0</v>
      </c>
      <c r="AD722" s="127">
        <f t="shared" si="71"/>
        <v>1</v>
      </c>
    </row>
    <row r="723" spans="1:30" x14ac:dyDescent="0.25">
      <c r="A723">
        <v>718</v>
      </c>
      <c r="C723" s="11">
        <v>3.0015081167221069E-2</v>
      </c>
      <c r="D723" s="11">
        <v>1.6670703887939453E-2</v>
      </c>
      <c r="E723" s="11">
        <v>0.23110618062164168</v>
      </c>
      <c r="F723" s="11">
        <v>0.18114363223517321</v>
      </c>
      <c r="G723" s="11">
        <v>2.5259494781494141E-2</v>
      </c>
      <c r="H723" s="40">
        <v>4.40862384537015E-4</v>
      </c>
      <c r="I723" s="40">
        <v>1.524388968835996</v>
      </c>
      <c r="J723" s="59">
        <v>0</v>
      </c>
      <c r="K723" s="59">
        <v>6816.7876452207565</v>
      </c>
      <c r="L723" s="59">
        <v>0</v>
      </c>
      <c r="M723" s="11">
        <v>0.83692431449890137</v>
      </c>
      <c r="N723" s="11">
        <v>0.80887019634246826</v>
      </c>
      <c r="O723" s="11">
        <v>0.33880364894866943</v>
      </c>
      <c r="Q723" s="59">
        <v>14.299447794518892</v>
      </c>
      <c r="R723" s="78">
        <v>559.65102757024567</v>
      </c>
      <c r="S723" s="78">
        <v>14.329936102440678</v>
      </c>
      <c r="T723" s="78">
        <v>617.95988928167719</v>
      </c>
      <c r="U723" s="59">
        <v>14.331963486933475</v>
      </c>
      <c r="V723" s="78">
        <v>818.5722890054775</v>
      </c>
      <c r="X723" s="134">
        <f t="shared" si="66"/>
        <v>1429385.128424319</v>
      </c>
      <c r="Y723" s="134">
        <f t="shared" si="67"/>
        <v>1432375.6503547861</v>
      </c>
      <c r="Z723" s="134">
        <f t="shared" si="68"/>
        <v>1432377.7764043421</v>
      </c>
      <c r="AB723" s="127">
        <f t="shared" si="69"/>
        <v>0</v>
      </c>
      <c r="AC723" s="127">
        <f t="shared" si="70"/>
        <v>0</v>
      </c>
      <c r="AD723" s="127">
        <f t="shared" si="71"/>
        <v>1</v>
      </c>
    </row>
    <row r="724" spans="1:30" x14ac:dyDescent="0.25">
      <c r="A724">
        <v>719</v>
      </c>
      <c r="C724" s="11">
        <v>7.5728893280029297E-3</v>
      </c>
      <c r="D724" s="11">
        <v>1.1955350637435913E-2</v>
      </c>
      <c r="E724" s="11">
        <v>0.36923577790252149</v>
      </c>
      <c r="F724" s="11">
        <v>0.31059027217376345</v>
      </c>
      <c r="G724" s="11">
        <v>1.7104387283325195E-2</v>
      </c>
      <c r="H724" s="40">
        <v>6.7568165962775956E-4</v>
      </c>
      <c r="I724" s="40">
        <v>1.5345673200805414</v>
      </c>
      <c r="J724" s="59">
        <v>0</v>
      </c>
      <c r="K724" s="59">
        <v>4943.39969009161</v>
      </c>
      <c r="L724" s="59">
        <v>0</v>
      </c>
      <c r="M724" s="11">
        <v>0.82125461101531982</v>
      </c>
      <c r="N724" s="11">
        <v>0.71630102396011353</v>
      </c>
      <c r="O724" s="11">
        <v>0.32703089714050293</v>
      </c>
      <c r="Q724" s="59">
        <v>14.294820597145071</v>
      </c>
      <c r="R724" s="78">
        <v>576.80146967075666</v>
      </c>
      <c r="S724" s="78">
        <v>14.357922456831016</v>
      </c>
      <c r="T724" s="78">
        <v>648.05720091740716</v>
      </c>
      <c r="U724" s="59">
        <v>14.363960137479683</v>
      </c>
      <c r="V724" s="78">
        <v>846.21382187511369</v>
      </c>
      <c r="X724" s="134">
        <f t="shared" ref="X724:X787" si="72">Q724*cRatio-R724</f>
        <v>1428905.2582448362</v>
      </c>
      <c r="Y724" s="134">
        <f t="shared" ref="Y724:Y787" si="73">S724*cRatio-T724</f>
        <v>1435144.1884821842</v>
      </c>
      <c r="Z724" s="134">
        <f t="shared" ref="Z724:Z787" si="74">U724*cRatio-V724</f>
        <v>1435549.7999260931</v>
      </c>
      <c r="AB724" s="127">
        <f t="shared" ref="AB724:AB787" si="75">IF(X724=MAX($X724:$Z724),1,0)</f>
        <v>0</v>
      </c>
      <c r="AC724" s="127">
        <f t="shared" ref="AC724:AC787" si="76">IF(Y724=MAX($X724:$Z724),1,0)</f>
        <v>0</v>
      </c>
      <c r="AD724" s="127">
        <f t="shared" ref="AD724:AD787" si="77">IF(Z724=MAX($X724:$Z724),1,0)</f>
        <v>1</v>
      </c>
    </row>
    <row r="725" spans="1:30" x14ac:dyDescent="0.25">
      <c r="A725">
        <v>720</v>
      </c>
      <c r="C725" s="11">
        <v>2.0968109369277954E-2</v>
      </c>
      <c r="D725" s="11">
        <v>3.3842086791992188E-2</v>
      </c>
      <c r="E725" s="11">
        <v>0.25633934174810952</v>
      </c>
      <c r="F725" s="11">
        <v>0.10864469190233966</v>
      </c>
      <c r="G725" s="11">
        <v>1.6418993473052979E-2</v>
      </c>
      <c r="H725" s="40">
        <v>5.4319814444666182E-4</v>
      </c>
      <c r="I725" s="40">
        <v>1.3690788143178454</v>
      </c>
      <c r="J725" s="59">
        <v>0</v>
      </c>
      <c r="K725" s="59">
        <v>6296.7021949589252</v>
      </c>
      <c r="L725" s="59">
        <v>0</v>
      </c>
      <c r="M725" s="11">
        <v>0.8576122522354126</v>
      </c>
      <c r="N725" s="11">
        <v>0.74841994047164917</v>
      </c>
      <c r="O725" s="11">
        <v>0.28815904259681702</v>
      </c>
      <c r="Q725" s="59">
        <v>14.771677783558712</v>
      </c>
      <c r="R725" s="78">
        <v>508.7752674047789</v>
      </c>
      <c r="S725" s="78">
        <v>14.815480782172079</v>
      </c>
      <c r="T725" s="78">
        <v>608.78535292005427</v>
      </c>
      <c r="U725" s="59">
        <v>14.824326754438026</v>
      </c>
      <c r="V725" s="78">
        <v>800.65501601683695</v>
      </c>
      <c r="X725" s="134">
        <f t="shared" si="72"/>
        <v>1476659.0030884664</v>
      </c>
      <c r="Y725" s="134">
        <f t="shared" si="73"/>
        <v>1480939.292864288</v>
      </c>
      <c r="Z725" s="134">
        <f t="shared" si="74"/>
        <v>1481632.0204277856</v>
      </c>
      <c r="AB725" s="127">
        <f t="shared" si="75"/>
        <v>0</v>
      </c>
      <c r="AC725" s="127">
        <f t="shared" si="76"/>
        <v>0</v>
      </c>
      <c r="AD725" s="127">
        <f t="shared" si="77"/>
        <v>1</v>
      </c>
    </row>
    <row r="726" spans="1:30" x14ac:dyDescent="0.25">
      <c r="A726">
        <v>721</v>
      </c>
      <c r="C726" s="11">
        <v>1.3609111309051514E-2</v>
      </c>
      <c r="D726" s="11">
        <v>6.0316920280456543E-3</v>
      </c>
      <c r="E726" s="11">
        <v>0.25487028704875414</v>
      </c>
      <c r="F726" s="11">
        <v>0.28992723748010196</v>
      </c>
      <c r="G726" s="11">
        <v>2.3256868124008179E-2</v>
      </c>
      <c r="H726" s="40">
        <v>4.6820434646444747E-4</v>
      </c>
      <c r="I726" s="40">
        <v>1.4192644505032008</v>
      </c>
      <c r="J726" s="59">
        <v>0</v>
      </c>
      <c r="K726" s="59">
        <v>2248.1754422187805</v>
      </c>
      <c r="L726" s="59">
        <v>0</v>
      </c>
      <c r="M726" s="11">
        <v>0.82811915874481201</v>
      </c>
      <c r="N726" s="11">
        <v>0.78661638498306274</v>
      </c>
      <c r="O726" s="11">
        <v>0.27225524187088013</v>
      </c>
      <c r="Q726" s="59">
        <v>14.394481573469134</v>
      </c>
      <c r="R726" s="78">
        <v>437.12246775827242</v>
      </c>
      <c r="S726" s="78">
        <v>14.419680080893134</v>
      </c>
      <c r="T726" s="78">
        <v>590.12927833617982</v>
      </c>
      <c r="U726" s="59">
        <v>14.418477037234274</v>
      </c>
      <c r="V726" s="78">
        <v>800.65258883180934</v>
      </c>
      <c r="X726" s="134">
        <f t="shared" si="72"/>
        <v>1439011.034879155</v>
      </c>
      <c r="Y726" s="134">
        <f t="shared" si="73"/>
        <v>1441377.8788109771</v>
      </c>
      <c r="Z726" s="134">
        <f t="shared" si="74"/>
        <v>1441047.0511345956</v>
      </c>
      <c r="AB726" s="127">
        <f t="shared" si="75"/>
        <v>0</v>
      </c>
      <c r="AC726" s="127">
        <f t="shared" si="76"/>
        <v>1</v>
      </c>
      <c r="AD726" s="127">
        <f t="shared" si="77"/>
        <v>0</v>
      </c>
    </row>
    <row r="727" spans="1:30" x14ac:dyDescent="0.25">
      <c r="A727">
        <v>722</v>
      </c>
      <c r="C727" s="11">
        <v>1.4322295784950256E-2</v>
      </c>
      <c r="D727" s="11">
        <v>2.0624235272407532E-2</v>
      </c>
      <c r="E727" s="11">
        <v>0.19297031523367145</v>
      </c>
      <c r="F727" s="11">
        <v>0.20782498322667212</v>
      </c>
      <c r="G727" s="11">
        <v>1.195991039276123E-2</v>
      </c>
      <c r="H727" s="40">
        <v>5.8559280033169763E-4</v>
      </c>
      <c r="I727" s="40">
        <v>1.3545977840757761</v>
      </c>
      <c r="J727" s="59">
        <v>0</v>
      </c>
      <c r="K727" s="59">
        <v>5289.008840918541</v>
      </c>
      <c r="L727" s="59">
        <v>0</v>
      </c>
      <c r="M727" s="11">
        <v>0.84137508273124695</v>
      </c>
      <c r="N727" s="11">
        <v>0.74089789390563965</v>
      </c>
      <c r="O727" s="11">
        <v>0.28990310430526733</v>
      </c>
      <c r="Q727" s="59">
        <v>14.594808851791848</v>
      </c>
      <c r="R727" s="78">
        <v>491.61072261875501</v>
      </c>
      <c r="S727" s="78">
        <v>14.63825019806062</v>
      </c>
      <c r="T727" s="78">
        <v>598.09681769444285</v>
      </c>
      <c r="U727" s="59">
        <v>14.637438244911763</v>
      </c>
      <c r="V727" s="78">
        <v>808.56163835362577</v>
      </c>
      <c r="X727" s="134">
        <f t="shared" si="72"/>
        <v>1458989.2744565662</v>
      </c>
      <c r="Y727" s="134">
        <f t="shared" si="73"/>
        <v>1463226.9229883675</v>
      </c>
      <c r="Z727" s="134">
        <f t="shared" si="74"/>
        <v>1462935.2628528227</v>
      </c>
      <c r="AB727" s="127">
        <f t="shared" si="75"/>
        <v>0</v>
      </c>
      <c r="AC727" s="127">
        <f t="shared" si="76"/>
        <v>1</v>
      </c>
      <c r="AD727" s="127">
        <f t="shared" si="77"/>
        <v>0</v>
      </c>
    </row>
    <row r="728" spans="1:30" x14ac:dyDescent="0.25">
      <c r="A728">
        <v>723</v>
      </c>
      <c r="C728" s="11">
        <v>1.8481165170669556E-2</v>
      </c>
      <c r="D728" s="11">
        <v>4.6562403440475464E-3</v>
      </c>
      <c r="E728" s="11">
        <v>0.10115674862411342</v>
      </c>
      <c r="F728" s="11">
        <v>0.17894021594203366</v>
      </c>
      <c r="G728" s="11">
        <v>4.21944260597229E-2</v>
      </c>
      <c r="H728" s="40">
        <v>3.939332431451845E-4</v>
      </c>
      <c r="I728" s="40">
        <v>1.4257408996679977</v>
      </c>
      <c r="J728" s="59">
        <v>0</v>
      </c>
      <c r="K728" s="59">
        <v>2898.5133394598961</v>
      </c>
      <c r="L728" s="59">
        <v>0</v>
      </c>
      <c r="M728" s="11">
        <v>0.83827024698257446</v>
      </c>
      <c r="N728" s="11">
        <v>0.71836310625076294</v>
      </c>
      <c r="O728" s="11">
        <v>0.28601807355880737</v>
      </c>
      <c r="Q728" s="59">
        <v>14.483482428506587</v>
      </c>
      <c r="R728" s="78">
        <v>446.75894346221094</v>
      </c>
      <c r="S728" s="78">
        <v>14.528098655953675</v>
      </c>
      <c r="T728" s="78">
        <v>584.4055461439865</v>
      </c>
      <c r="U728" s="59">
        <v>14.524184723989601</v>
      </c>
      <c r="V728" s="78">
        <v>797.5514678750236</v>
      </c>
      <c r="X728" s="134">
        <f t="shared" si="72"/>
        <v>1447901.4839071964</v>
      </c>
      <c r="Y728" s="134">
        <f t="shared" si="73"/>
        <v>1452225.4600492236</v>
      </c>
      <c r="Z728" s="134">
        <f t="shared" si="74"/>
        <v>1451620.920931085</v>
      </c>
      <c r="AB728" s="127">
        <f t="shared" si="75"/>
        <v>0</v>
      </c>
      <c r="AC728" s="127">
        <f t="shared" si="76"/>
        <v>1</v>
      </c>
      <c r="AD728" s="127">
        <f t="shared" si="77"/>
        <v>0</v>
      </c>
    </row>
    <row r="729" spans="1:30" x14ac:dyDescent="0.25">
      <c r="A729">
        <v>724</v>
      </c>
      <c r="C729" s="11">
        <v>3.263390064239502E-2</v>
      </c>
      <c r="D729" s="11">
        <v>2.2787004709243774E-2</v>
      </c>
      <c r="E729" s="11">
        <v>0.2609987993236374</v>
      </c>
      <c r="F729" s="11">
        <v>0.18732156122848298</v>
      </c>
      <c r="G729" s="11">
        <v>3.1616836786270142E-2</v>
      </c>
      <c r="H729" s="40">
        <v>4.2568975705498444E-4</v>
      </c>
      <c r="I729" s="40">
        <v>1.5959823401356263</v>
      </c>
      <c r="J729" s="59">
        <v>0</v>
      </c>
      <c r="K729" s="59">
        <v>7372.6894333958626</v>
      </c>
      <c r="L729" s="59">
        <v>0</v>
      </c>
      <c r="M729" s="11">
        <v>0.84485325217247009</v>
      </c>
      <c r="N729" s="11">
        <v>0.79273784160614014</v>
      </c>
      <c r="O729" s="11">
        <v>0.29946130514144897</v>
      </c>
      <c r="Q729" s="59">
        <v>14.3716104719868</v>
      </c>
      <c r="R729" s="78">
        <v>613.20308694772837</v>
      </c>
      <c r="S729" s="78">
        <v>14.418863429834868</v>
      </c>
      <c r="T729" s="78">
        <v>637.4093702526975</v>
      </c>
      <c r="U729" s="59">
        <v>14.423706506618172</v>
      </c>
      <c r="V729" s="78">
        <v>830.0086108549516</v>
      </c>
      <c r="X729" s="134">
        <f t="shared" si="72"/>
        <v>1436547.8441117322</v>
      </c>
      <c r="Y729" s="134">
        <f t="shared" si="73"/>
        <v>1441248.9336132342</v>
      </c>
      <c r="Z729" s="134">
        <f t="shared" si="74"/>
        <v>1441540.6420509624</v>
      </c>
      <c r="AB729" s="127">
        <f t="shared" si="75"/>
        <v>0</v>
      </c>
      <c r="AC729" s="127">
        <f t="shared" si="76"/>
        <v>0</v>
      </c>
      <c r="AD729" s="127">
        <f t="shared" si="77"/>
        <v>1</v>
      </c>
    </row>
    <row r="730" spans="1:30" x14ac:dyDescent="0.25">
      <c r="A730">
        <v>725</v>
      </c>
      <c r="C730" s="11">
        <v>2.4468302726745605E-2</v>
      </c>
      <c r="D730" s="11">
        <v>6.8597644567489624E-3</v>
      </c>
      <c r="E730" s="11">
        <v>0.19009604120792817</v>
      </c>
      <c r="F730" s="11">
        <v>5.9556982882905313E-2</v>
      </c>
      <c r="G730" s="11">
        <v>4.4421166181564331E-2</v>
      </c>
      <c r="H730" s="40">
        <v>6.991708171784442E-4</v>
      </c>
      <c r="I730" s="40">
        <v>1.3731412028756576</v>
      </c>
      <c r="J730" s="59">
        <v>0</v>
      </c>
      <c r="K730" s="59">
        <v>5714.2763398587704</v>
      </c>
      <c r="L730" s="59">
        <v>0</v>
      </c>
      <c r="M730" s="11">
        <v>0.82452994585037231</v>
      </c>
      <c r="N730" s="11">
        <v>0.7487061619758606</v>
      </c>
      <c r="O730" s="11">
        <v>0.25354623794555664</v>
      </c>
      <c r="Q730" s="59">
        <v>14.147149528861457</v>
      </c>
      <c r="R730" s="78">
        <v>551.93355553514334</v>
      </c>
      <c r="S730" s="78">
        <v>14.196026454541698</v>
      </c>
      <c r="T730" s="78">
        <v>609.5342704509103</v>
      </c>
      <c r="U730" s="59">
        <v>14.204091619860034</v>
      </c>
      <c r="V730" s="78">
        <v>797.59267884069868</v>
      </c>
      <c r="X730" s="134">
        <f t="shared" si="72"/>
        <v>1414163.0193306105</v>
      </c>
      <c r="Y730" s="134">
        <f t="shared" si="73"/>
        <v>1418993.1111837188</v>
      </c>
      <c r="Z730" s="134">
        <f t="shared" si="74"/>
        <v>1419611.5693071627</v>
      </c>
      <c r="AB730" s="127">
        <f t="shared" si="75"/>
        <v>0</v>
      </c>
      <c r="AC730" s="127">
        <f t="shared" si="76"/>
        <v>0</v>
      </c>
      <c r="AD730" s="127">
        <f t="shared" si="77"/>
        <v>1</v>
      </c>
    </row>
    <row r="731" spans="1:30" x14ac:dyDescent="0.25">
      <c r="A731">
        <v>726</v>
      </c>
      <c r="C731" s="11">
        <v>2.6930630207061768E-2</v>
      </c>
      <c r="D731" s="11">
        <v>4.6471118927001953E-2</v>
      </c>
      <c r="E731" s="11">
        <v>0.1302741703286269</v>
      </c>
      <c r="F731" s="11">
        <v>0.27324532063442364</v>
      </c>
      <c r="G731" s="11">
        <v>4.1034460067749023E-2</v>
      </c>
      <c r="H731" s="40">
        <v>5.1946294910148484E-4</v>
      </c>
      <c r="I731" s="40">
        <v>1.4720425558393486</v>
      </c>
      <c r="J731" s="59">
        <v>0</v>
      </c>
      <c r="K731" s="59">
        <v>4803.06101962924</v>
      </c>
      <c r="L731" s="59">
        <v>0</v>
      </c>
      <c r="M731" s="11">
        <v>0.85391229391098022</v>
      </c>
      <c r="N731" s="11">
        <v>0.76464319229125977</v>
      </c>
      <c r="O731" s="11">
        <v>0.36582374572753906</v>
      </c>
      <c r="Q731" s="59">
        <v>14.601803215480642</v>
      </c>
      <c r="R731" s="78">
        <v>521.62581390469506</v>
      </c>
      <c r="S731" s="78">
        <v>14.666939842871489</v>
      </c>
      <c r="T731" s="78">
        <v>595.94801288103668</v>
      </c>
      <c r="U731" s="59">
        <v>14.656033246694848</v>
      </c>
      <c r="V731" s="78">
        <v>823.4352594352124</v>
      </c>
      <c r="X731" s="134">
        <f t="shared" si="72"/>
        <v>1459658.6957341596</v>
      </c>
      <c r="Y731" s="134">
        <f t="shared" si="73"/>
        <v>1466098.0362742678</v>
      </c>
      <c r="Z731" s="134">
        <f t="shared" si="74"/>
        <v>1464779.8894100494</v>
      </c>
      <c r="AB731" s="127">
        <f t="shared" si="75"/>
        <v>0</v>
      </c>
      <c r="AC731" s="127">
        <f t="shared" si="76"/>
        <v>1</v>
      </c>
      <c r="AD731" s="127">
        <f t="shared" si="77"/>
        <v>0</v>
      </c>
    </row>
    <row r="732" spans="1:30" x14ac:dyDescent="0.25">
      <c r="A732">
        <v>727</v>
      </c>
      <c r="C732" s="11">
        <v>1.4646261930465698E-2</v>
      </c>
      <c r="D732" s="11">
        <v>8.3287656307220459E-3</v>
      </c>
      <c r="E732" s="11">
        <v>0.34145651344630823</v>
      </c>
      <c r="F732" s="11">
        <v>0.33549454966385539</v>
      </c>
      <c r="G732" s="11">
        <v>2.9808640480041504E-2</v>
      </c>
      <c r="H732" s="40">
        <v>6.0807860751317352E-4</v>
      </c>
      <c r="I732" s="40">
        <v>1.3064644962854619</v>
      </c>
      <c r="J732" s="59">
        <v>0</v>
      </c>
      <c r="K732" s="59">
        <v>3628.0415952205658</v>
      </c>
      <c r="L732" s="59">
        <v>0</v>
      </c>
      <c r="M732" s="11">
        <v>0.88399243354797363</v>
      </c>
      <c r="N732" s="11">
        <v>0.72376620769500732</v>
      </c>
      <c r="O732" s="11">
        <v>0.31354933977127075</v>
      </c>
      <c r="Q732" s="59">
        <v>15.321296788700002</v>
      </c>
      <c r="R732" s="78">
        <v>461.4313873471998</v>
      </c>
      <c r="S732" s="78">
        <v>15.363518498013095</v>
      </c>
      <c r="T732" s="78">
        <v>602.24784194545134</v>
      </c>
      <c r="U732" s="59">
        <v>15.363904956246788</v>
      </c>
      <c r="V732" s="78">
        <v>810.84392612344061</v>
      </c>
      <c r="X732" s="134">
        <f t="shared" si="72"/>
        <v>1531668.247482653</v>
      </c>
      <c r="Y732" s="134">
        <f t="shared" si="73"/>
        <v>1535749.601959364</v>
      </c>
      <c r="Z732" s="134">
        <f t="shared" si="74"/>
        <v>1535579.6516985556</v>
      </c>
      <c r="AB732" s="127">
        <f t="shared" si="75"/>
        <v>0</v>
      </c>
      <c r="AC732" s="127">
        <f t="shared" si="76"/>
        <v>1</v>
      </c>
      <c r="AD732" s="127">
        <f t="shared" si="77"/>
        <v>0</v>
      </c>
    </row>
    <row r="733" spans="1:30" x14ac:dyDescent="0.25">
      <c r="A733">
        <v>728</v>
      </c>
      <c r="C733" s="11">
        <v>6.1742663383483887E-3</v>
      </c>
      <c r="D733" s="11">
        <v>3.8248747587203979E-3</v>
      </c>
      <c r="E733" s="11">
        <v>0.1787605828226024</v>
      </c>
      <c r="F733" s="11">
        <v>0.12478241805769771</v>
      </c>
      <c r="G733" s="11">
        <v>3.2434612512588501E-2</v>
      </c>
      <c r="H733" s="40">
        <v>4.6996986261751966E-4</v>
      </c>
      <c r="I733" s="40">
        <v>1.4095548245306688</v>
      </c>
      <c r="J733" s="59">
        <v>0</v>
      </c>
      <c r="K733" s="59">
        <v>8902.0282030105591</v>
      </c>
      <c r="L733" s="59">
        <v>0</v>
      </c>
      <c r="M733" s="11">
        <v>0.88298714160919189</v>
      </c>
      <c r="N733" s="11">
        <v>0.75217688083648682</v>
      </c>
      <c r="O733" s="11">
        <v>0.32389867305755615</v>
      </c>
      <c r="Q733" s="59">
        <v>15.441385864980038</v>
      </c>
      <c r="R733" s="78">
        <v>570.97485174365136</v>
      </c>
      <c r="S733" s="78">
        <v>15.489699388119435</v>
      </c>
      <c r="T733" s="78">
        <v>611.05884602720596</v>
      </c>
      <c r="U733" s="59">
        <v>15.492927146529574</v>
      </c>
      <c r="V733" s="78">
        <v>810.39807343406983</v>
      </c>
      <c r="X733" s="134">
        <f t="shared" si="72"/>
        <v>1543567.6116462604</v>
      </c>
      <c r="Y733" s="134">
        <f t="shared" si="73"/>
        <v>1548358.8799659163</v>
      </c>
      <c r="Z733" s="134">
        <f t="shared" si="74"/>
        <v>1548482.3165795233</v>
      </c>
      <c r="AB733" s="127">
        <f t="shared" si="75"/>
        <v>0</v>
      </c>
      <c r="AC733" s="127">
        <f t="shared" si="76"/>
        <v>0</v>
      </c>
      <c r="AD733" s="127">
        <f t="shared" si="77"/>
        <v>1</v>
      </c>
    </row>
    <row r="734" spans="1:30" x14ac:dyDescent="0.25">
      <c r="A734">
        <v>729</v>
      </c>
      <c r="C734" s="11">
        <v>3.951263427734375E-2</v>
      </c>
      <c r="D734" s="11">
        <v>1.8939375877380371E-2</v>
      </c>
      <c r="E734" s="11">
        <v>0.35512143697164117</v>
      </c>
      <c r="F734" s="11">
        <v>0.19429090286225817</v>
      </c>
      <c r="G734" s="11">
        <v>5.4742425680160522E-2</v>
      </c>
      <c r="H734" s="40">
        <v>4.8093505566995155E-4</v>
      </c>
      <c r="I734" s="40">
        <v>1.4434245011228743</v>
      </c>
      <c r="J734" s="59">
        <v>0</v>
      </c>
      <c r="K734" s="59">
        <v>5615.4746562242508</v>
      </c>
      <c r="L734" s="59">
        <v>0</v>
      </c>
      <c r="M734" s="11">
        <v>0.84242206811904907</v>
      </c>
      <c r="N734" s="11">
        <v>0.80003547668457031</v>
      </c>
      <c r="O734" s="11">
        <v>0.26465916633605957</v>
      </c>
      <c r="Q734" s="59">
        <v>14.244938353504089</v>
      </c>
      <c r="R734" s="78">
        <v>529.45366859807541</v>
      </c>
      <c r="S734" s="78">
        <v>14.275194234312561</v>
      </c>
      <c r="T734" s="78">
        <v>627.67028122478234</v>
      </c>
      <c r="U734" s="59">
        <v>14.282876915921577</v>
      </c>
      <c r="V734" s="78">
        <v>814.70659536289975</v>
      </c>
      <c r="X734" s="134">
        <f t="shared" si="72"/>
        <v>1423964.3816818108</v>
      </c>
      <c r="Y734" s="134">
        <f t="shared" si="73"/>
        <v>1426891.7531500312</v>
      </c>
      <c r="Z734" s="134">
        <f t="shared" si="74"/>
        <v>1427472.9849967947</v>
      </c>
      <c r="AB734" s="127">
        <f t="shared" si="75"/>
        <v>0</v>
      </c>
      <c r="AC734" s="127">
        <f t="shared" si="76"/>
        <v>0</v>
      </c>
      <c r="AD734" s="127">
        <f t="shared" si="77"/>
        <v>1</v>
      </c>
    </row>
    <row r="735" spans="1:30" x14ac:dyDescent="0.25">
      <c r="A735">
        <v>730</v>
      </c>
      <c r="C735" s="11">
        <v>4.124915599822998E-2</v>
      </c>
      <c r="D735" s="11">
        <v>1.9931197166442871E-3</v>
      </c>
      <c r="E735" s="11">
        <v>0.22547221437056161</v>
      </c>
      <c r="F735" s="11">
        <v>0.12242957204021486</v>
      </c>
      <c r="G735" s="11">
        <v>5.030938982963562E-2</v>
      </c>
      <c r="H735" s="40">
        <v>6.3959316333149236E-4</v>
      </c>
      <c r="I735" s="40">
        <v>1.4071085340266729</v>
      </c>
      <c r="J735" s="59">
        <v>0</v>
      </c>
      <c r="K735" s="59">
        <v>4397.2465209662914</v>
      </c>
      <c r="L735" s="59">
        <v>0</v>
      </c>
      <c r="M735" s="11">
        <v>0.81784141063690186</v>
      </c>
      <c r="N735" s="11">
        <v>0.68906259536743164</v>
      </c>
      <c r="O735" s="11">
        <v>0.34089004993438721</v>
      </c>
      <c r="Q735" s="59">
        <v>13.777065252248439</v>
      </c>
      <c r="R735" s="78">
        <v>518.36093805083124</v>
      </c>
      <c r="S735" s="78">
        <v>13.833329149503294</v>
      </c>
      <c r="T735" s="78">
        <v>607.50764230937898</v>
      </c>
      <c r="U735" s="59">
        <v>13.840979163066116</v>
      </c>
      <c r="V735" s="78">
        <v>803.51379465461628</v>
      </c>
      <c r="X735" s="134">
        <f t="shared" si="72"/>
        <v>1377188.1642867932</v>
      </c>
      <c r="Y735" s="134">
        <f t="shared" si="73"/>
        <v>1382725.4073080199</v>
      </c>
      <c r="Z735" s="134">
        <f t="shared" si="74"/>
        <v>1383294.4025119571</v>
      </c>
      <c r="AB735" s="127">
        <f t="shared" si="75"/>
        <v>0</v>
      </c>
      <c r="AC735" s="127">
        <f t="shared" si="76"/>
        <v>0</v>
      </c>
      <c r="AD735" s="127">
        <f t="shared" si="77"/>
        <v>1</v>
      </c>
    </row>
    <row r="736" spans="1:30" x14ac:dyDescent="0.25">
      <c r="A736">
        <v>731</v>
      </c>
      <c r="C736" s="11">
        <v>9.7187161445617676E-3</v>
      </c>
      <c r="D736" s="11">
        <v>1.2643888592720032E-2</v>
      </c>
      <c r="E736" s="11">
        <v>0.25809579935653143</v>
      </c>
      <c r="F736" s="11">
        <v>0.10854462605381544</v>
      </c>
      <c r="G736" s="11">
        <v>9.5624446868896484E-2</v>
      </c>
      <c r="H736" s="40">
        <v>4.5437894461687926E-4</v>
      </c>
      <c r="I736" s="40">
        <v>1.4508753975235691</v>
      </c>
      <c r="J736" s="59">
        <v>0</v>
      </c>
      <c r="K736" s="59">
        <v>7464.9881571531296</v>
      </c>
      <c r="L736" s="59">
        <v>0</v>
      </c>
      <c r="M736" s="11">
        <v>0.82072705030441284</v>
      </c>
      <c r="N736" s="11">
        <v>0.74811112880706787</v>
      </c>
      <c r="O736" s="11">
        <v>0.29906028509140015</v>
      </c>
      <c r="Q736" s="59">
        <v>14.299590682151628</v>
      </c>
      <c r="R736" s="78">
        <v>606.51779403248997</v>
      </c>
      <c r="S736" s="78">
        <v>14.341275568836169</v>
      </c>
      <c r="T736" s="78">
        <v>634.55273108394692</v>
      </c>
      <c r="U736" s="59">
        <v>14.34983662680389</v>
      </c>
      <c r="V736" s="78">
        <v>811.42367274762978</v>
      </c>
      <c r="X736" s="134">
        <f t="shared" si="72"/>
        <v>1429352.5504211301</v>
      </c>
      <c r="Y736" s="134">
        <f t="shared" si="73"/>
        <v>1433493.0041525329</v>
      </c>
      <c r="Z736" s="134">
        <f t="shared" si="74"/>
        <v>1434172.2390076416</v>
      </c>
      <c r="AB736" s="127">
        <f t="shared" si="75"/>
        <v>0</v>
      </c>
      <c r="AC736" s="127">
        <f t="shared" si="76"/>
        <v>0</v>
      </c>
      <c r="AD736" s="127">
        <f t="shared" si="77"/>
        <v>1</v>
      </c>
    </row>
    <row r="737" spans="1:30" x14ac:dyDescent="0.25">
      <c r="A737">
        <v>732</v>
      </c>
      <c r="C737" s="11">
        <v>2.5830328464508057E-2</v>
      </c>
      <c r="D737" s="11">
        <v>1.701529324054718E-2</v>
      </c>
      <c r="E737" s="11">
        <v>0.25017431102668569</v>
      </c>
      <c r="F737" s="11">
        <v>0.2612362882140507</v>
      </c>
      <c r="G737" s="11">
        <v>4.7240555286407471E-2</v>
      </c>
      <c r="H737" s="40">
        <v>4.0397198953262661E-4</v>
      </c>
      <c r="I737" s="40">
        <v>1.4659064528630485</v>
      </c>
      <c r="J737" s="59">
        <v>0</v>
      </c>
      <c r="K737" s="59">
        <v>5406.3857533037663</v>
      </c>
      <c r="L737" s="59">
        <v>0</v>
      </c>
      <c r="M737" s="11">
        <v>0.85824757814407349</v>
      </c>
      <c r="N737" s="11">
        <v>0.77422797679901123</v>
      </c>
      <c r="O737" s="11">
        <v>0.29380014538764954</v>
      </c>
      <c r="Q737" s="59">
        <v>14.716058097950578</v>
      </c>
      <c r="R737" s="78">
        <v>508.79708199493945</v>
      </c>
      <c r="S737" s="78">
        <v>14.754916988269112</v>
      </c>
      <c r="T737" s="78">
        <v>608.08057047453144</v>
      </c>
      <c r="U737" s="59">
        <v>14.754335250874542</v>
      </c>
      <c r="V737" s="78">
        <v>818.36079810020158</v>
      </c>
      <c r="X737" s="134">
        <f t="shared" si="72"/>
        <v>1471097.012713063</v>
      </c>
      <c r="Y737" s="134">
        <f t="shared" si="73"/>
        <v>1474883.6182564367</v>
      </c>
      <c r="Z737" s="134">
        <f t="shared" si="74"/>
        <v>1474615.1642893539</v>
      </c>
      <c r="AB737" s="127">
        <f t="shared" si="75"/>
        <v>0</v>
      </c>
      <c r="AC737" s="127">
        <f t="shared" si="76"/>
        <v>1</v>
      </c>
      <c r="AD737" s="127">
        <f t="shared" si="77"/>
        <v>0</v>
      </c>
    </row>
    <row r="738" spans="1:30" x14ac:dyDescent="0.25">
      <c r="A738">
        <v>733</v>
      </c>
      <c r="C738" s="11">
        <v>2.9645532369613647E-2</v>
      </c>
      <c r="D738" s="11">
        <v>1.462070643901825E-2</v>
      </c>
      <c r="E738" s="11">
        <v>0.33270659602197933</v>
      </c>
      <c r="F738" s="11">
        <v>1.2969913478636168</v>
      </c>
      <c r="G738" s="11">
        <v>4.1571944952011108E-2</v>
      </c>
      <c r="H738" s="40">
        <v>4.1585452547359563E-4</v>
      </c>
      <c r="I738" s="40">
        <v>1.3587434150648743</v>
      </c>
      <c r="J738" s="59">
        <v>0</v>
      </c>
      <c r="K738" s="59">
        <v>3943.8414387404919</v>
      </c>
      <c r="L738" s="59">
        <v>0</v>
      </c>
      <c r="M738" s="11">
        <v>0.84931361675262451</v>
      </c>
      <c r="N738" s="11">
        <v>0.82714605331420898</v>
      </c>
      <c r="O738" s="11">
        <v>0.28085941076278687</v>
      </c>
      <c r="Q738" s="59">
        <v>14.531932822493227</v>
      </c>
      <c r="R738" s="78">
        <v>455.35323352994158</v>
      </c>
      <c r="S738" s="78">
        <v>14.548695142423457</v>
      </c>
      <c r="T738" s="78">
        <v>599.5751628452889</v>
      </c>
      <c r="U738" s="59">
        <v>14.524577982565274</v>
      </c>
      <c r="V738" s="78">
        <v>867.29553130261831</v>
      </c>
      <c r="X738" s="134">
        <f t="shared" si="72"/>
        <v>1452737.9290157927</v>
      </c>
      <c r="Y738" s="134">
        <f t="shared" si="73"/>
        <v>1454269.9390795005</v>
      </c>
      <c r="Z738" s="134">
        <f t="shared" si="74"/>
        <v>1451590.5027252247</v>
      </c>
      <c r="AB738" s="127">
        <f t="shared" si="75"/>
        <v>0</v>
      </c>
      <c r="AC738" s="127">
        <f t="shared" si="76"/>
        <v>1</v>
      </c>
      <c r="AD738" s="127">
        <f t="shared" si="77"/>
        <v>0</v>
      </c>
    </row>
    <row r="739" spans="1:30" x14ac:dyDescent="0.25">
      <c r="A739">
        <v>734</v>
      </c>
      <c r="C739" s="11">
        <v>3.9668828248977661E-3</v>
      </c>
      <c r="D739" s="11">
        <v>4.5518636703491211E-2</v>
      </c>
      <c r="E739" s="11">
        <v>0.33926586992077423</v>
      </c>
      <c r="F739" s="11">
        <v>6.9207367238070777E-2</v>
      </c>
      <c r="G739" s="11">
        <v>2.4483710527420044E-2</v>
      </c>
      <c r="H739" s="40">
        <v>4.7215979841404196E-4</v>
      </c>
      <c r="I739" s="40">
        <v>1.5298753333534962</v>
      </c>
      <c r="J739" s="59">
        <v>0</v>
      </c>
      <c r="K739" s="59">
        <v>5148.0624824762344</v>
      </c>
      <c r="L739" s="59">
        <v>0</v>
      </c>
      <c r="M739" s="11">
        <v>0.85533761978149414</v>
      </c>
      <c r="N739" s="11">
        <v>0.75459146499633789</v>
      </c>
      <c r="O739" s="11">
        <v>0.32889854907989502</v>
      </c>
      <c r="Q739" s="59">
        <v>14.963245353766467</v>
      </c>
      <c r="R739" s="78">
        <v>532.24788376441472</v>
      </c>
      <c r="S739" s="78">
        <v>15.018954212467046</v>
      </c>
      <c r="T739" s="78">
        <v>626.6801778413286</v>
      </c>
      <c r="U739" s="59">
        <v>15.042338182829527</v>
      </c>
      <c r="V739" s="78">
        <v>797.7926031114232</v>
      </c>
      <c r="X739" s="134">
        <f t="shared" si="72"/>
        <v>1495792.2874928825</v>
      </c>
      <c r="Y739" s="134">
        <f t="shared" si="73"/>
        <v>1501268.7410688633</v>
      </c>
      <c r="Z739" s="134">
        <f t="shared" si="74"/>
        <v>1503436.0256798414</v>
      </c>
      <c r="AB739" s="127">
        <f t="shared" si="75"/>
        <v>0</v>
      </c>
      <c r="AC739" s="127">
        <f t="shared" si="76"/>
        <v>0</v>
      </c>
      <c r="AD739" s="127">
        <f t="shared" si="77"/>
        <v>1</v>
      </c>
    </row>
    <row r="740" spans="1:30" x14ac:dyDescent="0.25">
      <c r="A740">
        <v>735</v>
      </c>
      <c r="C740" s="11">
        <v>3.9890110492706299E-2</v>
      </c>
      <c r="D740" s="11">
        <v>1.1550277471542358E-2</v>
      </c>
      <c r="E740" s="11">
        <v>0.15465475705202866</v>
      </c>
      <c r="F740" s="11">
        <v>0.13144915050932013</v>
      </c>
      <c r="G740" s="11">
        <v>0.11956787109375</v>
      </c>
      <c r="H740" s="40">
        <v>6.8082638612823793E-4</v>
      </c>
      <c r="I740" s="40">
        <v>1.4701059427385954</v>
      </c>
      <c r="J740" s="59">
        <v>0</v>
      </c>
      <c r="K740" s="59">
        <v>5890.0029398500919</v>
      </c>
      <c r="L740" s="59">
        <v>0</v>
      </c>
      <c r="M740" s="11">
        <v>0.85718709230422974</v>
      </c>
      <c r="N740" s="11">
        <v>0.69229722023010254</v>
      </c>
      <c r="O740" s="11">
        <v>0.34587264060974121</v>
      </c>
      <c r="Q740" s="59">
        <v>14.409463365328021</v>
      </c>
      <c r="R740" s="78">
        <v>670.81132732940534</v>
      </c>
      <c r="S740" s="78">
        <v>14.516744355960922</v>
      </c>
      <c r="T740" s="78">
        <v>622.79971990706485</v>
      </c>
      <c r="U740" s="59">
        <v>14.519772905405524</v>
      </c>
      <c r="V740" s="78">
        <v>825.2512791235755</v>
      </c>
      <c r="X740" s="134">
        <f t="shared" si="72"/>
        <v>1440275.5252054727</v>
      </c>
      <c r="Y740" s="134">
        <f t="shared" si="73"/>
        <v>1451051.635876185</v>
      </c>
      <c r="Z740" s="134">
        <f t="shared" si="74"/>
        <v>1451152.0392614289</v>
      </c>
      <c r="AB740" s="127">
        <f t="shared" si="75"/>
        <v>0</v>
      </c>
      <c r="AC740" s="127">
        <f t="shared" si="76"/>
        <v>0</v>
      </c>
      <c r="AD740" s="127">
        <f t="shared" si="77"/>
        <v>1</v>
      </c>
    </row>
    <row r="741" spans="1:30" x14ac:dyDescent="0.25">
      <c r="A741">
        <v>736</v>
      </c>
      <c r="C741" s="11">
        <v>1.6598045825958252E-2</v>
      </c>
      <c r="D741" s="11">
        <v>8.4991753101348877E-3</v>
      </c>
      <c r="E741" s="11">
        <v>0.21527629680227631</v>
      </c>
      <c r="F741" s="11">
        <v>0.23231156133883674</v>
      </c>
      <c r="G741" s="11">
        <v>3.8732856512069702E-2</v>
      </c>
      <c r="H741" s="40">
        <v>5.0327230229509697E-4</v>
      </c>
      <c r="I741" s="40">
        <v>1.5350723702899918</v>
      </c>
      <c r="J741" s="59">
        <v>0</v>
      </c>
      <c r="K741" s="59">
        <v>5578.245036303997</v>
      </c>
      <c r="L741" s="59">
        <v>0</v>
      </c>
      <c r="M741" s="11">
        <v>0.87061721086502075</v>
      </c>
      <c r="N741" s="11">
        <v>0.72523653507232666</v>
      </c>
      <c r="O741" s="11">
        <v>0.29111972451210022</v>
      </c>
      <c r="Q741" s="59">
        <v>15.02216642715196</v>
      </c>
      <c r="R741" s="78">
        <v>567.6485473356588</v>
      </c>
      <c r="S741" s="78">
        <v>15.100735052601008</v>
      </c>
      <c r="T741" s="78">
        <v>617.16957021435769</v>
      </c>
      <c r="U741" s="59">
        <v>15.098988564692217</v>
      </c>
      <c r="V741" s="78">
        <v>829.17120741037479</v>
      </c>
      <c r="X741" s="134">
        <f t="shared" si="72"/>
        <v>1501648.9941678604</v>
      </c>
      <c r="Y741" s="134">
        <f t="shared" si="73"/>
        <v>1509456.3356898865</v>
      </c>
      <c r="Z741" s="134">
        <f t="shared" si="74"/>
        <v>1509069.6852618114</v>
      </c>
      <c r="AB741" s="127">
        <f t="shared" si="75"/>
        <v>0</v>
      </c>
      <c r="AC741" s="127">
        <f t="shared" si="76"/>
        <v>1</v>
      </c>
      <c r="AD741" s="127">
        <f t="shared" si="77"/>
        <v>0</v>
      </c>
    </row>
    <row r="742" spans="1:30" x14ac:dyDescent="0.25">
      <c r="A742">
        <v>737</v>
      </c>
      <c r="C742" s="11">
        <v>2.0585477352142334E-2</v>
      </c>
      <c r="D742" s="11">
        <v>1.2632429599761963E-2</v>
      </c>
      <c r="E742" s="11">
        <v>0.18772832323257582</v>
      </c>
      <c r="F742" s="11">
        <v>0.17746241123506909</v>
      </c>
      <c r="G742" s="11">
        <v>8.3022832870483398E-2</v>
      </c>
      <c r="H742" s="40">
        <v>3.4573258727275231E-4</v>
      </c>
      <c r="I742" s="40">
        <v>1.3975508246055381</v>
      </c>
      <c r="J742" s="59">
        <v>0</v>
      </c>
      <c r="K742" s="59">
        <v>7711.6116881370544</v>
      </c>
      <c r="L742" s="59">
        <v>0</v>
      </c>
      <c r="M742" s="11">
        <v>0.85542550683021545</v>
      </c>
      <c r="N742" s="11">
        <v>0.74054980278015137</v>
      </c>
      <c r="O742" s="11">
        <v>0.27307248115539551</v>
      </c>
      <c r="Q742" s="59">
        <v>14.753420627551934</v>
      </c>
      <c r="R742" s="78">
        <v>529.82418303571626</v>
      </c>
      <c r="S742" s="78">
        <v>14.79021526327802</v>
      </c>
      <c r="T742" s="78">
        <v>604.7261350803368</v>
      </c>
      <c r="U742" s="59">
        <v>14.790685321121787</v>
      </c>
      <c r="V742" s="78">
        <v>812.32205093960113</v>
      </c>
      <c r="X742" s="134">
        <f t="shared" si="72"/>
        <v>1474812.2385721577</v>
      </c>
      <c r="Y742" s="134">
        <f t="shared" si="73"/>
        <v>1478416.8001927214</v>
      </c>
      <c r="Z742" s="134">
        <f t="shared" si="74"/>
        <v>1478256.2100612391</v>
      </c>
      <c r="AB742" s="127">
        <f t="shared" si="75"/>
        <v>0</v>
      </c>
      <c r="AC742" s="127">
        <f t="shared" si="76"/>
        <v>1</v>
      </c>
      <c r="AD742" s="127">
        <f t="shared" si="77"/>
        <v>0</v>
      </c>
    </row>
    <row r="743" spans="1:30" x14ac:dyDescent="0.25">
      <c r="A743">
        <v>738</v>
      </c>
      <c r="C743" s="11">
        <v>1.279352605342865E-2</v>
      </c>
      <c r="D743" s="11">
        <v>9.3505978584289551E-3</v>
      </c>
      <c r="E743" s="11">
        <v>0.27060318411333706</v>
      </c>
      <c r="F743" s="11">
        <v>0.17414671383354741</v>
      </c>
      <c r="G743" s="11">
        <v>6.3597559928894043E-2</v>
      </c>
      <c r="H743" s="40">
        <v>3.3830194162615129E-4</v>
      </c>
      <c r="I743" s="40">
        <v>1.5566673389775521</v>
      </c>
      <c r="J743" s="59">
        <v>0</v>
      </c>
      <c r="K743" s="59">
        <v>4725.5074605345726</v>
      </c>
      <c r="L743" s="59">
        <v>0</v>
      </c>
      <c r="M743" s="11">
        <v>0.90716791152954102</v>
      </c>
      <c r="N743" s="11">
        <v>0.74225807189941406</v>
      </c>
      <c r="O743" s="11">
        <v>0.37049770355224609</v>
      </c>
      <c r="Q743" s="59">
        <v>15.73832515688412</v>
      </c>
      <c r="R743" s="78">
        <v>513.74712258636816</v>
      </c>
      <c r="S743" s="78">
        <v>15.796690162766145</v>
      </c>
      <c r="T743" s="78">
        <v>611.85375034177548</v>
      </c>
      <c r="U743" s="59">
        <v>15.804551086252625</v>
      </c>
      <c r="V743" s="78">
        <v>809.18189576346333</v>
      </c>
      <c r="X743" s="134">
        <f t="shared" si="72"/>
        <v>1573318.7685658254</v>
      </c>
      <c r="Y743" s="134">
        <f t="shared" si="73"/>
        <v>1579057.1625262727</v>
      </c>
      <c r="Z743" s="134">
        <f t="shared" si="74"/>
        <v>1579645.9267294991</v>
      </c>
      <c r="AB743" s="127">
        <f t="shared" si="75"/>
        <v>0</v>
      </c>
      <c r="AC743" s="127">
        <f t="shared" si="76"/>
        <v>0</v>
      </c>
      <c r="AD743" s="127">
        <f t="shared" si="77"/>
        <v>1</v>
      </c>
    </row>
    <row r="744" spans="1:30" x14ac:dyDescent="0.25">
      <c r="A744">
        <v>739</v>
      </c>
      <c r="C744" s="11">
        <v>2.9510527849197388E-2</v>
      </c>
      <c r="D744" s="11">
        <v>2.672809362411499E-2</v>
      </c>
      <c r="E744" s="11">
        <v>0.41284232398302817</v>
      </c>
      <c r="F744" s="11">
        <v>0.22763163234862926</v>
      </c>
      <c r="G744" s="11">
        <v>3.1442433595657349E-2</v>
      </c>
      <c r="H744" s="40">
        <v>4.3463151201387725E-4</v>
      </c>
      <c r="I744" s="40">
        <v>1.4378337597905506</v>
      </c>
      <c r="J744" s="59">
        <v>0</v>
      </c>
      <c r="K744" s="59">
        <v>5171.1685955524445</v>
      </c>
      <c r="L744" s="59">
        <v>0</v>
      </c>
      <c r="M744" s="11">
        <v>0.89838516712188721</v>
      </c>
      <c r="N744" s="11">
        <v>0.68984866142272949</v>
      </c>
      <c r="O744" s="11">
        <v>0.3133242130279541</v>
      </c>
      <c r="Q744" s="59">
        <v>15.314760850114606</v>
      </c>
      <c r="R744" s="78">
        <v>493.7947700236129</v>
      </c>
      <c r="S744" s="78">
        <v>15.364660540000283</v>
      </c>
      <c r="T744" s="78">
        <v>620.60076722975998</v>
      </c>
      <c r="U744" s="59">
        <v>15.380627363683836</v>
      </c>
      <c r="V744" s="78">
        <v>811.00831053671629</v>
      </c>
      <c r="X744" s="134">
        <f t="shared" si="72"/>
        <v>1530982.290241437</v>
      </c>
      <c r="Y744" s="134">
        <f t="shared" si="73"/>
        <v>1535845.4532327987</v>
      </c>
      <c r="Z744" s="134">
        <f t="shared" si="74"/>
        <v>1537251.7280578469</v>
      </c>
      <c r="AB744" s="127">
        <f t="shared" si="75"/>
        <v>0</v>
      </c>
      <c r="AC744" s="127">
        <f t="shared" si="76"/>
        <v>0</v>
      </c>
      <c r="AD744" s="127">
        <f t="shared" si="77"/>
        <v>1</v>
      </c>
    </row>
    <row r="745" spans="1:30" x14ac:dyDescent="0.25">
      <c r="A745">
        <v>740</v>
      </c>
      <c r="C745" s="11">
        <v>5.5059194564819336E-3</v>
      </c>
      <c r="D745" s="11">
        <v>4.5818239450454712E-3</v>
      </c>
      <c r="E745" s="11">
        <v>0.30251679597368453</v>
      </c>
      <c r="F745" s="11">
        <v>0.13785786803922351</v>
      </c>
      <c r="G745" s="11">
        <v>4.7893822193145752E-2</v>
      </c>
      <c r="H745" s="40">
        <v>6.2056253262006628E-4</v>
      </c>
      <c r="I745" s="40">
        <v>1.4673993280783337</v>
      </c>
      <c r="J745" s="59">
        <v>0</v>
      </c>
      <c r="K745" s="59">
        <v>4659.2135913670063</v>
      </c>
      <c r="L745" s="59">
        <v>0</v>
      </c>
      <c r="M745" s="11">
        <v>0.83640944957733154</v>
      </c>
      <c r="N745" s="11">
        <v>0.73265129327774048</v>
      </c>
      <c r="O745" s="11">
        <v>0.26631069183349609</v>
      </c>
      <c r="Q745" s="59">
        <v>14.608433381862724</v>
      </c>
      <c r="R745" s="78">
        <v>549.54150833084623</v>
      </c>
      <c r="S745" s="78">
        <v>14.666620391179647</v>
      </c>
      <c r="T745" s="78">
        <v>626.90061315312926</v>
      </c>
      <c r="U745" s="59">
        <v>14.680722198659918</v>
      </c>
      <c r="V745" s="78">
        <v>809.92145564280474</v>
      </c>
      <c r="X745" s="134">
        <f t="shared" si="72"/>
        <v>1460293.7966779417</v>
      </c>
      <c r="Y745" s="134">
        <f t="shared" si="73"/>
        <v>1466035.1385048116</v>
      </c>
      <c r="Z745" s="134">
        <f t="shared" si="74"/>
        <v>1467262.2984103488</v>
      </c>
      <c r="AB745" s="127">
        <f t="shared" si="75"/>
        <v>0</v>
      </c>
      <c r="AC745" s="127">
        <f t="shared" si="76"/>
        <v>0</v>
      </c>
      <c r="AD745" s="127">
        <f t="shared" si="77"/>
        <v>1</v>
      </c>
    </row>
    <row r="746" spans="1:30" x14ac:dyDescent="0.25">
      <c r="A746">
        <v>741</v>
      </c>
      <c r="C746" s="11">
        <v>1.3137966394424438E-2</v>
      </c>
      <c r="D746" s="11">
        <v>5.605846643447876E-3</v>
      </c>
      <c r="E746" s="11">
        <v>0.25991346651686881</v>
      </c>
      <c r="F746" s="11">
        <v>0.20798404094793019</v>
      </c>
      <c r="G746" s="11">
        <v>2.2170841693878174E-2</v>
      </c>
      <c r="H746" s="40">
        <v>2.6910579503231457E-4</v>
      </c>
      <c r="I746" s="40">
        <v>1.4550216230379336</v>
      </c>
      <c r="J746" s="59">
        <v>0</v>
      </c>
      <c r="K746" s="59">
        <v>4677.3976646363735</v>
      </c>
      <c r="L746" s="59">
        <v>0</v>
      </c>
      <c r="M746" s="11">
        <v>0.87446776032447815</v>
      </c>
      <c r="N746" s="11">
        <v>0.74243909120559692</v>
      </c>
      <c r="O746" s="11">
        <v>0.34580314159393311</v>
      </c>
      <c r="Q746" s="59">
        <v>15.205556906342499</v>
      </c>
      <c r="R746" s="78">
        <v>451.2940782117617</v>
      </c>
      <c r="S746" s="78">
        <v>15.233396569238145</v>
      </c>
      <c r="T746" s="78">
        <v>594.0133311184718</v>
      </c>
      <c r="U746" s="59">
        <v>15.235369511138094</v>
      </c>
      <c r="V746" s="78">
        <v>800.02063754095002</v>
      </c>
      <c r="X746" s="134">
        <f t="shared" si="72"/>
        <v>1520104.3965560382</v>
      </c>
      <c r="Y746" s="134">
        <f t="shared" si="73"/>
        <v>1522745.6435926959</v>
      </c>
      <c r="Z746" s="134">
        <f t="shared" si="74"/>
        <v>1522736.9304762685</v>
      </c>
      <c r="AB746" s="127">
        <f t="shared" si="75"/>
        <v>0</v>
      </c>
      <c r="AC746" s="127">
        <f t="shared" si="76"/>
        <v>1</v>
      </c>
      <c r="AD746" s="127">
        <f t="shared" si="77"/>
        <v>0</v>
      </c>
    </row>
    <row r="747" spans="1:30" x14ac:dyDescent="0.25">
      <c r="A747">
        <v>742</v>
      </c>
      <c r="C747" s="11">
        <v>1.7796248197555542E-2</v>
      </c>
      <c r="D747" s="11">
        <v>1.3551533222198486E-2</v>
      </c>
      <c r="E747" s="11">
        <v>0.16214584242899041</v>
      </c>
      <c r="F747" s="11">
        <v>0.15321194530846846</v>
      </c>
      <c r="G747" s="11">
        <v>2.4562478065490723E-2</v>
      </c>
      <c r="H747" s="40">
        <v>4.2883112915918011E-4</v>
      </c>
      <c r="I747" s="40">
        <v>1.5702087098636519</v>
      </c>
      <c r="J747" s="59">
        <v>0</v>
      </c>
      <c r="K747" s="59">
        <v>5287.3976528644562</v>
      </c>
      <c r="L747" s="59">
        <v>0</v>
      </c>
      <c r="M747" s="11">
        <v>0.84514802694320679</v>
      </c>
      <c r="N747" s="11">
        <v>0.77393478155136108</v>
      </c>
      <c r="O747" s="11">
        <v>0.26220059394836426</v>
      </c>
      <c r="Q747" s="59">
        <v>14.597236184811294</v>
      </c>
      <c r="R747" s="78">
        <v>537.94938681144299</v>
      </c>
      <c r="S747" s="78">
        <v>14.651778354979037</v>
      </c>
      <c r="T747" s="78">
        <v>602.85586809996369</v>
      </c>
      <c r="U747" s="59">
        <v>14.652375531287669</v>
      </c>
      <c r="V747" s="78">
        <v>810.54675934524028</v>
      </c>
      <c r="X747" s="134">
        <f t="shared" si="72"/>
        <v>1459185.6690943181</v>
      </c>
      <c r="Y747" s="134">
        <f t="shared" si="73"/>
        <v>1464574.9796298037</v>
      </c>
      <c r="Z747" s="134">
        <f t="shared" si="74"/>
        <v>1464427.0063694215</v>
      </c>
      <c r="AB747" s="127">
        <f t="shared" si="75"/>
        <v>0</v>
      </c>
      <c r="AC747" s="127">
        <f t="shared" si="76"/>
        <v>1</v>
      </c>
      <c r="AD747" s="127">
        <f t="shared" si="77"/>
        <v>0</v>
      </c>
    </row>
    <row r="748" spans="1:30" x14ac:dyDescent="0.25">
      <c r="A748">
        <v>743</v>
      </c>
      <c r="C748" s="11">
        <v>6.3734531402587891E-2</v>
      </c>
      <c r="D748" s="11">
        <v>2.7400344610214233E-2</v>
      </c>
      <c r="E748" s="11">
        <v>0.19509237089846562</v>
      </c>
      <c r="F748" s="11">
        <v>0.15257717161050466</v>
      </c>
      <c r="G748" s="11">
        <v>3.5742133855819702E-2</v>
      </c>
      <c r="H748" s="40">
        <v>4.0328095285841083E-4</v>
      </c>
      <c r="I748" s="40">
        <v>1.5210379034166592</v>
      </c>
      <c r="J748" s="59">
        <v>0</v>
      </c>
      <c r="K748" s="59">
        <v>3905.1240310072899</v>
      </c>
      <c r="L748" s="59">
        <v>0</v>
      </c>
      <c r="M748" s="11">
        <v>0.80666077136993408</v>
      </c>
      <c r="N748" s="11">
        <v>0.78170621395111084</v>
      </c>
      <c r="O748" s="11">
        <v>0.35082769393920898</v>
      </c>
      <c r="Q748" s="59">
        <v>13.303292722710919</v>
      </c>
      <c r="R748" s="78">
        <v>481.76497052464271</v>
      </c>
      <c r="S748" s="78">
        <v>13.333008402406904</v>
      </c>
      <c r="T748" s="78">
        <v>596.40587650073701</v>
      </c>
      <c r="U748" s="59">
        <v>13.334611487391733</v>
      </c>
      <c r="V748" s="78">
        <v>801.62463661746483</v>
      </c>
      <c r="X748" s="134">
        <f t="shared" si="72"/>
        <v>1329847.5073005673</v>
      </c>
      <c r="Y748" s="134">
        <f t="shared" si="73"/>
        <v>1332704.4343641896</v>
      </c>
      <c r="Z748" s="134">
        <f t="shared" si="74"/>
        <v>1332659.5241025558</v>
      </c>
      <c r="AB748" s="127">
        <f t="shared" si="75"/>
        <v>0</v>
      </c>
      <c r="AC748" s="127">
        <f t="shared" si="76"/>
        <v>1</v>
      </c>
      <c r="AD748" s="127">
        <f t="shared" si="77"/>
        <v>0</v>
      </c>
    </row>
    <row r="749" spans="1:30" x14ac:dyDescent="0.25">
      <c r="A749">
        <v>744</v>
      </c>
      <c r="C749" s="11">
        <v>1.4804944396018982E-2</v>
      </c>
      <c r="D749" s="11">
        <v>1.8933743238449097E-2</v>
      </c>
      <c r="E749" s="11">
        <v>0.24039276619567498</v>
      </c>
      <c r="F749" s="11">
        <v>0.24114354802881793</v>
      </c>
      <c r="G749" s="11">
        <v>2.3577660322189331E-2</v>
      </c>
      <c r="H749" s="40">
        <v>5.2317771025346324E-4</v>
      </c>
      <c r="I749" s="40">
        <v>1.5290139795571833</v>
      </c>
      <c r="J749" s="59">
        <v>0</v>
      </c>
      <c r="K749" s="59">
        <v>7571.1030513048172</v>
      </c>
      <c r="L749" s="59">
        <v>0</v>
      </c>
      <c r="M749" s="11">
        <v>0.731719970703125</v>
      </c>
      <c r="N749" s="11">
        <v>0.76793414354324341</v>
      </c>
      <c r="O749" s="11">
        <v>0.31399589776992798</v>
      </c>
      <c r="Q749" s="59">
        <v>12.717393878454818</v>
      </c>
      <c r="R749" s="78">
        <v>615.55926952683524</v>
      </c>
      <c r="S749" s="78">
        <v>12.729457945844375</v>
      </c>
      <c r="T749" s="78">
        <v>633.38470838290277</v>
      </c>
      <c r="U749" s="59">
        <v>12.729445631886195</v>
      </c>
      <c r="V749" s="78">
        <v>842.55342381940204</v>
      </c>
      <c r="X749" s="134">
        <f t="shared" si="72"/>
        <v>1271123.828575955</v>
      </c>
      <c r="Y749" s="134">
        <f t="shared" si="73"/>
        <v>1272312.4098760546</v>
      </c>
      <c r="Z749" s="134">
        <f t="shared" si="74"/>
        <v>1272102.0097648001</v>
      </c>
      <c r="AB749" s="127">
        <f t="shared" si="75"/>
        <v>0</v>
      </c>
      <c r="AC749" s="127">
        <f t="shared" si="76"/>
        <v>1</v>
      </c>
      <c r="AD749" s="127">
        <f t="shared" si="77"/>
        <v>0</v>
      </c>
    </row>
    <row r="750" spans="1:30" x14ac:dyDescent="0.25">
      <c r="A750">
        <v>745</v>
      </c>
      <c r="C750" s="11">
        <v>1.8510475754737854E-2</v>
      </c>
      <c r="D750" s="11">
        <v>4.4364213943481445E-2</v>
      </c>
      <c r="E750" s="11">
        <v>0.36402802227975573</v>
      </c>
      <c r="F750" s="11">
        <v>5.5528553993617162E-2</v>
      </c>
      <c r="G750" s="11">
        <v>1.541447639465332E-2</v>
      </c>
      <c r="H750" s="40">
        <v>3.7857336283040694E-4</v>
      </c>
      <c r="I750" s="40">
        <v>1.3977390112283565</v>
      </c>
      <c r="J750" s="59">
        <v>0</v>
      </c>
      <c r="K750" s="59">
        <v>5080.0107419490814</v>
      </c>
      <c r="L750" s="59">
        <v>0</v>
      </c>
      <c r="M750" s="11">
        <v>0.85716909170150757</v>
      </c>
      <c r="N750" s="11">
        <v>0.7233281135559082</v>
      </c>
      <c r="O750" s="11">
        <v>0.27785605192184448</v>
      </c>
      <c r="Q750" s="59">
        <v>14.807908940009183</v>
      </c>
      <c r="R750" s="78">
        <v>464.15703704754839</v>
      </c>
      <c r="S750" s="78">
        <v>14.84112485841742</v>
      </c>
      <c r="T750" s="78">
        <v>604.74744157992734</v>
      </c>
      <c r="U750" s="59">
        <v>14.85745684791314</v>
      </c>
      <c r="V750" s="78">
        <v>791.94307895146187</v>
      </c>
      <c r="X750" s="134">
        <f t="shared" si="72"/>
        <v>1480326.7369638709</v>
      </c>
      <c r="Y750" s="134">
        <f t="shared" si="73"/>
        <v>1483507.7384001622</v>
      </c>
      <c r="Z750" s="134">
        <f t="shared" si="74"/>
        <v>1484953.7417123625</v>
      </c>
      <c r="AB750" s="127">
        <f t="shared" si="75"/>
        <v>0</v>
      </c>
      <c r="AC750" s="127">
        <f t="shared" si="76"/>
        <v>0</v>
      </c>
      <c r="AD750" s="127">
        <f t="shared" si="77"/>
        <v>1</v>
      </c>
    </row>
    <row r="751" spans="1:30" x14ac:dyDescent="0.25">
      <c r="A751">
        <v>746</v>
      </c>
      <c r="C751" s="11">
        <v>7.0143938064575195E-3</v>
      </c>
      <c r="D751" s="11">
        <v>1.8095985054969788E-2</v>
      </c>
      <c r="E751" s="11">
        <v>0.25081201264496827</v>
      </c>
      <c r="F751" s="11">
        <v>0.166066345572454</v>
      </c>
      <c r="G751" s="11">
        <v>9.0485811233520508E-3</v>
      </c>
      <c r="H751" s="40">
        <v>4.6136914304736794E-4</v>
      </c>
      <c r="I751" s="40">
        <v>1.5341806136698992</v>
      </c>
      <c r="J751" s="59">
        <v>0</v>
      </c>
      <c r="K751" s="59">
        <v>5841.5741659700871</v>
      </c>
      <c r="L751" s="59">
        <v>0</v>
      </c>
      <c r="M751" s="11">
        <v>0.85600042343139648</v>
      </c>
      <c r="N751" s="11">
        <v>0.75059229135513306</v>
      </c>
      <c r="O751" s="11">
        <v>0.27964437007904053</v>
      </c>
      <c r="Q751" s="59">
        <v>14.938861073286031</v>
      </c>
      <c r="R751" s="78">
        <v>535.76795057347363</v>
      </c>
      <c r="S751" s="78">
        <v>14.99472092381296</v>
      </c>
      <c r="T751" s="78">
        <v>615.23466958003212</v>
      </c>
      <c r="U751" s="59">
        <v>15.001194064060721</v>
      </c>
      <c r="V751" s="78">
        <v>812.04326621960786</v>
      </c>
      <c r="X751" s="134">
        <f t="shared" si="72"/>
        <v>1493350.3393780296</v>
      </c>
      <c r="Y751" s="134">
        <f t="shared" si="73"/>
        <v>1498856.8577117159</v>
      </c>
      <c r="Z751" s="134">
        <f t="shared" si="74"/>
        <v>1499307.3631398526</v>
      </c>
      <c r="AB751" s="127">
        <f t="shared" si="75"/>
        <v>0</v>
      </c>
      <c r="AC751" s="127">
        <f t="shared" si="76"/>
        <v>0</v>
      </c>
      <c r="AD751" s="127">
        <f t="shared" si="77"/>
        <v>1</v>
      </c>
    </row>
    <row r="752" spans="1:30" x14ac:dyDescent="0.25">
      <c r="A752">
        <v>747</v>
      </c>
      <c r="C752" s="11">
        <v>3.4610927104949951E-3</v>
      </c>
      <c r="D752" s="11">
        <v>2.3687392473220825E-2</v>
      </c>
      <c r="E752" s="11">
        <v>0.18276649158582728</v>
      </c>
      <c r="F752" s="11">
        <v>0.35519237190665615</v>
      </c>
      <c r="G752" s="11">
        <v>2.2135764360427856E-2</v>
      </c>
      <c r="H752" s="40">
        <v>3.6212411453884815E-4</v>
      </c>
      <c r="I752" s="40">
        <v>1.5109592329077191</v>
      </c>
      <c r="J752" s="59">
        <v>0</v>
      </c>
      <c r="K752" s="59">
        <v>6438.2888376712799</v>
      </c>
      <c r="L752" s="59">
        <v>0</v>
      </c>
      <c r="M752" s="11">
        <v>0.83836281299591064</v>
      </c>
      <c r="N752" s="11">
        <v>0.71280503273010254</v>
      </c>
      <c r="O752" s="11">
        <v>0.29559069871902466</v>
      </c>
      <c r="Q752" s="59">
        <v>14.693780613355692</v>
      </c>
      <c r="R752" s="78">
        <v>519.1367936980472</v>
      </c>
      <c r="S752" s="78">
        <v>14.745439961760082</v>
      </c>
      <c r="T752" s="78">
        <v>602.20947613212991</v>
      </c>
      <c r="U752" s="59">
        <v>14.734395380999855</v>
      </c>
      <c r="V752" s="78">
        <v>832.96542075606635</v>
      </c>
      <c r="X752" s="134">
        <f t="shared" si="72"/>
        <v>1468858.9245418713</v>
      </c>
      <c r="Y752" s="134">
        <f t="shared" si="73"/>
        <v>1473941.786699876</v>
      </c>
      <c r="Z752" s="134">
        <f t="shared" si="74"/>
        <v>1472606.5726792295</v>
      </c>
      <c r="AB752" s="127">
        <f t="shared" si="75"/>
        <v>0</v>
      </c>
      <c r="AC752" s="127">
        <f t="shared" si="76"/>
        <v>1</v>
      </c>
      <c r="AD752" s="127">
        <f t="shared" si="77"/>
        <v>0</v>
      </c>
    </row>
    <row r="753" spans="1:30" x14ac:dyDescent="0.25">
      <c r="A753">
        <v>748</v>
      </c>
      <c r="C753" s="11">
        <v>2.6540637016296387E-2</v>
      </c>
      <c r="D753" s="11">
        <v>4.1086912155151367E-2</v>
      </c>
      <c r="E753" s="11">
        <v>0.29122895312335456</v>
      </c>
      <c r="F753" s="11">
        <v>0.10198329637524113</v>
      </c>
      <c r="G753" s="11">
        <v>3.7386924028396606E-2</v>
      </c>
      <c r="H753" s="40">
        <v>4.5040583591948415E-4</v>
      </c>
      <c r="I753" s="40">
        <v>1.4048726854156082</v>
      </c>
      <c r="J753" s="59">
        <v>0</v>
      </c>
      <c r="K753" s="59">
        <v>5946.3595971465111</v>
      </c>
      <c r="L753" s="59">
        <v>0</v>
      </c>
      <c r="M753" s="11">
        <v>0.82395416498184204</v>
      </c>
      <c r="N753" s="11">
        <v>0.81644821166992188</v>
      </c>
      <c r="O753" s="11">
        <v>0.31513971090316772</v>
      </c>
      <c r="Q753" s="59">
        <v>14.13553766368317</v>
      </c>
      <c r="R753" s="78">
        <v>505.45382562756345</v>
      </c>
      <c r="S753" s="78">
        <v>14.158214621170778</v>
      </c>
      <c r="T753" s="78">
        <v>611.80975697135921</v>
      </c>
      <c r="U753" s="59">
        <v>14.164371024777441</v>
      </c>
      <c r="V753" s="78">
        <v>799.52265361019795</v>
      </c>
      <c r="X753" s="134">
        <f t="shared" si="72"/>
        <v>1413048.3125426895</v>
      </c>
      <c r="Y753" s="134">
        <f t="shared" si="73"/>
        <v>1415209.6523601064</v>
      </c>
      <c r="Z753" s="134">
        <f t="shared" si="74"/>
        <v>1415637.579824134</v>
      </c>
      <c r="AB753" s="127">
        <f t="shared" si="75"/>
        <v>0</v>
      </c>
      <c r="AC753" s="127">
        <f t="shared" si="76"/>
        <v>0</v>
      </c>
      <c r="AD753" s="127">
        <f t="shared" si="77"/>
        <v>1</v>
      </c>
    </row>
    <row r="754" spans="1:30" x14ac:dyDescent="0.25">
      <c r="A754">
        <v>749</v>
      </c>
      <c r="C754" s="11">
        <v>6.9062262773513794E-3</v>
      </c>
      <c r="D754" s="11">
        <v>4.6168923377990723E-2</v>
      </c>
      <c r="E754" s="11">
        <v>0.27928452519000507</v>
      </c>
      <c r="F754" s="11">
        <v>8.9221899705255903E-2</v>
      </c>
      <c r="G754" s="11">
        <v>2.2402554750442505E-2</v>
      </c>
      <c r="H754" s="40">
        <v>5.3483540846462584E-4</v>
      </c>
      <c r="I754" s="40">
        <v>1.3973530147056934</v>
      </c>
      <c r="J754" s="59">
        <v>0</v>
      </c>
      <c r="K754" s="59">
        <v>4192.6675476133823</v>
      </c>
      <c r="L754" s="59">
        <v>0</v>
      </c>
      <c r="M754" s="11">
        <v>0.84218347072601318</v>
      </c>
      <c r="N754" s="11">
        <v>0.7463982105255127</v>
      </c>
      <c r="O754" s="11">
        <v>0.30294674634933472</v>
      </c>
      <c r="Q754" s="59">
        <v>14.709728422584181</v>
      </c>
      <c r="R754" s="78">
        <v>479.64441190754792</v>
      </c>
      <c r="S754" s="78">
        <v>14.755238709859137</v>
      </c>
      <c r="T754" s="78">
        <v>603.22847039198757</v>
      </c>
      <c r="U754" s="59">
        <v>14.767464457652116</v>
      </c>
      <c r="V754" s="78">
        <v>795.76661918632965</v>
      </c>
      <c r="X754" s="134">
        <f t="shared" si="72"/>
        <v>1470493.1978465107</v>
      </c>
      <c r="Y754" s="134">
        <f t="shared" si="73"/>
        <v>1474920.6425155217</v>
      </c>
      <c r="Z754" s="134">
        <f t="shared" si="74"/>
        <v>1475950.6791460251</v>
      </c>
      <c r="AB754" s="127">
        <f t="shared" si="75"/>
        <v>0</v>
      </c>
      <c r="AC754" s="127">
        <f t="shared" si="76"/>
        <v>0</v>
      </c>
      <c r="AD754" s="127">
        <f t="shared" si="77"/>
        <v>1</v>
      </c>
    </row>
    <row r="755" spans="1:30" x14ac:dyDescent="0.25">
      <c r="A755">
        <v>750</v>
      </c>
      <c r="C755" s="11">
        <v>4.5532584190368652E-3</v>
      </c>
      <c r="D755" s="11">
        <v>1.4362141489982605E-2</v>
      </c>
      <c r="E755" s="11">
        <v>0.30018050118551565</v>
      </c>
      <c r="F755" s="11">
        <v>0.2597466319147404</v>
      </c>
      <c r="G755" s="11">
        <v>7.5855374336242676E-2</v>
      </c>
      <c r="H755" s="40">
        <v>4.5803668446230882E-4</v>
      </c>
      <c r="I755" s="40">
        <v>1.4578341385821365</v>
      </c>
      <c r="J755" s="59">
        <v>0</v>
      </c>
      <c r="K755" s="59">
        <v>6108.0371960997581</v>
      </c>
      <c r="L755" s="59">
        <v>0</v>
      </c>
      <c r="M755" s="11">
        <v>0.7829737663269043</v>
      </c>
      <c r="N755" s="11">
        <v>0.69882798194885254</v>
      </c>
      <c r="O755" s="11">
        <v>0.34849715232849121</v>
      </c>
      <c r="Q755" s="59">
        <v>13.712563060558088</v>
      </c>
      <c r="R755" s="78">
        <v>560.44304103964521</v>
      </c>
      <c r="S755" s="78">
        <v>13.750514572839242</v>
      </c>
      <c r="T755" s="78">
        <v>629.59409543971958</v>
      </c>
      <c r="U755" s="59">
        <v>13.752742284657035</v>
      </c>
      <c r="V755" s="78">
        <v>831.81109704115477</v>
      </c>
      <c r="X755" s="134">
        <f t="shared" si="72"/>
        <v>1370695.863014769</v>
      </c>
      <c r="Y755" s="134">
        <f t="shared" si="73"/>
        <v>1374421.8631884845</v>
      </c>
      <c r="Z755" s="134">
        <f t="shared" si="74"/>
        <v>1374442.4173686623</v>
      </c>
      <c r="AB755" s="127">
        <f t="shared" si="75"/>
        <v>0</v>
      </c>
      <c r="AC755" s="127">
        <f t="shared" si="76"/>
        <v>0</v>
      </c>
      <c r="AD755" s="127">
        <f t="shared" si="77"/>
        <v>1</v>
      </c>
    </row>
    <row r="756" spans="1:30" x14ac:dyDescent="0.25">
      <c r="A756">
        <v>751</v>
      </c>
      <c r="C756" s="11">
        <v>2.3955971002578735E-2</v>
      </c>
      <c r="D756" s="11">
        <v>1.6349643468856812E-2</v>
      </c>
      <c r="E756" s="11">
        <v>0.37667365232792932</v>
      </c>
      <c r="F756" s="11">
        <v>7.3815629871952185E-2</v>
      </c>
      <c r="G756" s="11">
        <v>5.2706211805343628E-2</v>
      </c>
      <c r="H756" s="40">
        <v>3.4994291806312585E-4</v>
      </c>
      <c r="I756" s="40">
        <v>1.5827240639322018</v>
      </c>
      <c r="J756" s="59">
        <v>0</v>
      </c>
      <c r="K756" s="59">
        <v>8581.1875760555267</v>
      </c>
      <c r="L756" s="59">
        <v>0</v>
      </c>
      <c r="M756" s="11">
        <v>0.82884198427200317</v>
      </c>
      <c r="N756" s="11">
        <v>0.72675603628158569</v>
      </c>
      <c r="O756" s="11">
        <v>0.31502395868301392</v>
      </c>
      <c r="Q756" s="59">
        <v>14.221875443110811</v>
      </c>
      <c r="R756" s="78">
        <v>621.49341013684386</v>
      </c>
      <c r="S756" s="78">
        <v>14.263674346698332</v>
      </c>
      <c r="T756" s="78">
        <v>665.85132062487583</v>
      </c>
      <c r="U756" s="59">
        <v>14.284472976906114</v>
      </c>
      <c r="V756" s="78">
        <v>805.13266386873738</v>
      </c>
      <c r="X756" s="134">
        <f t="shared" si="72"/>
        <v>1421566.0509009443</v>
      </c>
      <c r="Y756" s="134">
        <f t="shared" si="73"/>
        <v>1425701.5833492083</v>
      </c>
      <c r="Z756" s="134">
        <f t="shared" si="74"/>
        <v>1427642.1650267425</v>
      </c>
      <c r="AB756" s="127">
        <f t="shared" si="75"/>
        <v>0</v>
      </c>
      <c r="AC756" s="127">
        <f t="shared" si="76"/>
        <v>0</v>
      </c>
      <c r="AD756" s="127">
        <f t="shared" si="77"/>
        <v>1</v>
      </c>
    </row>
    <row r="757" spans="1:30" x14ac:dyDescent="0.25">
      <c r="A757">
        <v>752</v>
      </c>
      <c r="C757" s="11">
        <v>4.9893409013748169E-3</v>
      </c>
      <c r="D757" s="11">
        <v>4.7596216201782227E-2</v>
      </c>
      <c r="E757" s="11">
        <v>0.40050332300541674</v>
      </c>
      <c r="F757" s="11">
        <v>0.27280706753300993</v>
      </c>
      <c r="G757" s="11">
        <v>4.8327207565307617E-2</v>
      </c>
      <c r="H757" s="40">
        <v>5.577117109625175E-4</v>
      </c>
      <c r="I757" s="40">
        <v>1.4005124206461386</v>
      </c>
      <c r="J757" s="59">
        <v>0</v>
      </c>
      <c r="K757" s="59">
        <v>4657.6815657317638</v>
      </c>
      <c r="L757" s="59">
        <v>0</v>
      </c>
      <c r="M757" s="11">
        <v>0.80387198925018311</v>
      </c>
      <c r="N757" s="11">
        <v>0.72278136014938354</v>
      </c>
      <c r="O757" s="11">
        <v>0.26064467430114746</v>
      </c>
      <c r="Q757" s="59">
        <v>14.060759778452162</v>
      </c>
      <c r="R757" s="78">
        <v>508.44489277944149</v>
      </c>
      <c r="S757" s="78">
        <v>14.100969062224221</v>
      </c>
      <c r="T757" s="78">
        <v>625.34086880769246</v>
      </c>
      <c r="U757" s="59">
        <v>14.109667406230441</v>
      </c>
      <c r="V757" s="78">
        <v>819.63979230232951</v>
      </c>
      <c r="X757" s="134">
        <f t="shared" si="72"/>
        <v>1405567.5329524367</v>
      </c>
      <c r="Y757" s="134">
        <f t="shared" si="73"/>
        <v>1409471.5653536145</v>
      </c>
      <c r="Z757" s="134">
        <f t="shared" si="74"/>
        <v>1410147.1008307417</v>
      </c>
      <c r="AB757" s="127">
        <f t="shared" si="75"/>
        <v>0</v>
      </c>
      <c r="AC757" s="127">
        <f t="shared" si="76"/>
        <v>0</v>
      </c>
      <c r="AD757" s="127">
        <f t="shared" si="77"/>
        <v>1</v>
      </c>
    </row>
    <row r="758" spans="1:30" x14ac:dyDescent="0.25">
      <c r="A758">
        <v>753</v>
      </c>
      <c r="C758" s="11">
        <v>1.1910185217857361E-2</v>
      </c>
      <c r="D758" s="11">
        <v>1.0817006230354309E-2</v>
      </c>
      <c r="E758" s="11">
        <v>0.31076166483197043</v>
      </c>
      <c r="F758" s="11">
        <v>0.35213493074625701</v>
      </c>
      <c r="G758" s="11">
        <v>4.0595352649688721E-2</v>
      </c>
      <c r="H758" s="40">
        <v>3.5845276938776432E-4</v>
      </c>
      <c r="I758" s="40">
        <v>1.4468490036576604</v>
      </c>
      <c r="J758" s="59">
        <v>0</v>
      </c>
      <c r="K758" s="59">
        <v>3212.345764040947</v>
      </c>
      <c r="L758" s="59">
        <v>0</v>
      </c>
      <c r="M758" s="11">
        <v>0.83850610256195068</v>
      </c>
      <c r="N758" s="11">
        <v>0.70639002323150635</v>
      </c>
      <c r="O758" s="11">
        <v>0.26193714141845703</v>
      </c>
      <c r="Q758" s="59">
        <v>14.581130787787103</v>
      </c>
      <c r="R758" s="78">
        <v>450.43227944676346</v>
      </c>
      <c r="S758" s="78">
        <v>14.61780832508137</v>
      </c>
      <c r="T758" s="78">
        <v>596.70626201316054</v>
      </c>
      <c r="U758" s="59">
        <v>14.615583455505877</v>
      </c>
      <c r="V758" s="78">
        <v>808.05197500620636</v>
      </c>
      <c r="X758" s="134">
        <f t="shared" si="72"/>
        <v>1457662.6464992634</v>
      </c>
      <c r="Y758" s="134">
        <f t="shared" si="73"/>
        <v>1461184.1262461238</v>
      </c>
      <c r="Z758" s="134">
        <f t="shared" si="74"/>
        <v>1460750.2935755814</v>
      </c>
      <c r="AB758" s="127">
        <f t="shared" si="75"/>
        <v>0</v>
      </c>
      <c r="AC758" s="127">
        <f t="shared" si="76"/>
        <v>1</v>
      </c>
      <c r="AD758" s="127">
        <f t="shared" si="77"/>
        <v>0</v>
      </c>
    </row>
    <row r="759" spans="1:30" x14ac:dyDescent="0.25">
      <c r="A759">
        <v>754</v>
      </c>
      <c r="C759" s="11">
        <v>2.7799427509307861E-2</v>
      </c>
      <c r="D759" s="11">
        <v>2.0534485578536987E-2</v>
      </c>
      <c r="E759" s="11">
        <v>0.17161764477920027</v>
      </c>
      <c r="F759" s="11">
        <v>0.17579208329288351</v>
      </c>
      <c r="G759" s="11">
        <v>4.2950898408889771E-2</v>
      </c>
      <c r="H759" s="40">
        <v>4.7212773438520025E-4</v>
      </c>
      <c r="I759" s="40">
        <v>1.4999257167289046</v>
      </c>
      <c r="J759" s="59">
        <v>0</v>
      </c>
      <c r="K759" s="59">
        <v>8424.222469329834</v>
      </c>
      <c r="L759" s="59">
        <v>0</v>
      </c>
      <c r="M759" s="11">
        <v>0.81283831596374512</v>
      </c>
      <c r="N759" s="11">
        <v>0.6721343994140625</v>
      </c>
      <c r="O759" s="11">
        <v>0.30441027879714966</v>
      </c>
      <c r="Q759" s="59">
        <v>13.875113286591574</v>
      </c>
      <c r="R759" s="78">
        <v>618.31686514972682</v>
      </c>
      <c r="S759" s="78">
        <v>13.943885242757874</v>
      </c>
      <c r="T759" s="78">
        <v>618.20481082193521</v>
      </c>
      <c r="U759" s="59">
        <v>13.943531375088014</v>
      </c>
      <c r="V759" s="78">
        <v>828.1547131066211</v>
      </c>
      <c r="X759" s="134">
        <f t="shared" si="72"/>
        <v>1386893.0117940078</v>
      </c>
      <c r="Y759" s="134">
        <f t="shared" si="73"/>
        <v>1393770.3194649655</v>
      </c>
      <c r="Z759" s="134">
        <f t="shared" si="74"/>
        <v>1393524.9827956948</v>
      </c>
      <c r="AB759" s="127">
        <f t="shared" si="75"/>
        <v>0</v>
      </c>
      <c r="AC759" s="127">
        <f t="shared" si="76"/>
        <v>1</v>
      </c>
      <c r="AD759" s="127">
        <f t="shared" si="77"/>
        <v>0</v>
      </c>
    </row>
    <row r="760" spans="1:30" x14ac:dyDescent="0.25">
      <c r="A760">
        <v>755</v>
      </c>
      <c r="C760" s="11">
        <v>4.5638382434844971E-3</v>
      </c>
      <c r="D760" s="11">
        <v>3.3095479011535645E-2</v>
      </c>
      <c r="E760" s="11">
        <v>0.2278341845301787</v>
      </c>
      <c r="F760" s="11">
        <v>0.17239718682183985</v>
      </c>
      <c r="G760" s="11">
        <v>3.3916682004928589E-2</v>
      </c>
      <c r="H760" s="40">
        <v>4.6555607405053599E-4</v>
      </c>
      <c r="I760" s="40">
        <v>1.4324955527229213</v>
      </c>
      <c r="J760" s="59">
        <v>0</v>
      </c>
      <c r="K760" s="59">
        <v>5859.29024964571</v>
      </c>
      <c r="L760" s="59">
        <v>0</v>
      </c>
      <c r="M760" s="11">
        <v>0.85892456769943237</v>
      </c>
      <c r="N760" s="11">
        <v>0.78642439842224121</v>
      </c>
      <c r="O760" s="11">
        <v>0.32587683200836182</v>
      </c>
      <c r="Q760" s="59">
        <v>15.048923520966051</v>
      </c>
      <c r="R760" s="78">
        <v>517.63179192225516</v>
      </c>
      <c r="S760" s="78">
        <v>15.090054953918083</v>
      </c>
      <c r="T760" s="78">
        <v>607.54697901124132</v>
      </c>
      <c r="U760" s="59">
        <v>15.093057884263592</v>
      </c>
      <c r="V760" s="78">
        <v>809.62176750466199</v>
      </c>
      <c r="X760" s="134">
        <f t="shared" si="72"/>
        <v>1504374.7203046829</v>
      </c>
      <c r="Y760" s="134">
        <f t="shared" si="73"/>
        <v>1508397.9484127969</v>
      </c>
      <c r="Z760" s="134">
        <f t="shared" si="74"/>
        <v>1508496.1666588546</v>
      </c>
      <c r="AB760" s="127">
        <f t="shared" si="75"/>
        <v>0</v>
      </c>
      <c r="AC760" s="127">
        <f t="shared" si="76"/>
        <v>0</v>
      </c>
      <c r="AD760" s="127">
        <f t="shared" si="77"/>
        <v>1</v>
      </c>
    </row>
    <row r="761" spans="1:30" x14ac:dyDescent="0.25">
      <c r="A761">
        <v>756</v>
      </c>
      <c r="C761" s="11">
        <v>1.7590954899787903E-2</v>
      </c>
      <c r="D761" s="11">
        <v>6.1224400997161865E-3</v>
      </c>
      <c r="E761" s="11">
        <v>0.38641328548345921</v>
      </c>
      <c r="F761" s="11">
        <v>0.25898038216430586</v>
      </c>
      <c r="G761" s="11">
        <v>2.7570128440856934E-2</v>
      </c>
      <c r="H761" s="40">
        <v>3.3674935512235027E-4</v>
      </c>
      <c r="I761" s="40">
        <v>1.5395168434872089</v>
      </c>
      <c r="J761" s="59">
        <v>0</v>
      </c>
      <c r="K761" s="59">
        <v>4323.2785537838936</v>
      </c>
      <c r="L761" s="59">
        <v>0</v>
      </c>
      <c r="M761" s="11">
        <v>0.90686225891113281</v>
      </c>
      <c r="N761" s="11">
        <v>0.8584136962890625</v>
      </c>
      <c r="O761" s="11">
        <v>0.30342561006546021</v>
      </c>
      <c r="Q761" s="59">
        <v>15.696661580025035</v>
      </c>
      <c r="R761" s="78">
        <v>480.64024397265928</v>
      </c>
      <c r="S761" s="78">
        <v>15.720983125041551</v>
      </c>
      <c r="T761" s="78">
        <v>612.85757594491133</v>
      </c>
      <c r="U761" s="59">
        <v>15.726120074811568</v>
      </c>
      <c r="V761" s="78">
        <v>810.74527682218854</v>
      </c>
      <c r="X761" s="134">
        <f t="shared" si="72"/>
        <v>1569185.5177585308</v>
      </c>
      <c r="Y761" s="134">
        <f t="shared" si="73"/>
        <v>1571485.4549282102</v>
      </c>
      <c r="Z761" s="134">
        <f t="shared" si="74"/>
        <v>1571801.2622043346</v>
      </c>
      <c r="AB761" s="127">
        <f t="shared" si="75"/>
        <v>0</v>
      </c>
      <c r="AC761" s="127">
        <f t="shared" si="76"/>
        <v>0</v>
      </c>
      <c r="AD761" s="127">
        <f t="shared" si="77"/>
        <v>1</v>
      </c>
    </row>
    <row r="762" spans="1:30" x14ac:dyDescent="0.25">
      <c r="A762">
        <v>757</v>
      </c>
      <c r="C762" s="11">
        <v>8.9731067419052124E-3</v>
      </c>
      <c r="D762" s="11">
        <v>1.7453953623771667E-2</v>
      </c>
      <c r="E762" s="11">
        <v>0.20025874036585828</v>
      </c>
      <c r="F762" s="11">
        <v>0.13229406809002978</v>
      </c>
      <c r="G762" s="11">
        <v>1.7694413661956787E-2</v>
      </c>
      <c r="H762" s="40">
        <v>4.2809038417282967E-4</v>
      </c>
      <c r="I762" s="40">
        <v>1.4591478969784974</v>
      </c>
      <c r="J762" s="59">
        <v>0</v>
      </c>
      <c r="K762" s="59">
        <v>7803.5145998001099</v>
      </c>
      <c r="L762" s="59">
        <v>0</v>
      </c>
      <c r="M762" s="11">
        <v>0.87323230504989624</v>
      </c>
      <c r="N762" s="11">
        <v>0.68643069267272949</v>
      </c>
      <c r="O762" s="11">
        <v>0.34803962707519531</v>
      </c>
      <c r="Q762" s="59">
        <v>15.207110367722915</v>
      </c>
      <c r="R762" s="78">
        <v>543.24672947458748</v>
      </c>
      <c r="S762" s="78">
        <v>15.269951921102429</v>
      </c>
      <c r="T762" s="78">
        <v>609.31694661363133</v>
      </c>
      <c r="U762" s="59">
        <v>15.275384724075098</v>
      </c>
      <c r="V762" s="78">
        <v>808.05228096755889</v>
      </c>
      <c r="X762" s="134">
        <f t="shared" si="72"/>
        <v>1520167.7900428171</v>
      </c>
      <c r="Y762" s="134">
        <f t="shared" si="73"/>
        <v>1526385.8751636292</v>
      </c>
      <c r="Z762" s="134">
        <f t="shared" si="74"/>
        <v>1526730.4201265422</v>
      </c>
      <c r="AB762" s="127">
        <f t="shared" si="75"/>
        <v>0</v>
      </c>
      <c r="AC762" s="127">
        <f t="shared" si="76"/>
        <v>0</v>
      </c>
      <c r="AD762" s="127">
        <f t="shared" si="77"/>
        <v>1</v>
      </c>
    </row>
    <row r="763" spans="1:30" x14ac:dyDescent="0.25">
      <c r="A763">
        <v>758</v>
      </c>
      <c r="C763" s="11">
        <v>2.9415667057037354E-2</v>
      </c>
      <c r="D763" s="11">
        <v>2.6922672986984253E-2</v>
      </c>
      <c r="E763" s="11">
        <v>0.3695711673656466</v>
      </c>
      <c r="F763" s="11">
        <v>0.13936180658050062</v>
      </c>
      <c r="G763" s="11">
        <v>7.9088687896728516E-2</v>
      </c>
      <c r="H763" s="40">
        <v>3.425307955589557E-4</v>
      </c>
      <c r="I763" s="40">
        <v>1.5219591300739705</v>
      </c>
      <c r="J763" s="59">
        <v>0</v>
      </c>
      <c r="K763" s="59">
        <v>6917.5520911812782</v>
      </c>
      <c r="L763" s="59">
        <v>0</v>
      </c>
      <c r="M763" s="11">
        <v>0.83665239810943604</v>
      </c>
      <c r="N763" s="11">
        <v>0.71619784832000732</v>
      </c>
      <c r="O763" s="11">
        <v>0.27354013919830322</v>
      </c>
      <c r="Q763" s="59">
        <v>14.274794768762293</v>
      </c>
      <c r="R763" s="78">
        <v>560.97203358409013</v>
      </c>
      <c r="S763" s="78">
        <v>14.317826422769727</v>
      </c>
      <c r="T763" s="78">
        <v>641.36430245419615</v>
      </c>
      <c r="U763" s="59">
        <v>14.333812390462647</v>
      </c>
      <c r="V763" s="78">
        <v>811.60861913009637</v>
      </c>
      <c r="X763" s="134">
        <f t="shared" si="72"/>
        <v>1426918.5048426453</v>
      </c>
      <c r="Y763" s="134">
        <f t="shared" si="73"/>
        <v>1431141.2779745185</v>
      </c>
      <c r="Z763" s="134">
        <f t="shared" si="74"/>
        <v>1432569.6304271347</v>
      </c>
      <c r="AB763" s="127">
        <f t="shared" si="75"/>
        <v>0</v>
      </c>
      <c r="AC763" s="127">
        <f t="shared" si="76"/>
        <v>0</v>
      </c>
      <c r="AD763" s="127">
        <f t="shared" si="77"/>
        <v>1</v>
      </c>
    </row>
    <row r="764" spans="1:30" x14ac:dyDescent="0.25">
      <c r="A764">
        <v>759</v>
      </c>
      <c r="C764" s="11">
        <v>1.9482001662254333E-2</v>
      </c>
      <c r="D764" s="11">
        <v>1.4056414365768433E-2</v>
      </c>
      <c r="E764" s="11">
        <v>0.20303361009785958</v>
      </c>
      <c r="F764" s="11">
        <v>0.13792229137551573</v>
      </c>
      <c r="G764" s="11">
        <v>4.5384407043457031E-2</v>
      </c>
      <c r="H764" s="40">
        <v>4.426936255852768E-4</v>
      </c>
      <c r="I764" s="40">
        <v>1.526423110438432</v>
      </c>
      <c r="J764" s="59">
        <v>0</v>
      </c>
      <c r="K764" s="59">
        <v>3628.7447437644005</v>
      </c>
      <c r="L764" s="59">
        <v>0</v>
      </c>
      <c r="M764" s="11">
        <v>0.91235733032226563</v>
      </c>
      <c r="N764" s="11">
        <v>0.71531116962432861</v>
      </c>
      <c r="O764" s="11">
        <v>0.32993090152740479</v>
      </c>
      <c r="Q764" s="59">
        <v>15.693317695310647</v>
      </c>
      <c r="R764" s="78">
        <v>494.08382534381866</v>
      </c>
      <c r="S764" s="78">
        <v>15.779103680901265</v>
      </c>
      <c r="T764" s="78">
        <v>599.68916822254278</v>
      </c>
      <c r="U764" s="59">
        <v>15.786270532923325</v>
      </c>
      <c r="V764" s="78">
        <v>802.07516047008892</v>
      </c>
      <c r="X764" s="134">
        <f t="shared" si="72"/>
        <v>1568837.6857057209</v>
      </c>
      <c r="Y764" s="134">
        <f t="shared" si="73"/>
        <v>1577310.6789219039</v>
      </c>
      <c r="Z764" s="134">
        <f t="shared" si="74"/>
        <v>1577824.9781318624</v>
      </c>
      <c r="AB764" s="127">
        <f t="shared" si="75"/>
        <v>0</v>
      </c>
      <c r="AC764" s="127">
        <f t="shared" si="76"/>
        <v>0</v>
      </c>
      <c r="AD764" s="127">
        <f t="shared" si="77"/>
        <v>1</v>
      </c>
    </row>
    <row r="765" spans="1:30" x14ac:dyDescent="0.25">
      <c r="A765">
        <v>760</v>
      </c>
      <c r="C765" s="11">
        <v>7.1387588977813721E-3</v>
      </c>
      <c r="D765" s="11">
        <v>1.499764621257782E-2</v>
      </c>
      <c r="E765" s="11">
        <v>0.38006353933126408</v>
      </c>
      <c r="F765" s="11">
        <v>0.10920072656978005</v>
      </c>
      <c r="G765" s="11">
        <v>4.7694683074951172E-2</v>
      </c>
      <c r="H765" s="40">
        <v>4.006611409478528E-4</v>
      </c>
      <c r="I765" s="40">
        <v>1.4810866782650114</v>
      </c>
      <c r="J765" s="59">
        <v>0</v>
      </c>
      <c r="K765" s="59">
        <v>6359.2684455215931</v>
      </c>
      <c r="L765" s="59">
        <v>0</v>
      </c>
      <c r="M765" s="11">
        <v>0.8519013524055481</v>
      </c>
      <c r="N765" s="11">
        <v>0.77999132871627808</v>
      </c>
      <c r="O765" s="11">
        <v>0.28830447793006897</v>
      </c>
      <c r="Q765" s="59">
        <v>14.889174152765634</v>
      </c>
      <c r="R765" s="78">
        <v>536.99597462837721</v>
      </c>
      <c r="S765" s="78">
        <v>14.920556582098326</v>
      </c>
      <c r="T765" s="78">
        <v>633.93717788373101</v>
      </c>
      <c r="U765" s="59">
        <v>14.934526893943076</v>
      </c>
      <c r="V765" s="78">
        <v>803.85978446369722</v>
      </c>
      <c r="X765" s="134">
        <f t="shared" si="72"/>
        <v>1488380.4193019348</v>
      </c>
      <c r="Y765" s="134">
        <f t="shared" si="73"/>
        <v>1491421.7210319489</v>
      </c>
      <c r="Z765" s="134">
        <f t="shared" si="74"/>
        <v>1492648.8296098439</v>
      </c>
      <c r="AB765" s="127">
        <f t="shared" si="75"/>
        <v>0</v>
      </c>
      <c r="AC765" s="127">
        <f t="shared" si="76"/>
        <v>0</v>
      </c>
      <c r="AD765" s="127">
        <f t="shared" si="77"/>
        <v>1</v>
      </c>
    </row>
    <row r="766" spans="1:30" x14ac:dyDescent="0.25">
      <c r="A766">
        <v>761</v>
      </c>
      <c r="C766" s="11">
        <v>3.0519783496856689E-2</v>
      </c>
      <c r="D766" s="11">
        <v>2.2892624139785767E-2</v>
      </c>
      <c r="E766" s="11">
        <v>0.24207083181047989</v>
      </c>
      <c r="F766" s="11">
        <v>0.27948475033063652</v>
      </c>
      <c r="G766" s="11">
        <v>5.6784152984619141E-2</v>
      </c>
      <c r="H766" s="40">
        <v>4.5768302574327997E-4</v>
      </c>
      <c r="I766" s="40">
        <v>1.5266846515401686</v>
      </c>
      <c r="J766" s="59">
        <v>0</v>
      </c>
      <c r="K766" s="59">
        <v>5906.7085385322571</v>
      </c>
      <c r="L766" s="59">
        <v>0</v>
      </c>
      <c r="M766" s="11">
        <v>0.89198768138885498</v>
      </c>
      <c r="N766" s="11">
        <v>0.72165346145629883</v>
      </c>
      <c r="O766" s="11">
        <v>0.30151945352554321</v>
      </c>
      <c r="Q766" s="59">
        <v>15.168226453501411</v>
      </c>
      <c r="R766" s="78">
        <v>569.10665524945</v>
      </c>
      <c r="S766" s="78">
        <v>15.248496877453437</v>
      </c>
      <c r="T766" s="78">
        <v>622.13730750310947</v>
      </c>
      <c r="U766" s="59">
        <v>15.244457129841276</v>
      </c>
      <c r="V766" s="78">
        <v>837.76113534211925</v>
      </c>
      <c r="X766" s="134">
        <f t="shared" si="72"/>
        <v>1516253.5386948918</v>
      </c>
      <c r="Y766" s="134">
        <f t="shared" si="73"/>
        <v>1524227.5504378406</v>
      </c>
      <c r="Z766" s="134">
        <f t="shared" si="74"/>
        <v>1523607.9518487856</v>
      </c>
      <c r="AB766" s="127">
        <f t="shared" si="75"/>
        <v>0</v>
      </c>
      <c r="AC766" s="127">
        <f t="shared" si="76"/>
        <v>1</v>
      </c>
      <c r="AD766" s="127">
        <f t="shared" si="77"/>
        <v>0</v>
      </c>
    </row>
    <row r="767" spans="1:30" x14ac:dyDescent="0.25">
      <c r="A767">
        <v>762</v>
      </c>
      <c r="C767" s="11">
        <v>2.5757551193237305E-3</v>
      </c>
      <c r="D767" s="11">
        <v>1.600414514541626E-2</v>
      </c>
      <c r="E767" s="11">
        <v>0.29689775043116939</v>
      </c>
      <c r="F767" s="11">
        <v>0.19888388117168759</v>
      </c>
      <c r="G767" s="11">
        <v>2.803337574005127E-2</v>
      </c>
      <c r="H767" s="40">
        <v>6.2963831385525935E-4</v>
      </c>
      <c r="I767" s="40">
        <v>1.2972058247062173</v>
      </c>
      <c r="J767" s="59">
        <v>0</v>
      </c>
      <c r="K767" s="59">
        <v>4121.0628114640713</v>
      </c>
      <c r="L767" s="59">
        <v>0</v>
      </c>
      <c r="M767" s="11">
        <v>0.83758211135864258</v>
      </c>
      <c r="N767" s="11">
        <v>0.77560555934906006</v>
      </c>
      <c r="O767" s="11">
        <v>0.26296830177307129</v>
      </c>
      <c r="Q767" s="59">
        <v>14.715284916903705</v>
      </c>
      <c r="R767" s="78">
        <v>471.22264260923276</v>
      </c>
      <c r="S767" s="78">
        <v>14.744175494781986</v>
      </c>
      <c r="T767" s="78">
        <v>602.16555174006442</v>
      </c>
      <c r="U767" s="59">
        <v>14.748259398054916</v>
      </c>
      <c r="V767" s="78">
        <v>803.54047519900996</v>
      </c>
      <c r="X767" s="134">
        <f t="shared" si="72"/>
        <v>1471057.2690477613</v>
      </c>
      <c r="Y767" s="134">
        <f t="shared" si="73"/>
        <v>1473815.3839264587</v>
      </c>
      <c r="Z767" s="134">
        <f t="shared" si="74"/>
        <v>1474022.3993302926</v>
      </c>
      <c r="AB767" s="127">
        <f t="shared" si="75"/>
        <v>0</v>
      </c>
      <c r="AC767" s="127">
        <f t="shared" si="76"/>
        <v>0</v>
      </c>
      <c r="AD767" s="127">
        <f t="shared" si="77"/>
        <v>1</v>
      </c>
    </row>
    <row r="768" spans="1:30" x14ac:dyDescent="0.25">
      <c r="A768">
        <v>763</v>
      </c>
      <c r="C768" s="11">
        <v>2.2955983877182007E-2</v>
      </c>
      <c r="D768" s="11">
        <v>5.2793323993682861E-3</v>
      </c>
      <c r="E768" s="11">
        <v>0.32785027788701482</v>
      </c>
      <c r="F768" s="11">
        <v>0.10426484801834976</v>
      </c>
      <c r="G768" s="11">
        <v>3.5185754299163818E-2</v>
      </c>
      <c r="H768" s="40">
        <v>4.0234017850412652E-4</v>
      </c>
      <c r="I768" s="40">
        <v>1.4721079105896404</v>
      </c>
      <c r="J768" s="59">
        <v>0</v>
      </c>
      <c r="K768" s="59">
        <v>4844.2347906529903</v>
      </c>
      <c r="L768" s="59">
        <v>0</v>
      </c>
      <c r="M768" s="11">
        <v>0.86725711822509766</v>
      </c>
      <c r="N768" s="11">
        <v>0.81660747528076172</v>
      </c>
      <c r="O768" s="11">
        <v>0.31420409679412842</v>
      </c>
      <c r="Q768" s="59">
        <v>14.92910772191795</v>
      </c>
      <c r="R768" s="78">
        <v>492.71826229290599</v>
      </c>
      <c r="S768" s="78">
        <v>14.954536441957666</v>
      </c>
      <c r="T768" s="78">
        <v>611.74004376802816</v>
      </c>
      <c r="U768" s="59">
        <v>14.963156312401125</v>
      </c>
      <c r="V768" s="78">
        <v>798.45244879435177</v>
      </c>
      <c r="X768" s="134">
        <f t="shared" si="72"/>
        <v>1492418.0539295021</v>
      </c>
      <c r="Y768" s="134">
        <f t="shared" si="73"/>
        <v>1494841.9041519987</v>
      </c>
      <c r="Z768" s="134">
        <f t="shared" si="74"/>
        <v>1495517.1787913181</v>
      </c>
      <c r="AB768" s="127">
        <f t="shared" si="75"/>
        <v>0</v>
      </c>
      <c r="AC768" s="127">
        <f t="shared" si="76"/>
        <v>0</v>
      </c>
      <c r="AD768" s="127">
        <f t="shared" si="77"/>
        <v>1</v>
      </c>
    </row>
    <row r="769" spans="1:30" x14ac:dyDescent="0.25">
      <c r="A769">
        <v>764</v>
      </c>
      <c r="C769" s="11">
        <v>2.4077266454696655E-2</v>
      </c>
      <c r="D769" s="11">
        <v>1.1704355478286743E-2</v>
      </c>
      <c r="E769" s="11">
        <v>0.26803245878240883</v>
      </c>
      <c r="F769" s="11">
        <v>0.39081186886052838</v>
      </c>
      <c r="G769" s="11">
        <v>6.5537512302398682E-2</v>
      </c>
      <c r="H769" s="40">
        <v>9.3257325378021724E-4</v>
      </c>
      <c r="I769" s="40">
        <v>1.3388322092811642</v>
      </c>
      <c r="J769" s="59">
        <v>0</v>
      </c>
      <c r="K769" s="59">
        <v>4176.5323840081692</v>
      </c>
      <c r="L769" s="59">
        <v>0</v>
      </c>
      <c r="M769" s="11">
        <v>0.88877320289611816</v>
      </c>
      <c r="N769" s="11">
        <v>0.76372003555297852</v>
      </c>
      <c r="O769" s="11">
        <v>0.29023391008377075</v>
      </c>
      <c r="Q769" s="59">
        <v>15.218608638998729</v>
      </c>
      <c r="R769" s="78">
        <v>547.10352987556575</v>
      </c>
      <c r="S769" s="78">
        <v>15.292926792892533</v>
      </c>
      <c r="T769" s="78">
        <v>620.77048170324258</v>
      </c>
      <c r="U769" s="59">
        <v>15.280243338381524</v>
      </c>
      <c r="V769" s="78">
        <v>848.72267391907656</v>
      </c>
      <c r="X769" s="134">
        <f t="shared" si="72"/>
        <v>1521313.7603699972</v>
      </c>
      <c r="Y769" s="134">
        <f t="shared" si="73"/>
        <v>1528671.9088075501</v>
      </c>
      <c r="Z769" s="134">
        <f t="shared" si="74"/>
        <v>1527175.6111642334</v>
      </c>
      <c r="AB769" s="127">
        <f t="shared" si="75"/>
        <v>0</v>
      </c>
      <c r="AC769" s="127">
        <f t="shared" si="76"/>
        <v>1</v>
      </c>
      <c r="AD769" s="127">
        <f t="shared" si="77"/>
        <v>0</v>
      </c>
    </row>
    <row r="770" spans="1:30" x14ac:dyDescent="0.25">
      <c r="A770">
        <v>765</v>
      </c>
      <c r="C770" s="11">
        <v>3.8527965545654297E-2</v>
      </c>
      <c r="D770" s="11">
        <v>8.5191130638122559E-3</v>
      </c>
      <c r="E770" s="11">
        <v>0.16728003675852735</v>
      </c>
      <c r="F770" s="11">
        <v>0.30055707207624432</v>
      </c>
      <c r="G770" s="11">
        <v>4.1394054889678955E-2</v>
      </c>
      <c r="H770" s="40">
        <v>3.922684513330131E-4</v>
      </c>
      <c r="I770" s="40">
        <v>1.4671633766059835</v>
      </c>
      <c r="J770" s="59">
        <v>0</v>
      </c>
      <c r="K770" s="59">
        <v>5281.609483063221</v>
      </c>
      <c r="L770" s="59">
        <v>0</v>
      </c>
      <c r="M770" s="11">
        <v>0.87962478399276733</v>
      </c>
      <c r="N770" s="11">
        <v>0.69309639930725098</v>
      </c>
      <c r="O770" s="11">
        <v>0.33845210075378418</v>
      </c>
      <c r="Q770" s="59">
        <v>14.865856089408979</v>
      </c>
      <c r="R770" s="78">
        <v>499.10522334807075</v>
      </c>
      <c r="S770" s="78">
        <v>14.926323749692424</v>
      </c>
      <c r="T770" s="78">
        <v>596.82312475483866</v>
      </c>
      <c r="U770" s="59">
        <v>14.91651906156075</v>
      </c>
      <c r="V770" s="78">
        <v>819.95326139936947</v>
      </c>
      <c r="X770" s="134">
        <f t="shared" si="72"/>
        <v>1486086.5037175498</v>
      </c>
      <c r="Y770" s="134">
        <f t="shared" si="73"/>
        <v>1492035.5518444874</v>
      </c>
      <c r="Z770" s="134">
        <f t="shared" si="74"/>
        <v>1490831.9528946755</v>
      </c>
      <c r="AB770" s="127">
        <f t="shared" si="75"/>
        <v>0</v>
      </c>
      <c r="AC770" s="127">
        <f t="shared" si="76"/>
        <v>1</v>
      </c>
      <c r="AD770" s="127">
        <f t="shared" si="77"/>
        <v>0</v>
      </c>
    </row>
    <row r="771" spans="1:30" x14ac:dyDescent="0.25">
      <c r="A771">
        <v>766</v>
      </c>
      <c r="C771" s="11">
        <v>3.7072837352752686E-2</v>
      </c>
      <c r="D771" s="11">
        <v>3.3756077289581299E-2</v>
      </c>
      <c r="E771" s="11">
        <v>0.51379321491924013</v>
      </c>
      <c r="F771" s="11">
        <v>0.26586380079382071</v>
      </c>
      <c r="G771" s="11">
        <v>2.4130165576934814E-2</v>
      </c>
      <c r="H771" s="40">
        <v>5.3525650788314864E-4</v>
      </c>
      <c r="I771" s="40">
        <v>1.4201801154913072</v>
      </c>
      <c r="J771" s="59">
        <v>0</v>
      </c>
      <c r="K771" s="59">
        <v>5991.8034821748734</v>
      </c>
      <c r="L771" s="59">
        <v>0</v>
      </c>
      <c r="M771" s="11">
        <v>0.84508669376373291</v>
      </c>
      <c r="N771" s="11">
        <v>0.7355964183807373</v>
      </c>
      <c r="O771" s="11">
        <v>0.24579334259033203</v>
      </c>
      <c r="Q771" s="59">
        <v>14.304491939572241</v>
      </c>
      <c r="R771" s="78">
        <v>522.34335473131739</v>
      </c>
      <c r="S771" s="78">
        <v>14.33783476128019</v>
      </c>
      <c r="T771" s="78">
        <v>645.56128599984152</v>
      </c>
      <c r="U771" s="59">
        <v>14.355115305984379</v>
      </c>
      <c r="V771" s="78">
        <v>822.60788674985542</v>
      </c>
      <c r="X771" s="134">
        <f t="shared" si="72"/>
        <v>1429926.8506024927</v>
      </c>
      <c r="Y771" s="134">
        <f t="shared" si="73"/>
        <v>1433137.9148420191</v>
      </c>
      <c r="Z771" s="134">
        <f t="shared" si="74"/>
        <v>1434688.9227116881</v>
      </c>
      <c r="AB771" s="127">
        <f t="shared" si="75"/>
        <v>0</v>
      </c>
      <c r="AC771" s="127">
        <f t="shared" si="76"/>
        <v>0</v>
      </c>
      <c r="AD771" s="127">
        <f t="shared" si="77"/>
        <v>1</v>
      </c>
    </row>
    <row r="772" spans="1:30" x14ac:dyDescent="0.25">
      <c r="A772">
        <v>767</v>
      </c>
      <c r="C772" s="11">
        <v>5.3839921951293945E-2</v>
      </c>
      <c r="D772" s="11">
        <v>4.3887138366699219E-2</v>
      </c>
      <c r="E772" s="11">
        <v>0.29315006965631968</v>
      </c>
      <c r="F772" s="11">
        <v>0.15224889775257316</v>
      </c>
      <c r="G772" s="11">
        <v>6.3360691070556641E-2</v>
      </c>
      <c r="H772" s="40">
        <v>4.1937107868760735E-4</v>
      </c>
      <c r="I772" s="40">
        <v>1.3674092489496403</v>
      </c>
      <c r="J772" s="59">
        <v>0</v>
      </c>
      <c r="K772" s="59">
        <v>4509.8620466887951</v>
      </c>
      <c r="L772" s="59">
        <v>0</v>
      </c>
      <c r="M772" s="11">
        <v>0.84772622585296631</v>
      </c>
      <c r="N772" s="11">
        <v>0.74979203939437866</v>
      </c>
      <c r="O772" s="11">
        <v>0.29236632585525513</v>
      </c>
      <c r="Q772" s="59">
        <v>14.118251719970075</v>
      </c>
      <c r="R772" s="78">
        <v>471.47262086441026</v>
      </c>
      <c r="S772" s="78">
        <v>14.153048936768313</v>
      </c>
      <c r="T772" s="78">
        <v>601.90704691372173</v>
      </c>
      <c r="U772" s="59">
        <v>14.160068867839145</v>
      </c>
      <c r="V772" s="78">
        <v>799.91736286570074</v>
      </c>
      <c r="X772" s="134">
        <f t="shared" si="72"/>
        <v>1411353.699376143</v>
      </c>
      <c r="Y772" s="134">
        <f t="shared" si="73"/>
        <v>1414702.9866299178</v>
      </c>
      <c r="Z772" s="134">
        <f t="shared" si="74"/>
        <v>1415206.9694210489</v>
      </c>
      <c r="AB772" s="127">
        <f t="shared" si="75"/>
        <v>0</v>
      </c>
      <c r="AC772" s="127">
        <f t="shared" si="76"/>
        <v>0</v>
      </c>
      <c r="AD772" s="127">
        <f t="shared" si="77"/>
        <v>1</v>
      </c>
    </row>
    <row r="773" spans="1:30" x14ac:dyDescent="0.25">
      <c r="A773">
        <v>768</v>
      </c>
      <c r="C773" s="11">
        <v>2.6453882455825806E-2</v>
      </c>
      <c r="D773" s="11">
        <v>5.8850347995758057E-3</v>
      </c>
      <c r="E773" s="11">
        <v>0.33624297357108057</v>
      </c>
      <c r="F773" s="11">
        <v>0.18880443329602459</v>
      </c>
      <c r="G773" s="11">
        <v>4.0428489446640015E-2</v>
      </c>
      <c r="H773" s="40">
        <v>4.3875890548553733E-4</v>
      </c>
      <c r="I773" s="40">
        <v>1.5060045172823331</v>
      </c>
      <c r="J773" s="59">
        <v>0</v>
      </c>
      <c r="K773" s="59">
        <v>5172.8053949773312</v>
      </c>
      <c r="L773" s="59">
        <v>0</v>
      </c>
      <c r="M773" s="11">
        <v>0.84271010756492615</v>
      </c>
      <c r="N773" s="11">
        <v>0.73227965831756592</v>
      </c>
      <c r="O773" s="11">
        <v>0.30778509378433228</v>
      </c>
      <c r="Q773" s="59">
        <v>14.425822848350187</v>
      </c>
      <c r="R773" s="78">
        <v>523.52395730315413</v>
      </c>
      <c r="S773" s="78">
        <v>14.469054940648864</v>
      </c>
      <c r="T773" s="78">
        <v>623.15999532778574</v>
      </c>
      <c r="U773" s="59">
        <v>14.478851685590678</v>
      </c>
      <c r="V773" s="78">
        <v>812.87348280223239</v>
      </c>
      <c r="X773" s="134">
        <f t="shared" si="72"/>
        <v>1442058.7608777154</v>
      </c>
      <c r="Y773" s="134">
        <f t="shared" si="73"/>
        <v>1446282.3340695587</v>
      </c>
      <c r="Z773" s="134">
        <f t="shared" si="74"/>
        <v>1447072.2950762657</v>
      </c>
      <c r="AB773" s="127">
        <f t="shared" si="75"/>
        <v>0</v>
      </c>
      <c r="AC773" s="127">
        <f t="shared" si="76"/>
        <v>0</v>
      </c>
      <c r="AD773" s="127">
        <f t="shared" si="77"/>
        <v>1</v>
      </c>
    </row>
    <row r="774" spans="1:30" x14ac:dyDescent="0.25">
      <c r="A774">
        <v>769</v>
      </c>
      <c r="C774" s="11">
        <v>2.1914780139923096E-2</v>
      </c>
      <c r="D774" s="11">
        <v>3.1516551971435547E-3</v>
      </c>
      <c r="E774" s="11">
        <v>0.42122705412855993</v>
      </c>
      <c r="F774" s="11">
        <v>0.18191542769490046</v>
      </c>
      <c r="G774" s="11">
        <v>1.8043696880340576E-2</v>
      </c>
      <c r="H774" s="40">
        <v>4.457856804868957E-4</v>
      </c>
      <c r="I774" s="40">
        <v>1.4494390527306982</v>
      </c>
      <c r="J774" s="59">
        <v>0</v>
      </c>
      <c r="K774" s="59">
        <v>2880.0033032894135</v>
      </c>
      <c r="L774" s="59">
        <v>0</v>
      </c>
      <c r="M774" s="11">
        <v>0.88048577308654785</v>
      </c>
      <c r="N774" s="11">
        <v>0.80653738975524902</v>
      </c>
      <c r="O774" s="11">
        <v>0.28815311193466187</v>
      </c>
      <c r="Q774" s="59">
        <v>15.167160283169242</v>
      </c>
      <c r="R774" s="78">
        <v>449.22096841121936</v>
      </c>
      <c r="S774" s="78">
        <v>15.192705409104736</v>
      </c>
      <c r="T774" s="78">
        <v>602.50264828384377</v>
      </c>
      <c r="U774" s="59">
        <v>15.203453914770074</v>
      </c>
      <c r="V774" s="78">
        <v>798.19391074186183</v>
      </c>
      <c r="X774" s="134">
        <f t="shared" si="72"/>
        <v>1516266.8073485128</v>
      </c>
      <c r="Y774" s="134">
        <f t="shared" si="73"/>
        <v>1518668.0382621898</v>
      </c>
      <c r="Z774" s="134">
        <f t="shared" si="74"/>
        <v>1519547.1975662655</v>
      </c>
      <c r="AB774" s="127">
        <f t="shared" si="75"/>
        <v>0</v>
      </c>
      <c r="AC774" s="127">
        <f t="shared" si="76"/>
        <v>0</v>
      </c>
      <c r="AD774" s="127">
        <f t="shared" si="77"/>
        <v>1</v>
      </c>
    </row>
    <row r="775" spans="1:30" x14ac:dyDescent="0.25">
      <c r="A775">
        <v>770</v>
      </c>
      <c r="C775" s="11">
        <v>9.3111395835876465E-3</v>
      </c>
      <c r="D775" s="11">
        <v>2.7599632740020752E-3</v>
      </c>
      <c r="E775" s="11">
        <v>0.11429623154977545</v>
      </c>
      <c r="F775" s="11">
        <v>0.23096255806881533</v>
      </c>
      <c r="G775" s="11">
        <v>3.0395478010177612E-2</v>
      </c>
      <c r="H775" s="40">
        <v>3.8119804539606019E-4</v>
      </c>
      <c r="I775" s="40">
        <v>1.6033559238640616</v>
      </c>
      <c r="J775" s="59">
        <v>0</v>
      </c>
      <c r="K775" s="59">
        <v>6222.1032567322254</v>
      </c>
      <c r="L775" s="59">
        <v>0</v>
      </c>
      <c r="M775" s="11">
        <v>0.8513965904712677</v>
      </c>
      <c r="N775" s="11">
        <v>0.78483104705810547</v>
      </c>
      <c r="O775" s="11">
        <v>0.31338959932327271</v>
      </c>
      <c r="Q775" s="59">
        <v>14.841015582213021</v>
      </c>
      <c r="R775" s="78">
        <v>567.38094619704782</v>
      </c>
      <c r="S775" s="78">
        <v>14.891904963492658</v>
      </c>
      <c r="T775" s="78">
        <v>599.27590759316695</v>
      </c>
      <c r="U775" s="59">
        <v>14.885037695520255</v>
      </c>
      <c r="V775" s="78">
        <v>828.84769831054234</v>
      </c>
      <c r="X775" s="134">
        <f t="shared" si="72"/>
        <v>1483534.1772751051</v>
      </c>
      <c r="Y775" s="134">
        <f t="shared" si="73"/>
        <v>1488591.2204416727</v>
      </c>
      <c r="Z775" s="134">
        <f t="shared" si="74"/>
        <v>1487674.9218537149</v>
      </c>
      <c r="AB775" s="127">
        <f t="shared" si="75"/>
        <v>0</v>
      </c>
      <c r="AC775" s="127">
        <f t="shared" si="76"/>
        <v>1</v>
      </c>
      <c r="AD775" s="127">
        <f t="shared" si="77"/>
        <v>0</v>
      </c>
    </row>
    <row r="776" spans="1:30" x14ac:dyDescent="0.25">
      <c r="A776">
        <v>771</v>
      </c>
      <c r="C776" s="11">
        <v>4.9933493137359619E-3</v>
      </c>
      <c r="D776" s="11">
        <v>1.1003017425537109E-3</v>
      </c>
      <c r="E776" s="11">
        <v>0.24865494473874741</v>
      </c>
      <c r="F776" s="11">
        <v>0.15895961668724198</v>
      </c>
      <c r="G776" s="11">
        <v>7.5116515159606934E-2</v>
      </c>
      <c r="H776" s="40">
        <v>5.8364721052280976E-4</v>
      </c>
      <c r="I776" s="40">
        <v>1.3264278659492188</v>
      </c>
      <c r="J776" s="59">
        <v>0</v>
      </c>
      <c r="K776" s="59">
        <v>5285.344086587429</v>
      </c>
      <c r="L776" s="59">
        <v>0</v>
      </c>
      <c r="M776" s="11">
        <v>0.85324454307556152</v>
      </c>
      <c r="N776" s="11">
        <v>0.77342480421066284</v>
      </c>
      <c r="O776" s="11">
        <v>0.32837247848510742</v>
      </c>
      <c r="Q776" s="59">
        <v>14.949961101987133</v>
      </c>
      <c r="R776" s="78">
        <v>520.09127513026601</v>
      </c>
      <c r="S776" s="78">
        <v>14.984472070417512</v>
      </c>
      <c r="T776" s="78">
        <v>610.69611866676678</v>
      </c>
      <c r="U776" s="59">
        <v>14.988652981484684</v>
      </c>
      <c r="V776" s="78">
        <v>808.28909009829067</v>
      </c>
      <c r="X776" s="134">
        <f t="shared" si="72"/>
        <v>1494476.0189235832</v>
      </c>
      <c r="Y776" s="134">
        <f t="shared" si="73"/>
        <v>1497836.5109230843</v>
      </c>
      <c r="Z776" s="134">
        <f t="shared" si="74"/>
        <v>1498057.00905837</v>
      </c>
      <c r="AB776" s="127">
        <f t="shared" si="75"/>
        <v>0</v>
      </c>
      <c r="AC776" s="127">
        <f t="shared" si="76"/>
        <v>0</v>
      </c>
      <c r="AD776" s="127">
        <f t="shared" si="77"/>
        <v>1</v>
      </c>
    </row>
    <row r="777" spans="1:30" x14ac:dyDescent="0.25">
      <c r="A777">
        <v>772</v>
      </c>
      <c r="C777" s="11">
        <v>4.1848719120025635E-2</v>
      </c>
      <c r="D777" s="11">
        <v>3.213733434677124E-2</v>
      </c>
      <c r="E777" s="11">
        <v>0.16955169747786816</v>
      </c>
      <c r="F777" s="11">
        <v>0.18044603647767266</v>
      </c>
      <c r="G777" s="11">
        <v>1.2045860290527344E-2</v>
      </c>
      <c r="H777" s="40">
        <v>2.928433974962701E-4</v>
      </c>
      <c r="I777" s="40">
        <v>1.5139790194540257</v>
      </c>
      <c r="J777" s="59">
        <v>0</v>
      </c>
      <c r="K777" s="59">
        <v>9765.4014825820923</v>
      </c>
      <c r="L777" s="59">
        <v>0</v>
      </c>
      <c r="M777" s="11">
        <v>0.8499794602394104</v>
      </c>
      <c r="N777" s="11">
        <v>0.77666556835174561</v>
      </c>
      <c r="O777" s="11">
        <v>0.2675405740737915</v>
      </c>
      <c r="Q777" s="59">
        <v>14.345512972096515</v>
      </c>
      <c r="R777" s="78">
        <v>534.58192016539442</v>
      </c>
      <c r="S777" s="78">
        <v>14.378517905645754</v>
      </c>
      <c r="T777" s="78">
        <v>603.13317054264007</v>
      </c>
      <c r="U777" s="59">
        <v>14.378078693575047</v>
      </c>
      <c r="V777" s="78">
        <v>813.67962029359751</v>
      </c>
      <c r="X777" s="134">
        <f t="shared" si="72"/>
        <v>1434016.7152894861</v>
      </c>
      <c r="Y777" s="134">
        <f t="shared" si="73"/>
        <v>1437248.6573940329</v>
      </c>
      <c r="Z777" s="134">
        <f t="shared" si="74"/>
        <v>1436994.189737211</v>
      </c>
      <c r="AB777" s="127">
        <f t="shared" si="75"/>
        <v>0</v>
      </c>
      <c r="AC777" s="127">
        <f t="shared" si="76"/>
        <v>1</v>
      </c>
      <c r="AD777" s="127">
        <f t="shared" si="77"/>
        <v>0</v>
      </c>
    </row>
    <row r="778" spans="1:30" x14ac:dyDescent="0.25">
      <c r="A778">
        <v>773</v>
      </c>
      <c r="C778" s="11">
        <v>3.042525053024292E-2</v>
      </c>
      <c r="D778" s="11">
        <v>2.507290244102478E-2</v>
      </c>
      <c r="E778" s="11">
        <v>0.1733221842757669</v>
      </c>
      <c r="F778" s="11">
        <v>0.33922183836622771</v>
      </c>
      <c r="G778" s="11">
        <v>6.6202938556671143E-2</v>
      </c>
      <c r="H778" s="40">
        <v>3.288411243964098E-4</v>
      </c>
      <c r="I778" s="40">
        <v>1.4216149965187845</v>
      </c>
      <c r="J778" s="59">
        <v>0</v>
      </c>
      <c r="K778" s="59">
        <v>3071.1572617292404</v>
      </c>
      <c r="L778" s="59">
        <v>0</v>
      </c>
      <c r="M778" s="11">
        <v>0.84891813993453979</v>
      </c>
      <c r="N778" s="11">
        <v>0.74226272106170654</v>
      </c>
      <c r="O778" s="11">
        <v>0.29361295700073242</v>
      </c>
      <c r="Q778" s="59">
        <v>14.494046012207876</v>
      </c>
      <c r="R778" s="78">
        <v>444.68242566449226</v>
      </c>
      <c r="S778" s="78">
        <v>14.5308793955209</v>
      </c>
      <c r="T778" s="78">
        <v>587.86818752685235</v>
      </c>
      <c r="U778" s="59">
        <v>14.523421320820091</v>
      </c>
      <c r="V778" s="78">
        <v>805.32344769089809</v>
      </c>
      <c r="X778" s="134">
        <f t="shared" si="72"/>
        <v>1448959.9187951232</v>
      </c>
      <c r="Y778" s="134">
        <f t="shared" si="73"/>
        <v>1452500.071364563</v>
      </c>
      <c r="Z778" s="134">
        <f t="shared" si="74"/>
        <v>1451536.8086343184</v>
      </c>
      <c r="AB778" s="127">
        <f t="shared" si="75"/>
        <v>0</v>
      </c>
      <c r="AC778" s="127">
        <f t="shared" si="76"/>
        <v>1</v>
      </c>
      <c r="AD778" s="127">
        <f t="shared" si="77"/>
        <v>0</v>
      </c>
    </row>
    <row r="779" spans="1:30" x14ac:dyDescent="0.25">
      <c r="A779">
        <v>774</v>
      </c>
      <c r="C779" s="11">
        <v>3.0184537172317505E-2</v>
      </c>
      <c r="D779" s="11">
        <v>2.1226257085800171E-2</v>
      </c>
      <c r="E779" s="11">
        <v>0.40930491071116221</v>
      </c>
      <c r="F779" s="11">
        <v>0.10531266157953857</v>
      </c>
      <c r="G779" s="11">
        <v>3.0647724866867065E-2</v>
      </c>
      <c r="H779" s="40">
        <v>6.1721306379406056E-4</v>
      </c>
      <c r="I779" s="40">
        <v>1.2864240177742288</v>
      </c>
      <c r="J779" s="59">
        <v>0</v>
      </c>
      <c r="K779" s="59">
        <v>7462.8274887800217</v>
      </c>
      <c r="L779" s="59">
        <v>0</v>
      </c>
      <c r="M779" s="11">
        <v>0.81709223985671997</v>
      </c>
      <c r="N779" s="11">
        <v>0.68828678131103516</v>
      </c>
      <c r="O779" s="11">
        <v>0.25838732719421387</v>
      </c>
      <c r="Q779" s="59">
        <v>13.941820220505294</v>
      </c>
      <c r="R779" s="78">
        <v>525.01836222662848</v>
      </c>
      <c r="S779" s="78">
        <v>13.974278258355929</v>
      </c>
      <c r="T779" s="78">
        <v>633.06689480116552</v>
      </c>
      <c r="U779" s="59">
        <v>13.991219008863425</v>
      </c>
      <c r="V779" s="78">
        <v>801.97018258271669</v>
      </c>
      <c r="X779" s="134">
        <f t="shared" si="72"/>
        <v>1393657.0036883028</v>
      </c>
      <c r="Y779" s="134">
        <f t="shared" si="73"/>
        <v>1396794.7589407917</v>
      </c>
      <c r="Z779" s="134">
        <f t="shared" si="74"/>
        <v>1398319.9307037597</v>
      </c>
      <c r="AB779" s="127">
        <f t="shared" si="75"/>
        <v>0</v>
      </c>
      <c r="AC779" s="127">
        <f t="shared" si="76"/>
        <v>0</v>
      </c>
      <c r="AD779" s="127">
        <f t="shared" si="77"/>
        <v>1</v>
      </c>
    </row>
    <row r="780" spans="1:30" x14ac:dyDescent="0.25">
      <c r="A780">
        <v>775</v>
      </c>
      <c r="C780" s="11">
        <v>3.6518573760986328E-2</v>
      </c>
      <c r="D780" s="11">
        <v>5.7308971881866455E-3</v>
      </c>
      <c r="E780" s="11">
        <v>0.1998976462639078</v>
      </c>
      <c r="F780" s="11">
        <v>0.65513812687636952</v>
      </c>
      <c r="G780" s="11">
        <v>1.6891181468963623E-2</v>
      </c>
      <c r="H780" s="40">
        <v>3.3472977549845248E-4</v>
      </c>
      <c r="I780" s="40">
        <v>1.5214779280362505</v>
      </c>
      <c r="J780" s="59">
        <v>0</v>
      </c>
      <c r="K780" s="59">
        <v>5189.3037743866444</v>
      </c>
      <c r="L780" s="59">
        <v>0</v>
      </c>
      <c r="M780" s="11">
        <v>0.87642306089401245</v>
      </c>
      <c r="N780" s="11">
        <v>0.68982172012329102</v>
      </c>
      <c r="O780" s="11">
        <v>0.33077561855316162</v>
      </c>
      <c r="Q780" s="59">
        <v>14.845034327723049</v>
      </c>
      <c r="R780" s="78">
        <v>484.44278868323494</v>
      </c>
      <c r="S780" s="78">
        <v>14.901139188780233</v>
      </c>
      <c r="T780" s="78">
        <v>597.33223958561678</v>
      </c>
      <c r="U780" s="59">
        <v>14.869003390717499</v>
      </c>
      <c r="V780" s="78">
        <v>847.60718088634621</v>
      </c>
      <c r="X780" s="134">
        <f t="shared" si="72"/>
        <v>1484018.9899836215</v>
      </c>
      <c r="Y780" s="134">
        <f t="shared" si="73"/>
        <v>1489516.5866384376</v>
      </c>
      <c r="Z780" s="134">
        <f t="shared" si="74"/>
        <v>1486052.7318908635</v>
      </c>
      <c r="AB780" s="127">
        <f t="shared" si="75"/>
        <v>0</v>
      </c>
      <c r="AC780" s="127">
        <f t="shared" si="76"/>
        <v>1</v>
      </c>
      <c r="AD780" s="127">
        <f t="shared" si="77"/>
        <v>0</v>
      </c>
    </row>
    <row r="781" spans="1:30" x14ac:dyDescent="0.25">
      <c r="A781">
        <v>776</v>
      </c>
      <c r="C781" s="11">
        <v>1.2942463159561157E-2</v>
      </c>
      <c r="D781" s="11">
        <v>2.0640403032302856E-2</v>
      </c>
      <c r="E781" s="11">
        <v>0.28525425482553118</v>
      </c>
      <c r="F781" s="11">
        <v>0.15304229946147921</v>
      </c>
      <c r="G781" s="11">
        <v>2.5208741426467896E-2</v>
      </c>
      <c r="H781" s="40">
        <v>4.9013920124525484E-4</v>
      </c>
      <c r="I781" s="40">
        <v>1.4945443373938103</v>
      </c>
      <c r="J781" s="59">
        <v>0</v>
      </c>
      <c r="K781" s="59">
        <v>4691.6538849473</v>
      </c>
      <c r="L781" s="59">
        <v>0</v>
      </c>
      <c r="M781" s="11">
        <v>0.7839810848236084</v>
      </c>
      <c r="N781" s="11">
        <v>0.68426823616027832</v>
      </c>
      <c r="O781" s="11">
        <v>0.2953648567199707</v>
      </c>
      <c r="Q781" s="59">
        <v>13.601134570916685</v>
      </c>
      <c r="R781" s="78">
        <v>511.99220560289598</v>
      </c>
      <c r="S781" s="78">
        <v>13.649050612031012</v>
      </c>
      <c r="T781" s="78">
        <v>613.21102331702446</v>
      </c>
      <c r="U781" s="59">
        <v>13.658113842540732</v>
      </c>
      <c r="V781" s="78">
        <v>806.4105280488576</v>
      </c>
      <c r="X781" s="134">
        <f t="shared" si="72"/>
        <v>1359601.4648860656</v>
      </c>
      <c r="Y781" s="134">
        <f t="shared" si="73"/>
        <v>1364291.8501797842</v>
      </c>
      <c r="Z781" s="134">
        <f t="shared" si="74"/>
        <v>1365004.9737260244</v>
      </c>
      <c r="AB781" s="127">
        <f t="shared" si="75"/>
        <v>0</v>
      </c>
      <c r="AC781" s="127">
        <f t="shared" si="76"/>
        <v>0</v>
      </c>
      <c r="AD781" s="127">
        <f t="shared" si="77"/>
        <v>1</v>
      </c>
    </row>
    <row r="782" spans="1:30" x14ac:dyDescent="0.25">
      <c r="A782">
        <v>777</v>
      </c>
      <c r="C782" s="11">
        <v>2.2828042507171631E-2</v>
      </c>
      <c r="D782" s="11">
        <v>1.6792535781860352E-2</v>
      </c>
      <c r="E782" s="11">
        <v>0.15894964921370441</v>
      </c>
      <c r="F782" s="11">
        <v>0.17256544113639238</v>
      </c>
      <c r="G782" s="11">
        <v>1.3454318046569824E-2</v>
      </c>
      <c r="H782" s="40">
        <v>5.1964697120549387E-4</v>
      </c>
      <c r="I782" s="40">
        <v>1.4043775923073796</v>
      </c>
      <c r="J782" s="59">
        <v>0</v>
      </c>
      <c r="K782" s="59">
        <v>7186.4854544401169</v>
      </c>
      <c r="L782" s="59">
        <v>0</v>
      </c>
      <c r="M782" s="11">
        <v>0.8459320068359375</v>
      </c>
      <c r="N782" s="11">
        <v>0.78129667043685913</v>
      </c>
      <c r="O782" s="11">
        <v>0.29300612211227417</v>
      </c>
      <c r="Q782" s="59">
        <v>14.557165775702465</v>
      </c>
      <c r="R782" s="78">
        <v>530.34959921959637</v>
      </c>
      <c r="S782" s="78">
        <v>14.593979231683461</v>
      </c>
      <c r="T782" s="78">
        <v>601.00253109674975</v>
      </c>
      <c r="U782" s="59">
        <v>14.593372769776591</v>
      </c>
      <c r="V782" s="78">
        <v>811.88141529859922</v>
      </c>
      <c r="X782" s="134">
        <f t="shared" si="72"/>
        <v>1455186.2279710269</v>
      </c>
      <c r="Y782" s="134">
        <f t="shared" si="73"/>
        <v>1458796.9206372492</v>
      </c>
      <c r="Z782" s="134">
        <f t="shared" si="74"/>
        <v>1458525.3955623605</v>
      </c>
      <c r="AB782" s="127">
        <f t="shared" si="75"/>
        <v>0</v>
      </c>
      <c r="AC782" s="127">
        <f t="shared" si="76"/>
        <v>1</v>
      </c>
      <c r="AD782" s="127">
        <f t="shared" si="77"/>
        <v>0</v>
      </c>
    </row>
    <row r="783" spans="1:30" x14ac:dyDescent="0.25">
      <c r="A783">
        <v>778</v>
      </c>
      <c r="C783" s="11">
        <v>3.3673644065856934E-2</v>
      </c>
      <c r="D783" s="11">
        <v>4.2649149894714355E-2</v>
      </c>
      <c r="E783" s="11">
        <v>0.27167318759864945</v>
      </c>
      <c r="F783" s="11">
        <v>0.19047400628394637</v>
      </c>
      <c r="G783" s="11">
        <v>7.4692964553833008E-2</v>
      </c>
      <c r="H783" s="40">
        <v>3.0107425051590633E-4</v>
      </c>
      <c r="I783" s="40">
        <v>1.54666409279054</v>
      </c>
      <c r="J783" s="59">
        <v>0</v>
      </c>
      <c r="K783" s="59">
        <v>6001.4310292899609</v>
      </c>
      <c r="L783" s="59">
        <v>0</v>
      </c>
      <c r="M783" s="11">
        <v>0.86599123477935791</v>
      </c>
      <c r="N783" s="11">
        <v>0.76790899038314819</v>
      </c>
      <c r="O783" s="11">
        <v>0.28888782858848572</v>
      </c>
      <c r="Q783" s="59">
        <v>14.716729155280257</v>
      </c>
      <c r="R783" s="78">
        <v>527.02813223496719</v>
      </c>
      <c r="S783" s="78">
        <v>14.763593974420214</v>
      </c>
      <c r="T783" s="78">
        <v>615.56850257593237</v>
      </c>
      <c r="U783" s="59">
        <v>14.76890067984705</v>
      </c>
      <c r="V783" s="78">
        <v>813.67261232028773</v>
      </c>
      <c r="X783" s="134">
        <f t="shared" si="72"/>
        <v>1471145.8873957908</v>
      </c>
      <c r="Y783" s="134">
        <f t="shared" si="73"/>
        <v>1475743.8289394455</v>
      </c>
      <c r="Z783" s="134">
        <f t="shared" si="74"/>
        <v>1476076.3953723847</v>
      </c>
      <c r="AB783" s="127">
        <f t="shared" si="75"/>
        <v>0</v>
      </c>
      <c r="AC783" s="127">
        <f t="shared" si="76"/>
        <v>0</v>
      </c>
      <c r="AD783" s="127">
        <f t="shared" si="77"/>
        <v>1</v>
      </c>
    </row>
    <row r="784" spans="1:30" x14ac:dyDescent="0.25">
      <c r="A784">
        <v>779</v>
      </c>
      <c r="C784" s="11">
        <v>8.6991488933563232E-3</v>
      </c>
      <c r="D784" s="11">
        <v>1.3809174299240112E-2</v>
      </c>
      <c r="E784" s="11">
        <v>0.32620063283806022</v>
      </c>
      <c r="F784" s="11">
        <v>0.10910655938655185</v>
      </c>
      <c r="G784" s="11">
        <v>3.7259191274642944E-2</v>
      </c>
      <c r="H784" s="40">
        <v>4.1481515025005065E-4</v>
      </c>
      <c r="I784" s="40">
        <v>1.4828649628779895</v>
      </c>
      <c r="J784" s="59">
        <v>0</v>
      </c>
      <c r="K784" s="59">
        <v>4897.9092389345169</v>
      </c>
      <c r="L784" s="59">
        <v>0</v>
      </c>
      <c r="M784" s="11">
        <v>0.88484412431716919</v>
      </c>
      <c r="N784" s="11">
        <v>0.82562637329101563</v>
      </c>
      <c r="O784" s="11">
        <v>0.30188196897506714</v>
      </c>
      <c r="Q784" s="59">
        <v>15.445343019937773</v>
      </c>
      <c r="R784" s="78">
        <v>502.58107958369533</v>
      </c>
      <c r="S784" s="78">
        <v>15.477587909330154</v>
      </c>
      <c r="T784" s="78">
        <v>614.8590691182917</v>
      </c>
      <c r="U784" s="59">
        <v>15.488184838929801</v>
      </c>
      <c r="V784" s="78">
        <v>800.04216135297884</v>
      </c>
      <c r="X784" s="134">
        <f t="shared" si="72"/>
        <v>1544031.7209141937</v>
      </c>
      <c r="Y784" s="134">
        <f t="shared" si="73"/>
        <v>1547143.931863897</v>
      </c>
      <c r="Z784" s="134">
        <f t="shared" si="74"/>
        <v>1548018.4417316271</v>
      </c>
      <c r="AB784" s="127">
        <f t="shared" si="75"/>
        <v>0</v>
      </c>
      <c r="AC784" s="127">
        <f t="shared" si="76"/>
        <v>0</v>
      </c>
      <c r="AD784" s="127">
        <f t="shared" si="77"/>
        <v>1</v>
      </c>
    </row>
    <row r="785" spans="1:30" x14ac:dyDescent="0.25">
      <c r="A785">
        <v>780</v>
      </c>
      <c r="C785" s="11">
        <v>4.1870355606079102E-2</v>
      </c>
      <c r="D785" s="11">
        <v>2.3380100727081299E-2</v>
      </c>
      <c r="E785" s="11">
        <v>0.3079120244646622</v>
      </c>
      <c r="F785" s="11">
        <v>8.7997552028465792E-2</v>
      </c>
      <c r="G785" s="11">
        <v>5.3499996662139893E-2</v>
      </c>
      <c r="H785" s="40">
        <v>5.4193536557327901E-4</v>
      </c>
      <c r="I785" s="40">
        <v>1.4959257158843986</v>
      </c>
      <c r="J785" s="59">
        <v>0</v>
      </c>
      <c r="K785" s="59">
        <v>4646.0609883069992</v>
      </c>
      <c r="L785" s="59">
        <v>0</v>
      </c>
      <c r="M785" s="11">
        <v>0.81673634052276611</v>
      </c>
      <c r="N785" s="11">
        <v>0.70432400703430176</v>
      </c>
      <c r="O785" s="11">
        <v>0.26832956075668335</v>
      </c>
      <c r="Q785" s="59">
        <v>13.734752314488423</v>
      </c>
      <c r="R785" s="78">
        <v>538.88578957559685</v>
      </c>
      <c r="S785" s="78">
        <v>13.79489785844328</v>
      </c>
      <c r="T785" s="78">
        <v>624.37801365620908</v>
      </c>
      <c r="U785" s="59">
        <v>13.814520831773729</v>
      </c>
      <c r="V785" s="78">
        <v>801.03954045200578</v>
      </c>
      <c r="X785" s="134">
        <f t="shared" si="72"/>
        <v>1372936.3456592667</v>
      </c>
      <c r="Y785" s="134">
        <f t="shared" si="73"/>
        <v>1378865.4078306716</v>
      </c>
      <c r="Z785" s="134">
        <f t="shared" si="74"/>
        <v>1380651.0436369209</v>
      </c>
      <c r="AB785" s="127">
        <f t="shared" si="75"/>
        <v>0</v>
      </c>
      <c r="AC785" s="127">
        <f t="shared" si="76"/>
        <v>0</v>
      </c>
      <c r="AD785" s="127">
        <f t="shared" si="77"/>
        <v>1</v>
      </c>
    </row>
    <row r="786" spans="1:30" x14ac:dyDescent="0.25">
      <c r="A786">
        <v>781</v>
      </c>
      <c r="C786" s="11">
        <v>1.563572883605957E-2</v>
      </c>
      <c r="D786" s="11">
        <v>1.9820675253868103E-2</v>
      </c>
      <c r="E786" s="11">
        <v>0.27332993070931472</v>
      </c>
      <c r="F786" s="11">
        <v>0.36556627073455439</v>
      </c>
      <c r="G786" s="11">
        <v>4.2614519596099854E-2</v>
      </c>
      <c r="H786" s="40">
        <v>4.321418934303587E-4</v>
      </c>
      <c r="I786" s="40">
        <v>1.5086710823636649</v>
      </c>
      <c r="J786" s="59">
        <v>0</v>
      </c>
      <c r="K786" s="59">
        <v>3167.642280459404</v>
      </c>
      <c r="L786" s="59">
        <v>0</v>
      </c>
      <c r="M786" s="11">
        <v>0.88181072473526001</v>
      </c>
      <c r="N786" s="11">
        <v>0.78829514980316162</v>
      </c>
      <c r="O786" s="11">
        <v>0.31508314609527588</v>
      </c>
      <c r="Q786" s="59">
        <v>15.26497549233618</v>
      </c>
      <c r="R786" s="78">
        <v>474.18390384054328</v>
      </c>
      <c r="S786" s="78">
        <v>15.313633087283216</v>
      </c>
      <c r="T786" s="78">
        <v>601.24990067192698</v>
      </c>
      <c r="U786" s="59">
        <v>15.307360139089743</v>
      </c>
      <c r="V786" s="78">
        <v>817.70094356853406</v>
      </c>
      <c r="X786" s="134">
        <f t="shared" si="72"/>
        <v>1526023.3653297774</v>
      </c>
      <c r="Y786" s="134">
        <f t="shared" si="73"/>
        <v>1530762.0588276498</v>
      </c>
      <c r="Z786" s="134">
        <f t="shared" si="74"/>
        <v>1529918.3129654059</v>
      </c>
      <c r="AB786" s="127">
        <f t="shared" si="75"/>
        <v>0</v>
      </c>
      <c r="AC786" s="127">
        <f t="shared" si="76"/>
        <v>1</v>
      </c>
      <c r="AD786" s="127">
        <f t="shared" si="77"/>
        <v>0</v>
      </c>
    </row>
    <row r="787" spans="1:30" x14ac:dyDescent="0.25">
      <c r="A787">
        <v>782</v>
      </c>
      <c r="C787" s="11">
        <v>4.5635342597961426E-2</v>
      </c>
      <c r="D787" s="11">
        <v>3.4185051918029785E-2</v>
      </c>
      <c r="E787" s="11">
        <v>0.18670777275287864</v>
      </c>
      <c r="F787" s="11">
        <v>0.12246508827016314</v>
      </c>
      <c r="G787" s="11">
        <v>5.6673586368560791E-2</v>
      </c>
      <c r="H787" s="40">
        <v>4.5148559097498195E-4</v>
      </c>
      <c r="I787" s="40">
        <v>1.3977034227126877</v>
      </c>
      <c r="J787" s="59">
        <v>0</v>
      </c>
      <c r="K787" s="59">
        <v>6024.5837084949017</v>
      </c>
      <c r="L787" s="59">
        <v>0</v>
      </c>
      <c r="M787" s="11">
        <v>0.85730180144309998</v>
      </c>
      <c r="N787" s="11">
        <v>0.66064071655273438</v>
      </c>
      <c r="O787" s="11">
        <v>0.26420170068740845</v>
      </c>
      <c r="Q787" s="59">
        <v>14.372485561547633</v>
      </c>
      <c r="R787" s="78">
        <v>513.41376244904131</v>
      </c>
      <c r="S787" s="78">
        <v>14.43691970221901</v>
      </c>
      <c r="T787" s="78">
        <v>601.56174662628041</v>
      </c>
      <c r="U787" s="59">
        <v>14.442084305412729</v>
      </c>
      <c r="V787" s="78">
        <v>802.81262762273514</v>
      </c>
      <c r="X787" s="134">
        <f t="shared" si="72"/>
        <v>1436735.1423923143</v>
      </c>
      <c r="Y787" s="134">
        <f t="shared" si="73"/>
        <v>1443090.4084752747</v>
      </c>
      <c r="Z787" s="134">
        <f t="shared" si="74"/>
        <v>1443405.6179136503</v>
      </c>
      <c r="AB787" s="127">
        <f t="shared" si="75"/>
        <v>0</v>
      </c>
      <c r="AC787" s="127">
        <f t="shared" si="76"/>
        <v>0</v>
      </c>
      <c r="AD787" s="127">
        <f t="shared" si="77"/>
        <v>1</v>
      </c>
    </row>
    <row r="788" spans="1:30" x14ac:dyDescent="0.25">
      <c r="A788">
        <v>783</v>
      </c>
      <c r="C788" s="11">
        <v>1.9359111785888672E-2</v>
      </c>
      <c r="D788" s="11">
        <v>5.5535882711410522E-3</v>
      </c>
      <c r="E788" s="11">
        <v>0.14444117555594022</v>
      </c>
      <c r="F788" s="11">
        <v>0.21374488661457336</v>
      </c>
      <c r="G788" s="11">
        <v>1.2086033821105957E-2</v>
      </c>
      <c r="H788" s="40">
        <v>4.2603765323736203E-4</v>
      </c>
      <c r="I788" s="40">
        <v>1.4332476385808299</v>
      </c>
      <c r="J788" s="59">
        <v>0</v>
      </c>
      <c r="K788" s="59">
        <v>3968.370147049427</v>
      </c>
      <c r="L788" s="59">
        <v>0</v>
      </c>
      <c r="M788" s="11">
        <v>0.82795572280883789</v>
      </c>
      <c r="N788" s="11">
        <v>0.70760428905487061</v>
      </c>
      <c r="O788" s="11">
        <v>0.3141646683216095</v>
      </c>
      <c r="Q788" s="59">
        <v>14.291133561525941</v>
      </c>
      <c r="R788" s="78">
        <v>461.05964651795568</v>
      </c>
      <c r="S788" s="78">
        <v>14.334143323788634</v>
      </c>
      <c r="T788" s="78">
        <v>588.82246993022636</v>
      </c>
      <c r="U788" s="59">
        <v>14.330608448588038</v>
      </c>
      <c r="V788" s="78">
        <v>802.5188171623364</v>
      </c>
      <c r="X788" s="134">
        <f t="shared" ref="X788:X851" si="78">Q788*cRatio-R788</f>
        <v>1428652.2965060761</v>
      </c>
      <c r="Y788" s="134">
        <f t="shared" ref="Y788:Y851" si="79">S788*cRatio-T788</f>
        <v>1432825.5099089332</v>
      </c>
      <c r="Z788" s="134">
        <f t="shared" ref="Z788:Z851" si="80">U788*cRatio-V788</f>
        <v>1432258.3260416414</v>
      </c>
      <c r="AB788" s="127">
        <f t="shared" ref="AB788:AB851" si="81">IF(X788=MAX($X788:$Z788),1,0)</f>
        <v>0</v>
      </c>
      <c r="AC788" s="127">
        <f t="shared" ref="AC788:AC851" si="82">IF(Y788=MAX($X788:$Z788),1,0)</f>
        <v>1</v>
      </c>
      <c r="AD788" s="127">
        <f t="shared" ref="AD788:AD851" si="83">IF(Z788=MAX($X788:$Z788),1,0)</f>
        <v>0</v>
      </c>
    </row>
    <row r="789" spans="1:30" x14ac:dyDescent="0.25">
      <c r="A789">
        <v>784</v>
      </c>
      <c r="C789" s="11">
        <v>5.5849254131317139E-3</v>
      </c>
      <c r="D789" s="11">
        <v>1.1962041258811951E-2</v>
      </c>
      <c r="E789" s="11">
        <v>0.22965798957083255</v>
      </c>
      <c r="F789" s="11">
        <v>0.14158121106192417</v>
      </c>
      <c r="G789" s="11">
        <v>3.5269081592559814E-2</v>
      </c>
      <c r="H789" s="40">
        <v>4.4531764553804715E-4</v>
      </c>
      <c r="I789" s="40">
        <v>1.4732510951039854</v>
      </c>
      <c r="J789" s="59">
        <v>0</v>
      </c>
      <c r="K789" s="59">
        <v>5992.5112873315811</v>
      </c>
      <c r="L789" s="59">
        <v>0</v>
      </c>
      <c r="M789" s="11">
        <v>0.83028876781463623</v>
      </c>
      <c r="N789" s="11">
        <v>0.64760208129882813</v>
      </c>
      <c r="O789" s="11">
        <v>0.31317943334579468</v>
      </c>
      <c r="Q789" s="59">
        <v>14.499372125905479</v>
      </c>
      <c r="R789" s="78">
        <v>531.60533321181288</v>
      </c>
      <c r="S789" s="78">
        <v>14.564210584497394</v>
      </c>
      <c r="T789" s="78">
        <v>611.06951708063002</v>
      </c>
      <c r="U789" s="59">
        <v>14.571762391221696</v>
      </c>
      <c r="V789" s="78">
        <v>807.80389611023134</v>
      </c>
      <c r="X789" s="134">
        <f t="shared" si="78"/>
        <v>1449405.6072573361</v>
      </c>
      <c r="Y789" s="134">
        <f t="shared" si="79"/>
        <v>1455809.9889326587</v>
      </c>
      <c r="Z789" s="134">
        <f t="shared" si="80"/>
        <v>1456368.4352260593</v>
      </c>
      <c r="AB789" s="127">
        <f t="shared" si="81"/>
        <v>0</v>
      </c>
      <c r="AC789" s="127">
        <f t="shared" si="82"/>
        <v>0</v>
      </c>
      <c r="AD789" s="127">
        <f t="shared" si="83"/>
        <v>1</v>
      </c>
    </row>
    <row r="790" spans="1:30" x14ac:dyDescent="0.25">
      <c r="A790">
        <v>785</v>
      </c>
      <c r="C790" s="11">
        <v>4.485011100769043E-2</v>
      </c>
      <c r="D790" s="11">
        <v>1.0370790958404541E-2</v>
      </c>
      <c r="E790" s="11">
        <v>0.32956381124464024</v>
      </c>
      <c r="F790" s="11">
        <v>0.2247420186295489</v>
      </c>
      <c r="G790" s="11">
        <v>2.6984095573425293E-2</v>
      </c>
      <c r="H790" s="40">
        <v>3.7029034991063021E-4</v>
      </c>
      <c r="I790" s="40">
        <v>1.5415249358101752</v>
      </c>
      <c r="J790" s="59">
        <v>0</v>
      </c>
      <c r="K790" s="59">
        <v>6263.3096240460873</v>
      </c>
      <c r="L790" s="59">
        <v>0</v>
      </c>
      <c r="M790" s="11">
        <v>0.80423331260681152</v>
      </c>
      <c r="N790" s="11">
        <v>0.72094500064849854</v>
      </c>
      <c r="O790" s="11">
        <v>0.27016770839691162</v>
      </c>
      <c r="Q790" s="59">
        <v>13.516920698831145</v>
      </c>
      <c r="R790" s="78">
        <v>528.17860686701636</v>
      </c>
      <c r="S790" s="78">
        <v>13.55123409542675</v>
      </c>
      <c r="T790" s="78">
        <v>623.82636662913058</v>
      </c>
      <c r="U790" s="59">
        <v>13.556699995556443</v>
      </c>
      <c r="V790" s="78">
        <v>818.63437115179499</v>
      </c>
      <c r="X790" s="134">
        <f t="shared" si="78"/>
        <v>1351163.8912762473</v>
      </c>
      <c r="Y790" s="134">
        <f t="shared" si="79"/>
        <v>1354499.5831760457</v>
      </c>
      <c r="Z790" s="134">
        <f t="shared" si="80"/>
        <v>1354851.3651844927</v>
      </c>
      <c r="AB790" s="127">
        <f t="shared" si="81"/>
        <v>0</v>
      </c>
      <c r="AC790" s="127">
        <f t="shared" si="82"/>
        <v>0</v>
      </c>
      <c r="AD790" s="127">
        <f t="shared" si="83"/>
        <v>1</v>
      </c>
    </row>
    <row r="791" spans="1:30" x14ac:dyDescent="0.25">
      <c r="A791">
        <v>786</v>
      </c>
      <c r="C791" s="11">
        <v>1.9213080406188965E-2</v>
      </c>
      <c r="D791" s="11">
        <v>2.0125061273574829E-2</v>
      </c>
      <c r="E791" s="11">
        <v>0.37313394238062464</v>
      </c>
      <c r="F791" s="11">
        <v>0.24500497025958926</v>
      </c>
      <c r="G791" s="11">
        <v>3.4840852022171021E-2</v>
      </c>
      <c r="H791" s="40">
        <v>3.5956319683730766E-4</v>
      </c>
      <c r="I791" s="40">
        <v>1.4408919135477567</v>
      </c>
      <c r="J791" s="59">
        <v>0</v>
      </c>
      <c r="K791" s="59">
        <v>5569.4021284580231</v>
      </c>
      <c r="L791" s="59">
        <v>0</v>
      </c>
      <c r="M791" s="11">
        <v>0.82774507999420166</v>
      </c>
      <c r="N791" s="11">
        <v>0.7964928150177002</v>
      </c>
      <c r="O791" s="11">
        <v>0.27169770002365112</v>
      </c>
      <c r="Q791" s="59">
        <v>14.309719225815048</v>
      </c>
      <c r="R791" s="78">
        <v>486.71277835167382</v>
      </c>
      <c r="S791" s="78">
        <v>14.328597238811941</v>
      </c>
      <c r="T791" s="78">
        <v>613.89430476443692</v>
      </c>
      <c r="U791" s="59">
        <v>14.332505490509133</v>
      </c>
      <c r="V791" s="78">
        <v>810.95274451287241</v>
      </c>
      <c r="X791" s="134">
        <f t="shared" si="78"/>
        <v>1430485.2098031531</v>
      </c>
      <c r="Y791" s="134">
        <f t="shared" si="79"/>
        <v>1432245.8295764297</v>
      </c>
      <c r="Z791" s="134">
        <f t="shared" si="80"/>
        <v>1432439.5963064006</v>
      </c>
      <c r="AB791" s="127">
        <f t="shared" si="81"/>
        <v>0</v>
      </c>
      <c r="AC791" s="127">
        <f t="shared" si="82"/>
        <v>0</v>
      </c>
      <c r="AD791" s="127">
        <f t="shared" si="83"/>
        <v>1</v>
      </c>
    </row>
    <row r="792" spans="1:30" x14ac:dyDescent="0.25">
      <c r="A792">
        <v>787</v>
      </c>
      <c r="C792" s="11">
        <v>2.5021404027938843E-2</v>
      </c>
      <c r="D792" s="11">
        <v>1.9099682569503784E-2</v>
      </c>
      <c r="E792" s="11">
        <v>0.24678333433177044</v>
      </c>
      <c r="F792" s="11">
        <v>0.16184154357868402</v>
      </c>
      <c r="G792" s="11">
        <v>6.6607832908630371E-2</v>
      </c>
      <c r="H792" s="40">
        <v>4.136872286196397E-4</v>
      </c>
      <c r="I792" s="40">
        <v>1.5652251886878246</v>
      </c>
      <c r="J792" s="59">
        <v>0</v>
      </c>
      <c r="K792" s="59">
        <v>4818.3463513851166</v>
      </c>
      <c r="L792" s="59">
        <v>0</v>
      </c>
      <c r="M792" s="11">
        <v>0.86710816621780396</v>
      </c>
      <c r="N792" s="11">
        <v>0.69981241226196289</v>
      </c>
      <c r="O792" s="11">
        <v>0.33325403928756714</v>
      </c>
      <c r="Q792" s="59">
        <v>14.82904565613519</v>
      </c>
      <c r="R792" s="78">
        <v>545.78809360605078</v>
      </c>
      <c r="S792" s="78">
        <v>14.906803975842832</v>
      </c>
      <c r="T792" s="78">
        <v>617.13400489944308</v>
      </c>
      <c r="U792" s="59">
        <v>14.915779256875997</v>
      </c>
      <c r="V792" s="78">
        <v>813.05934799561851</v>
      </c>
      <c r="X792" s="134">
        <f t="shared" si="78"/>
        <v>1482358.7775199129</v>
      </c>
      <c r="Y792" s="134">
        <f t="shared" si="79"/>
        <v>1490063.2635793837</v>
      </c>
      <c r="Z792" s="134">
        <f t="shared" si="80"/>
        <v>1490764.8663396041</v>
      </c>
      <c r="AB792" s="127">
        <f t="shared" si="81"/>
        <v>0</v>
      </c>
      <c r="AC792" s="127">
        <f t="shared" si="82"/>
        <v>0</v>
      </c>
      <c r="AD792" s="127">
        <f t="shared" si="83"/>
        <v>1</v>
      </c>
    </row>
    <row r="793" spans="1:30" x14ac:dyDescent="0.25">
      <c r="A793">
        <v>788</v>
      </c>
      <c r="C793" s="11">
        <v>3.6400556564331055E-3</v>
      </c>
      <c r="D793" s="11">
        <v>3.1274408102035522E-2</v>
      </c>
      <c r="E793" s="11">
        <v>0.24330843245281389</v>
      </c>
      <c r="F793" s="11">
        <v>0.17200484658590198</v>
      </c>
      <c r="G793" s="11">
        <v>3.7424951791763306E-2</v>
      </c>
      <c r="H793" s="40">
        <v>5.1626930202539111E-4</v>
      </c>
      <c r="I793" s="40">
        <v>1.4799530612952183</v>
      </c>
      <c r="J793" s="59">
        <v>0</v>
      </c>
      <c r="K793" s="59">
        <v>5815.3341524302959</v>
      </c>
      <c r="L793" s="59">
        <v>0</v>
      </c>
      <c r="M793" s="11">
        <v>0.86876410245895386</v>
      </c>
      <c r="N793" s="11">
        <v>0.74186807870864868</v>
      </c>
      <c r="O793" s="11">
        <v>0.30314362049102783</v>
      </c>
      <c r="Q793" s="59">
        <v>15.199986633561103</v>
      </c>
      <c r="R793" s="78">
        <v>552.64970270562719</v>
      </c>
      <c r="S793" s="78">
        <v>15.267382041253258</v>
      </c>
      <c r="T793" s="78">
        <v>618.26494773760373</v>
      </c>
      <c r="U793" s="59">
        <v>15.273870832960494</v>
      </c>
      <c r="V793" s="78">
        <v>815.80304631806814</v>
      </c>
      <c r="X793" s="134">
        <f t="shared" si="78"/>
        <v>1519446.0136534045</v>
      </c>
      <c r="Y793" s="134">
        <f t="shared" si="79"/>
        <v>1526119.9391775883</v>
      </c>
      <c r="Z793" s="134">
        <f t="shared" si="80"/>
        <v>1526571.2802497314</v>
      </c>
      <c r="AB793" s="127">
        <f t="shared" si="81"/>
        <v>0</v>
      </c>
      <c r="AC793" s="127">
        <f t="shared" si="82"/>
        <v>0</v>
      </c>
      <c r="AD793" s="127">
        <f t="shared" si="83"/>
        <v>1</v>
      </c>
    </row>
    <row r="794" spans="1:30" x14ac:dyDescent="0.25">
      <c r="A794">
        <v>789</v>
      </c>
      <c r="C794" s="11">
        <v>9.4315856695175171E-3</v>
      </c>
      <c r="D794" s="11">
        <v>4.9703717231750488E-3</v>
      </c>
      <c r="E794" s="11">
        <v>0.51526604339373372</v>
      </c>
      <c r="F794" s="11">
        <v>0.23828836803784834</v>
      </c>
      <c r="G794" s="11">
        <v>5.6712806224822998E-2</v>
      </c>
      <c r="H794" s="40">
        <v>5.5436757027942703E-4</v>
      </c>
      <c r="I794" s="40">
        <v>1.3546451362882632</v>
      </c>
      <c r="J794" s="59">
        <v>0</v>
      </c>
      <c r="K794" s="59">
        <v>7269.7550058364868</v>
      </c>
      <c r="L794" s="59">
        <v>0</v>
      </c>
      <c r="M794" s="11">
        <v>0.80909466743469238</v>
      </c>
      <c r="N794" s="11">
        <v>0.78495073318481445</v>
      </c>
      <c r="O794" s="11">
        <v>0.28415584564208984</v>
      </c>
      <c r="Q794" s="59">
        <v>14.12520026245749</v>
      </c>
      <c r="R794" s="78">
        <v>557.67986362440945</v>
      </c>
      <c r="S794" s="78">
        <v>14.140323919001091</v>
      </c>
      <c r="T794" s="78">
        <v>663.96867749293415</v>
      </c>
      <c r="U794" s="59">
        <v>14.14909402165493</v>
      </c>
      <c r="V794" s="78">
        <v>827.46262509110682</v>
      </c>
      <c r="X794" s="134">
        <f t="shared" si="78"/>
        <v>1411962.3463821246</v>
      </c>
      <c r="Y794" s="134">
        <f t="shared" si="79"/>
        <v>1413368.4232226161</v>
      </c>
      <c r="Z794" s="134">
        <f t="shared" si="80"/>
        <v>1414081.9395404018</v>
      </c>
      <c r="AB794" s="127">
        <f t="shared" si="81"/>
        <v>0</v>
      </c>
      <c r="AC794" s="127">
        <f t="shared" si="82"/>
        <v>0</v>
      </c>
      <c r="AD794" s="127">
        <f t="shared" si="83"/>
        <v>1</v>
      </c>
    </row>
    <row r="795" spans="1:30" x14ac:dyDescent="0.25">
      <c r="A795">
        <v>790</v>
      </c>
      <c r="C795" s="11">
        <v>2.8353840112686157E-2</v>
      </c>
      <c r="D795" s="11">
        <v>3.596961498260498E-2</v>
      </c>
      <c r="E795" s="11">
        <v>0.1879473910370211</v>
      </c>
      <c r="F795" s="11">
        <v>0.16127122164920044</v>
      </c>
      <c r="G795" s="11">
        <v>4.828411340713501E-2</v>
      </c>
      <c r="H795" s="40">
        <v>4.4991352227762737E-4</v>
      </c>
      <c r="I795" s="40">
        <v>1.4557192562836037</v>
      </c>
      <c r="J795" s="59">
        <v>0</v>
      </c>
      <c r="K795" s="59">
        <v>5620.5829605460167</v>
      </c>
      <c r="L795" s="59">
        <v>0</v>
      </c>
      <c r="M795" s="11">
        <v>0.86112189292907715</v>
      </c>
      <c r="N795" s="11">
        <v>0.75430244207382202</v>
      </c>
      <c r="O795" s="11">
        <v>0.30421864986419678</v>
      </c>
      <c r="Q795" s="59">
        <v>14.710962625050676</v>
      </c>
      <c r="R795" s="78">
        <v>522.3748682715227</v>
      </c>
      <c r="S795" s="78">
        <v>14.766170611814109</v>
      </c>
      <c r="T795" s="78">
        <v>603.48135831977459</v>
      </c>
      <c r="U795" s="59">
        <v>14.768016176792596</v>
      </c>
      <c r="V795" s="78">
        <v>809.01672454489119</v>
      </c>
      <c r="X795" s="134">
        <f t="shared" si="78"/>
        <v>1470573.8876367963</v>
      </c>
      <c r="Y795" s="134">
        <f t="shared" si="79"/>
        <v>1476013.5798230912</v>
      </c>
      <c r="Z795" s="134">
        <f t="shared" si="80"/>
        <v>1475992.6009547147</v>
      </c>
      <c r="AB795" s="127">
        <f t="shared" si="81"/>
        <v>0</v>
      </c>
      <c r="AC795" s="127">
        <f t="shared" si="82"/>
        <v>1</v>
      </c>
      <c r="AD795" s="127">
        <f t="shared" si="83"/>
        <v>0</v>
      </c>
    </row>
    <row r="796" spans="1:30" x14ac:dyDescent="0.25">
      <c r="A796">
        <v>791</v>
      </c>
      <c r="C796" s="11">
        <v>1.0726675391197205E-2</v>
      </c>
      <c r="D796" s="11">
        <v>1.0151863098144531E-2</v>
      </c>
      <c r="E796" s="11">
        <v>0.16686005956871944</v>
      </c>
      <c r="F796" s="11">
        <v>0.33087822893991592</v>
      </c>
      <c r="G796" s="11">
        <v>4.052165150642395E-2</v>
      </c>
      <c r="H796" s="40">
        <v>3.4420683303538146E-4</v>
      </c>
      <c r="I796" s="40">
        <v>1.5721082473684607</v>
      </c>
      <c r="J796" s="59">
        <v>0</v>
      </c>
      <c r="K796" s="59">
        <v>3764.5688280463219</v>
      </c>
      <c r="L796" s="59">
        <v>0</v>
      </c>
      <c r="M796" s="11">
        <v>0.8442109227180481</v>
      </c>
      <c r="N796" s="11">
        <v>0.7511250376701355</v>
      </c>
      <c r="O796" s="11">
        <v>0.26955091953277588</v>
      </c>
      <c r="Q796" s="59">
        <v>14.689989692489215</v>
      </c>
      <c r="R796" s="78">
        <v>485.22801198847975</v>
      </c>
      <c r="S796" s="78">
        <v>14.741297108467325</v>
      </c>
      <c r="T796" s="78">
        <v>594.4875434627304</v>
      </c>
      <c r="U796" s="59">
        <v>14.731027589848523</v>
      </c>
      <c r="V796" s="78">
        <v>818.60638178152874</v>
      </c>
      <c r="X796" s="134">
        <f t="shared" si="78"/>
        <v>1468513.741236933</v>
      </c>
      <c r="Y796" s="134">
        <f t="shared" si="79"/>
        <v>1473535.2233032698</v>
      </c>
      <c r="Z796" s="134">
        <f t="shared" si="80"/>
        <v>1472284.1526030707</v>
      </c>
      <c r="AB796" s="127">
        <f t="shared" si="81"/>
        <v>0</v>
      </c>
      <c r="AC796" s="127">
        <f t="shared" si="82"/>
        <v>1</v>
      </c>
      <c r="AD796" s="127">
        <f t="shared" si="83"/>
        <v>0</v>
      </c>
    </row>
    <row r="797" spans="1:30" x14ac:dyDescent="0.25">
      <c r="A797">
        <v>792</v>
      </c>
      <c r="C797" s="11">
        <v>3.9546370506286621E-2</v>
      </c>
      <c r="D797" s="11">
        <v>1.9999384880065918E-2</v>
      </c>
      <c r="E797" s="11">
        <v>0.29297770347744445</v>
      </c>
      <c r="F797" s="11">
        <v>0.27911388065340786</v>
      </c>
      <c r="G797" s="11">
        <v>5.6156575679779053E-2</v>
      </c>
      <c r="H797" s="40">
        <v>4.8436579003038042E-4</v>
      </c>
      <c r="I797" s="40">
        <v>1.4549363064306227</v>
      </c>
      <c r="J797" s="59">
        <v>0</v>
      </c>
      <c r="K797" s="59">
        <v>3854.8954762518406</v>
      </c>
      <c r="L797" s="59">
        <v>0</v>
      </c>
      <c r="M797" s="11">
        <v>0.86037880182266235</v>
      </c>
      <c r="N797" s="11">
        <v>0.7886044979095459</v>
      </c>
      <c r="O797" s="11">
        <v>0.28608715534210205</v>
      </c>
      <c r="Q797" s="59">
        <v>14.537639695753297</v>
      </c>
      <c r="R797" s="78">
        <v>491.35395220649826</v>
      </c>
      <c r="S797" s="78">
        <v>14.578880979088382</v>
      </c>
      <c r="T797" s="78">
        <v>607.90947499821607</v>
      </c>
      <c r="U797" s="59">
        <v>14.579703116928677</v>
      </c>
      <c r="V797" s="78">
        <v>815.54878895872696</v>
      </c>
      <c r="X797" s="134">
        <f t="shared" si="78"/>
        <v>1453272.6156231232</v>
      </c>
      <c r="Y797" s="134">
        <f t="shared" si="79"/>
        <v>1457280.1884338399</v>
      </c>
      <c r="Z797" s="134">
        <f t="shared" si="80"/>
        <v>1457154.762903909</v>
      </c>
      <c r="AB797" s="127">
        <f t="shared" si="81"/>
        <v>0</v>
      </c>
      <c r="AC797" s="127">
        <f t="shared" si="82"/>
        <v>1</v>
      </c>
      <c r="AD797" s="127">
        <f t="shared" si="83"/>
        <v>0</v>
      </c>
    </row>
    <row r="798" spans="1:30" x14ac:dyDescent="0.25">
      <c r="A798">
        <v>793</v>
      </c>
      <c r="C798" s="11">
        <v>7.5862884521484375E-2</v>
      </c>
      <c r="D798" s="11">
        <v>2.5766193866729736E-2</v>
      </c>
      <c r="E798" s="11">
        <v>0.29440426512768614</v>
      </c>
      <c r="F798" s="11">
        <v>0.20009458216491835</v>
      </c>
      <c r="G798" s="11">
        <v>1.5918344259262085E-2</v>
      </c>
      <c r="H798" s="40">
        <v>5.1553821726355877E-4</v>
      </c>
      <c r="I798" s="40">
        <v>1.3965493985112731</v>
      </c>
      <c r="J798" s="59">
        <v>0</v>
      </c>
      <c r="K798" s="59">
        <v>7011.6855204105377</v>
      </c>
      <c r="L798" s="59">
        <v>0</v>
      </c>
      <c r="M798" s="11">
        <v>0.84599035978317261</v>
      </c>
      <c r="N798" s="11">
        <v>0.77741950750350952</v>
      </c>
      <c r="O798" s="11">
        <v>0.31000444293022156</v>
      </c>
      <c r="Q798" s="59">
        <v>13.766173871014283</v>
      </c>
      <c r="R798" s="78">
        <v>517.80497400342028</v>
      </c>
      <c r="S798" s="78">
        <v>13.796619710111198</v>
      </c>
      <c r="T798" s="78">
        <v>615.89555153863239</v>
      </c>
      <c r="U798" s="59">
        <v>13.800754985159022</v>
      </c>
      <c r="V798" s="78">
        <v>813.11750782537251</v>
      </c>
      <c r="X798" s="134">
        <f t="shared" si="78"/>
        <v>1376099.5821274249</v>
      </c>
      <c r="Y798" s="134">
        <f t="shared" si="79"/>
        <v>1379046.0754595813</v>
      </c>
      <c r="Z798" s="134">
        <f t="shared" si="80"/>
        <v>1379262.3810080769</v>
      </c>
      <c r="AB798" s="127">
        <f t="shared" si="81"/>
        <v>0</v>
      </c>
      <c r="AC798" s="127">
        <f t="shared" si="82"/>
        <v>0</v>
      </c>
      <c r="AD798" s="127">
        <f t="shared" si="83"/>
        <v>1</v>
      </c>
    </row>
    <row r="799" spans="1:30" x14ac:dyDescent="0.25">
      <c r="A799">
        <v>794</v>
      </c>
      <c r="C799" s="11">
        <v>3.3466100692749023E-2</v>
      </c>
      <c r="D799" s="11">
        <v>1.3673961162567139E-2</v>
      </c>
      <c r="E799" s="11">
        <v>0.22285775335123936</v>
      </c>
      <c r="F799" s="11">
        <v>0.17359211184679649</v>
      </c>
      <c r="G799" s="11">
        <v>2.5456994771957397E-2</v>
      </c>
      <c r="H799" s="40">
        <v>5.2982563015640746E-4</v>
      </c>
      <c r="I799" s="40">
        <v>1.5107023416337897</v>
      </c>
      <c r="J799" s="59">
        <v>0</v>
      </c>
      <c r="K799" s="59">
        <v>5241.4229139685631</v>
      </c>
      <c r="L799" s="59">
        <v>0</v>
      </c>
      <c r="M799" s="11">
        <v>0.83387207984924316</v>
      </c>
      <c r="N799" s="11">
        <v>0.74125349521636963</v>
      </c>
      <c r="O799" s="11">
        <v>0.28763532638549805</v>
      </c>
      <c r="Q799" s="59">
        <v>14.163158415192202</v>
      </c>
      <c r="R799" s="78">
        <v>540.24818492630618</v>
      </c>
      <c r="S799" s="78">
        <v>14.219560100785978</v>
      </c>
      <c r="T799" s="78">
        <v>612.25921150770841</v>
      </c>
      <c r="U799" s="59">
        <v>14.223226940028031</v>
      </c>
      <c r="V799" s="78">
        <v>813.94041702481343</v>
      </c>
      <c r="X799" s="134">
        <f t="shared" si="78"/>
        <v>1415775.5933342939</v>
      </c>
      <c r="Y799" s="134">
        <f t="shared" si="79"/>
        <v>1421343.7508670902</v>
      </c>
      <c r="Z799" s="134">
        <f t="shared" si="80"/>
        <v>1421508.7535857784</v>
      </c>
      <c r="AB799" s="127">
        <f t="shared" si="81"/>
        <v>0</v>
      </c>
      <c r="AC799" s="127">
        <f t="shared" si="82"/>
        <v>0</v>
      </c>
      <c r="AD799" s="127">
        <f t="shared" si="83"/>
        <v>1</v>
      </c>
    </row>
    <row r="800" spans="1:30" x14ac:dyDescent="0.25">
      <c r="A800">
        <v>795</v>
      </c>
      <c r="C800" s="11">
        <v>3.1773954629898071E-2</v>
      </c>
      <c r="D800" s="11">
        <v>7.3401480913162231E-3</v>
      </c>
      <c r="E800" s="11">
        <v>0.12276784589461057</v>
      </c>
      <c r="F800" s="11">
        <v>0.15333002076104932</v>
      </c>
      <c r="G800" s="11">
        <v>3.3946484327316284E-2</v>
      </c>
      <c r="H800" s="40">
        <v>6.1229678010720498E-4</v>
      </c>
      <c r="I800" s="40">
        <v>1.4320183800710053</v>
      </c>
      <c r="J800" s="59">
        <v>0</v>
      </c>
      <c r="K800" s="59">
        <v>5664.5995937287807</v>
      </c>
      <c r="L800" s="59">
        <v>0</v>
      </c>
      <c r="M800" s="11">
        <v>0.88693320751190186</v>
      </c>
      <c r="N800" s="11">
        <v>0.76270931959152222</v>
      </c>
      <c r="O800" s="11">
        <v>0.34331715106964111</v>
      </c>
      <c r="Q800" s="59">
        <v>15.090734999804182</v>
      </c>
      <c r="R800" s="78">
        <v>546.81286184672945</v>
      </c>
      <c r="S800" s="78">
        <v>15.158844608559752</v>
      </c>
      <c r="T800" s="78">
        <v>598.13756642339069</v>
      </c>
      <c r="U800" s="59">
        <v>15.156418508470868</v>
      </c>
      <c r="V800" s="78">
        <v>811.88502591169572</v>
      </c>
      <c r="X800" s="134">
        <f t="shared" si="78"/>
        <v>1508526.6871185715</v>
      </c>
      <c r="Y800" s="134">
        <f t="shared" si="79"/>
        <v>1515286.323289552</v>
      </c>
      <c r="Z800" s="134">
        <f t="shared" si="80"/>
        <v>1514829.9658211751</v>
      </c>
      <c r="AB800" s="127">
        <f t="shared" si="81"/>
        <v>0</v>
      </c>
      <c r="AC800" s="127">
        <f t="shared" si="82"/>
        <v>1</v>
      </c>
      <c r="AD800" s="127">
        <f t="shared" si="83"/>
        <v>0</v>
      </c>
    </row>
    <row r="801" spans="1:30" x14ac:dyDescent="0.25">
      <c r="A801">
        <v>796</v>
      </c>
      <c r="C801" s="11">
        <v>1.4356613159179688E-2</v>
      </c>
      <c r="D801" s="11">
        <v>1.1292621493339539E-2</v>
      </c>
      <c r="E801" s="11">
        <v>0.39196788751184725</v>
      </c>
      <c r="F801" s="11">
        <v>7.4115816161720458E-2</v>
      </c>
      <c r="G801" s="11">
        <v>9.1777324676513672E-2</v>
      </c>
      <c r="H801" s="40">
        <v>5.7909376440324093E-4</v>
      </c>
      <c r="I801" s="40">
        <v>1.4314499362977793</v>
      </c>
      <c r="J801" s="59">
        <v>0</v>
      </c>
      <c r="K801" s="59">
        <v>3418.4893593192101</v>
      </c>
      <c r="L801" s="59">
        <v>0</v>
      </c>
      <c r="M801" s="11">
        <v>0.79224443435668945</v>
      </c>
      <c r="N801" s="11">
        <v>0.75613874197006226</v>
      </c>
      <c r="O801" s="11">
        <v>0.26173365116119385</v>
      </c>
      <c r="Q801" s="59">
        <v>13.738683282940327</v>
      </c>
      <c r="R801" s="78">
        <v>508.76538629517165</v>
      </c>
      <c r="S801" s="78">
        <v>13.771357773224608</v>
      </c>
      <c r="T801" s="78">
        <v>624.54627120842463</v>
      </c>
      <c r="U801" s="59">
        <v>13.788847239257606</v>
      </c>
      <c r="V801" s="78">
        <v>796.66872510109158</v>
      </c>
      <c r="X801" s="134">
        <f t="shared" si="78"/>
        <v>1373359.5629077374</v>
      </c>
      <c r="Y801" s="134">
        <f t="shared" si="79"/>
        <v>1376511.2310512525</v>
      </c>
      <c r="Z801" s="134">
        <f t="shared" si="80"/>
        <v>1378088.0552006597</v>
      </c>
      <c r="AB801" s="127">
        <f t="shared" si="81"/>
        <v>0</v>
      </c>
      <c r="AC801" s="127">
        <f t="shared" si="82"/>
        <v>0</v>
      </c>
      <c r="AD801" s="127">
        <f t="shared" si="83"/>
        <v>1</v>
      </c>
    </row>
    <row r="802" spans="1:30" x14ac:dyDescent="0.25">
      <c r="A802">
        <v>797</v>
      </c>
      <c r="C802" s="11">
        <v>2.6205211877822876E-2</v>
      </c>
      <c r="D802" s="11">
        <v>1.2896269559860229E-2</v>
      </c>
      <c r="E802" s="11">
        <v>0.7539980588159545</v>
      </c>
      <c r="F802" s="11">
        <v>0.18297380009794906</v>
      </c>
      <c r="G802" s="11">
        <v>2.6181906461715698E-2</v>
      </c>
      <c r="H802" s="40">
        <v>4.3483412476086114E-4</v>
      </c>
      <c r="I802" s="40">
        <v>1.4722879489465415</v>
      </c>
      <c r="J802" s="59">
        <v>0</v>
      </c>
      <c r="K802" s="59">
        <v>5609.5980107784271</v>
      </c>
      <c r="L802" s="59">
        <v>0</v>
      </c>
      <c r="M802" s="11">
        <v>0.82929348945617676</v>
      </c>
      <c r="N802" s="11">
        <v>0.71248149871826172</v>
      </c>
      <c r="O802" s="11">
        <v>0.28191095590591431</v>
      </c>
      <c r="Q802" s="59">
        <v>14.203045610408788</v>
      </c>
      <c r="R802" s="78">
        <v>510.91044419433462</v>
      </c>
      <c r="S802" s="78">
        <v>14.217900525306373</v>
      </c>
      <c r="T802" s="78">
        <v>667.55583354357054</v>
      </c>
      <c r="U802" s="59">
        <v>14.252997010045565</v>
      </c>
      <c r="V802" s="78">
        <v>809.72171484359649</v>
      </c>
      <c r="X802" s="134">
        <f t="shared" si="78"/>
        <v>1419793.6505966843</v>
      </c>
      <c r="Y802" s="134">
        <f t="shared" si="79"/>
        <v>1421122.4966970936</v>
      </c>
      <c r="Z802" s="134">
        <f t="shared" si="80"/>
        <v>1424489.9792897129</v>
      </c>
      <c r="AB802" s="127">
        <f t="shared" si="81"/>
        <v>0</v>
      </c>
      <c r="AC802" s="127">
        <f t="shared" si="82"/>
        <v>0</v>
      </c>
      <c r="AD802" s="127">
        <f t="shared" si="83"/>
        <v>1</v>
      </c>
    </row>
    <row r="803" spans="1:30" x14ac:dyDescent="0.25">
      <c r="A803">
        <v>798</v>
      </c>
      <c r="C803" s="11">
        <v>9.5906257629394531E-3</v>
      </c>
      <c r="D803" s="11">
        <v>1.9932404160499573E-2</v>
      </c>
      <c r="E803" s="11">
        <v>0.24653759170519601</v>
      </c>
      <c r="F803" s="11">
        <v>0.14643185739629486</v>
      </c>
      <c r="G803" s="11">
        <v>5.4602682590484619E-2</v>
      </c>
      <c r="H803" s="40">
        <v>4.4979287527108664E-4</v>
      </c>
      <c r="I803" s="40">
        <v>1.3683096164142787</v>
      </c>
      <c r="J803" s="59">
        <v>0</v>
      </c>
      <c r="K803" s="59">
        <v>7710.4289084672928</v>
      </c>
      <c r="L803" s="59">
        <v>0</v>
      </c>
      <c r="M803" s="11">
        <v>0.81370043754577637</v>
      </c>
      <c r="N803" s="11">
        <v>0.66279697418212891</v>
      </c>
      <c r="O803" s="11">
        <v>0.23971080780029297</v>
      </c>
      <c r="Q803" s="59">
        <v>14.174310588190348</v>
      </c>
      <c r="R803" s="78">
        <v>538.63836669277703</v>
      </c>
      <c r="S803" s="78">
        <v>14.219878282951305</v>
      </c>
      <c r="T803" s="78">
        <v>615.01356204678473</v>
      </c>
      <c r="U803" s="59">
        <v>14.226011317064769</v>
      </c>
      <c r="V803" s="78">
        <v>809.41866500486435</v>
      </c>
      <c r="X803" s="134">
        <f t="shared" si="78"/>
        <v>1416892.4204523421</v>
      </c>
      <c r="Y803" s="134">
        <f t="shared" si="79"/>
        <v>1421372.8147330838</v>
      </c>
      <c r="Z803" s="134">
        <f t="shared" si="80"/>
        <v>1421791.713041472</v>
      </c>
      <c r="AB803" s="127">
        <f t="shared" si="81"/>
        <v>0</v>
      </c>
      <c r="AC803" s="127">
        <f t="shared" si="82"/>
        <v>0</v>
      </c>
      <c r="AD803" s="127">
        <f t="shared" si="83"/>
        <v>1</v>
      </c>
    </row>
    <row r="804" spans="1:30" x14ac:dyDescent="0.25">
      <c r="A804">
        <v>799</v>
      </c>
      <c r="C804" s="11">
        <v>6.8396478891372681E-3</v>
      </c>
      <c r="D804" s="11">
        <v>3.369063138961792E-2</v>
      </c>
      <c r="E804" s="11">
        <v>0.77019221442376662</v>
      </c>
      <c r="F804" s="11">
        <v>0.13337260698741712</v>
      </c>
      <c r="G804" s="11">
        <v>4.5980274677276611E-2</v>
      </c>
      <c r="H804" s="40">
        <v>4.8733903020334714E-4</v>
      </c>
      <c r="I804" s="40">
        <v>1.3559596743970435</v>
      </c>
      <c r="J804" s="59">
        <v>0</v>
      </c>
      <c r="K804" s="59">
        <v>7326.263003051281</v>
      </c>
      <c r="L804" s="59">
        <v>0</v>
      </c>
      <c r="M804" s="11">
        <v>0.80384731292724609</v>
      </c>
      <c r="N804" s="11">
        <v>0.76604366302490234</v>
      </c>
      <c r="O804" s="11">
        <v>0.33187359571456909</v>
      </c>
      <c r="Q804" s="59">
        <v>14.0662301967758</v>
      </c>
      <c r="R804" s="78">
        <v>531.5497298852207</v>
      </c>
      <c r="S804" s="78">
        <v>14.074280341527759</v>
      </c>
      <c r="T804" s="78">
        <v>685.27390599251203</v>
      </c>
      <c r="U804" s="59">
        <v>14.096906023311552</v>
      </c>
      <c r="V804" s="78">
        <v>806.56534310737879</v>
      </c>
      <c r="X804" s="134">
        <f t="shared" si="78"/>
        <v>1406091.4699476948</v>
      </c>
      <c r="Y804" s="134">
        <f t="shared" si="79"/>
        <v>1406742.7602467835</v>
      </c>
      <c r="Z804" s="134">
        <f t="shared" si="80"/>
        <v>1408884.0369880479</v>
      </c>
      <c r="AB804" s="127">
        <f t="shared" si="81"/>
        <v>0</v>
      </c>
      <c r="AC804" s="127">
        <f t="shared" si="82"/>
        <v>0</v>
      </c>
      <c r="AD804" s="127">
        <f t="shared" si="83"/>
        <v>1</v>
      </c>
    </row>
    <row r="805" spans="1:30" x14ac:dyDescent="0.25">
      <c r="A805">
        <v>800</v>
      </c>
      <c r="C805" s="11">
        <v>6.3629150390625E-3</v>
      </c>
      <c r="D805" s="11">
        <v>1.8777340650558472E-2</v>
      </c>
      <c r="E805" s="11">
        <v>0.20198073042408135</v>
      </c>
      <c r="F805" s="11">
        <v>0.4557179955825314</v>
      </c>
      <c r="G805" s="11">
        <v>6.146615743637085E-2</v>
      </c>
      <c r="H805" s="40">
        <v>4.8229999250139514E-4</v>
      </c>
      <c r="I805" s="40">
        <v>1.459834987312991</v>
      </c>
      <c r="J805" s="59">
        <v>0</v>
      </c>
      <c r="K805" s="59">
        <v>4064.6176785230637</v>
      </c>
      <c r="L805" s="59">
        <v>0</v>
      </c>
      <c r="M805" s="11">
        <v>0.86346203088760376</v>
      </c>
      <c r="N805" s="11">
        <v>0.70159053802490234</v>
      </c>
      <c r="O805" s="11">
        <v>0.33291858434677124</v>
      </c>
      <c r="Q805" s="59">
        <v>15.067137322356086</v>
      </c>
      <c r="R805" s="78">
        <v>503.86830310326008</v>
      </c>
      <c r="S805" s="78">
        <v>15.136762887167146</v>
      </c>
      <c r="T805" s="78">
        <v>601.53451640270225</v>
      </c>
      <c r="U805" s="59">
        <v>15.114355677844902</v>
      </c>
      <c r="V805" s="78">
        <v>838.59472484209698</v>
      </c>
      <c r="X805" s="134">
        <f t="shared" si="78"/>
        <v>1506209.8639325052</v>
      </c>
      <c r="Y805" s="134">
        <f t="shared" si="79"/>
        <v>1513074.7542003118</v>
      </c>
      <c r="Z805" s="134">
        <f t="shared" si="80"/>
        <v>1510596.9730596479</v>
      </c>
      <c r="AB805" s="127">
        <f t="shared" si="81"/>
        <v>0</v>
      </c>
      <c r="AC805" s="127">
        <f t="shared" si="82"/>
        <v>1</v>
      </c>
      <c r="AD805" s="127">
        <f t="shared" si="83"/>
        <v>0</v>
      </c>
    </row>
    <row r="806" spans="1:30" x14ac:dyDescent="0.25">
      <c r="A806">
        <v>801</v>
      </c>
      <c r="C806" s="11">
        <v>4.7187328338623047E-2</v>
      </c>
      <c r="D806" s="11">
        <v>9.5684081315994263E-3</v>
      </c>
      <c r="E806" s="11">
        <v>0.50177503057313622</v>
      </c>
      <c r="F806" s="11">
        <v>0.17382599712794825</v>
      </c>
      <c r="G806" s="11">
        <v>8.2272052764892578E-2</v>
      </c>
      <c r="H806" s="40">
        <v>3.2920766985397896E-4</v>
      </c>
      <c r="I806" s="40">
        <v>1.4242086585196487</v>
      </c>
      <c r="J806" s="59">
        <v>0</v>
      </c>
      <c r="K806" s="59">
        <v>3350.2979204058647</v>
      </c>
      <c r="L806" s="59">
        <v>0</v>
      </c>
      <c r="M806" s="11">
        <v>0.84769469499588013</v>
      </c>
      <c r="N806" s="11">
        <v>0.81271529197692871</v>
      </c>
      <c r="O806" s="11">
        <v>0.28650128841400146</v>
      </c>
      <c r="Q806" s="59">
        <v>14.237470728196781</v>
      </c>
      <c r="R806" s="78">
        <v>452.95438259184169</v>
      </c>
      <c r="S806" s="78">
        <v>14.251963365932504</v>
      </c>
      <c r="T806" s="78">
        <v>608.75091324584525</v>
      </c>
      <c r="U806" s="59">
        <v>14.261616588828964</v>
      </c>
      <c r="V806" s="78">
        <v>798.34527306735492</v>
      </c>
      <c r="X806" s="134">
        <f t="shared" si="78"/>
        <v>1423294.1184370862</v>
      </c>
      <c r="Y806" s="134">
        <f t="shared" si="79"/>
        <v>1424587.5856800044</v>
      </c>
      <c r="Z806" s="134">
        <f t="shared" si="80"/>
        <v>1425363.3136098292</v>
      </c>
      <c r="AB806" s="127">
        <f t="shared" si="81"/>
        <v>0</v>
      </c>
      <c r="AC806" s="127">
        <f t="shared" si="82"/>
        <v>0</v>
      </c>
      <c r="AD806" s="127">
        <f t="shared" si="83"/>
        <v>1</v>
      </c>
    </row>
    <row r="807" spans="1:30" x14ac:dyDescent="0.25">
      <c r="A807">
        <v>802</v>
      </c>
      <c r="C807" s="11">
        <v>3.8078129291534424E-3</v>
      </c>
      <c r="D807" s="11">
        <v>2.0211309194564819E-2</v>
      </c>
      <c r="E807" s="11">
        <v>0.49984833477037949</v>
      </c>
      <c r="F807" s="11">
        <v>0.37831102827667579</v>
      </c>
      <c r="G807" s="11">
        <v>3.3340007066726685E-2</v>
      </c>
      <c r="H807" s="40">
        <v>4.3495244136248319E-4</v>
      </c>
      <c r="I807" s="40">
        <v>1.4758235216898803</v>
      </c>
      <c r="J807" s="59">
        <v>0</v>
      </c>
      <c r="K807" s="59">
        <v>3614.7888749837875</v>
      </c>
      <c r="L807" s="59">
        <v>0</v>
      </c>
      <c r="M807" s="11">
        <v>0.86311328411102295</v>
      </c>
      <c r="N807" s="11">
        <v>0.70039486885070801</v>
      </c>
      <c r="O807" s="11">
        <v>0.31078732013702393</v>
      </c>
      <c r="Q807" s="59">
        <v>15.106478752209192</v>
      </c>
      <c r="R807" s="78">
        <v>474.86819224237001</v>
      </c>
      <c r="S807" s="78">
        <v>15.14662437642458</v>
      </c>
      <c r="T807" s="78">
        <v>619.80347885245362</v>
      </c>
      <c r="U807" s="59">
        <v>15.156510359140148</v>
      </c>
      <c r="V807" s="78">
        <v>818.95314121607839</v>
      </c>
      <c r="X807" s="134">
        <f t="shared" si="78"/>
        <v>1510173.0070286768</v>
      </c>
      <c r="Y807" s="134">
        <f t="shared" si="79"/>
        <v>1514042.6341636055</v>
      </c>
      <c r="Z807" s="134">
        <f t="shared" si="80"/>
        <v>1514832.0827727986</v>
      </c>
      <c r="AB807" s="127">
        <f t="shared" si="81"/>
        <v>0</v>
      </c>
      <c r="AC807" s="127">
        <f t="shared" si="82"/>
        <v>0</v>
      </c>
      <c r="AD807" s="127">
        <f t="shared" si="83"/>
        <v>1</v>
      </c>
    </row>
    <row r="808" spans="1:30" x14ac:dyDescent="0.25">
      <c r="A808">
        <v>803</v>
      </c>
      <c r="C808" s="11">
        <v>9.0496540069580078E-3</v>
      </c>
      <c r="D808" s="11">
        <v>3.3495068550109863E-2</v>
      </c>
      <c r="E808" s="11">
        <v>0.33285309558872372</v>
      </c>
      <c r="F808" s="11">
        <v>0.1592320681053169</v>
      </c>
      <c r="G808" s="11">
        <v>6.9536685943603516E-2</v>
      </c>
      <c r="H808" s="40">
        <v>4.076334515066454E-4</v>
      </c>
      <c r="I808" s="40">
        <v>1.3694389752351128</v>
      </c>
      <c r="J808" s="59">
        <v>0</v>
      </c>
      <c r="K808" s="59">
        <v>4263.3083648979664</v>
      </c>
      <c r="L808" s="59">
        <v>0</v>
      </c>
      <c r="M808" s="11">
        <v>0.83906495571136475</v>
      </c>
      <c r="N808" s="11">
        <v>0.78068703413009644</v>
      </c>
      <c r="O808" s="11">
        <v>0.24886178970336914</v>
      </c>
      <c r="Q808" s="59">
        <v>14.644425787461142</v>
      </c>
      <c r="R808" s="78">
        <v>471.33288566351013</v>
      </c>
      <c r="S808" s="78">
        <v>14.672538957785491</v>
      </c>
      <c r="T808" s="78">
        <v>604.94452240509099</v>
      </c>
      <c r="U808" s="59">
        <v>14.67994281866612</v>
      </c>
      <c r="V808" s="78">
        <v>800.43711619721898</v>
      </c>
      <c r="X808" s="134">
        <f t="shared" si="78"/>
        <v>1463971.2458604507</v>
      </c>
      <c r="Y808" s="134">
        <f t="shared" si="79"/>
        <v>1466648.9512561441</v>
      </c>
      <c r="Z808" s="134">
        <f t="shared" si="80"/>
        <v>1467193.8447504146</v>
      </c>
      <c r="AB808" s="127">
        <f t="shared" si="81"/>
        <v>0</v>
      </c>
      <c r="AC808" s="127">
        <f t="shared" si="82"/>
        <v>0</v>
      </c>
      <c r="AD808" s="127">
        <f t="shared" si="83"/>
        <v>1</v>
      </c>
    </row>
    <row r="809" spans="1:30" x14ac:dyDescent="0.25">
      <c r="A809">
        <v>804</v>
      </c>
      <c r="C809" s="11">
        <v>2.9408276081085205E-2</v>
      </c>
      <c r="D809" s="11">
        <v>1.6785264015197754E-2</v>
      </c>
      <c r="E809" s="11">
        <v>0.5532804540466344</v>
      </c>
      <c r="F809" s="11">
        <v>9.706600713107516E-2</v>
      </c>
      <c r="G809" s="11">
        <v>5.4145663976669312E-2</v>
      </c>
      <c r="H809" s="40">
        <v>4.8530072699029276E-4</v>
      </c>
      <c r="I809" s="40">
        <v>1.4343382068125934</v>
      </c>
      <c r="J809" s="59">
        <v>0</v>
      </c>
      <c r="K809" s="59">
        <v>6059.654988348484</v>
      </c>
      <c r="L809" s="59">
        <v>0</v>
      </c>
      <c r="M809" s="11">
        <v>0.80943965911865234</v>
      </c>
      <c r="N809" s="11">
        <v>0.74943524599075317</v>
      </c>
      <c r="O809" s="11">
        <v>0.32038354873657227</v>
      </c>
      <c r="Q809" s="59">
        <v>13.830452637852392</v>
      </c>
      <c r="R809" s="78">
        <v>538.91484360756431</v>
      </c>
      <c r="S809" s="78">
        <v>13.851058627145552</v>
      </c>
      <c r="T809" s="78">
        <v>659.81757258778509</v>
      </c>
      <c r="U809" s="59">
        <v>13.872513295476399</v>
      </c>
      <c r="V809" s="78">
        <v>802.29463452176208</v>
      </c>
      <c r="X809" s="134">
        <f t="shared" si="78"/>
        <v>1382506.3489416318</v>
      </c>
      <c r="Y809" s="134">
        <f t="shared" si="79"/>
        <v>1384446.0451419672</v>
      </c>
      <c r="Z809" s="134">
        <f t="shared" si="80"/>
        <v>1386449.0349131182</v>
      </c>
      <c r="AB809" s="127">
        <f t="shared" si="81"/>
        <v>0</v>
      </c>
      <c r="AC809" s="127">
        <f t="shared" si="82"/>
        <v>0</v>
      </c>
      <c r="AD809" s="127">
        <f t="shared" si="83"/>
        <v>1</v>
      </c>
    </row>
    <row r="810" spans="1:30" x14ac:dyDescent="0.25">
      <c r="A810">
        <v>805</v>
      </c>
      <c r="C810" s="11">
        <v>3.1493306159973145E-2</v>
      </c>
      <c r="D810" s="11">
        <v>6.473928689956665E-3</v>
      </c>
      <c r="E810" s="11">
        <v>0.18954086549715241</v>
      </c>
      <c r="F810" s="11">
        <v>0.14244050102074712</v>
      </c>
      <c r="G810" s="11">
        <v>3.9955705404281616E-2</v>
      </c>
      <c r="H810" s="40">
        <v>4.5284944002282483E-4</v>
      </c>
      <c r="I810" s="40">
        <v>1.4444117754447254</v>
      </c>
      <c r="J810" s="59">
        <v>0</v>
      </c>
      <c r="K810" s="59">
        <v>4042.7478961646557</v>
      </c>
      <c r="L810" s="59">
        <v>0</v>
      </c>
      <c r="M810" s="11">
        <v>0.89027416706085205</v>
      </c>
      <c r="N810" s="11">
        <v>0.77284616231918335</v>
      </c>
      <c r="O810" s="11">
        <v>0.27933889627456665</v>
      </c>
      <c r="Q810" s="59">
        <v>15.16857209278349</v>
      </c>
      <c r="R810" s="78">
        <v>480.83175688936643</v>
      </c>
      <c r="S810" s="78">
        <v>15.218308373961186</v>
      </c>
      <c r="T810" s="78">
        <v>595.69252853281137</v>
      </c>
      <c r="U810" s="59">
        <v>15.221250108825611</v>
      </c>
      <c r="V810" s="78">
        <v>800.55486166616799</v>
      </c>
      <c r="X810" s="134">
        <f t="shared" si="78"/>
        <v>1516376.3775214597</v>
      </c>
      <c r="Y810" s="134">
        <f t="shared" si="79"/>
        <v>1521235.1448675857</v>
      </c>
      <c r="Z810" s="134">
        <f t="shared" si="80"/>
        <v>1521324.4560208949</v>
      </c>
      <c r="AB810" s="127">
        <f t="shared" si="81"/>
        <v>0</v>
      </c>
      <c r="AC810" s="127">
        <f t="shared" si="82"/>
        <v>0</v>
      </c>
      <c r="AD810" s="127">
        <f t="shared" si="83"/>
        <v>1</v>
      </c>
    </row>
    <row r="811" spans="1:30" x14ac:dyDescent="0.25">
      <c r="A811">
        <v>806</v>
      </c>
      <c r="C811" s="11">
        <v>3.8923144340515137E-2</v>
      </c>
      <c r="D811" s="11">
        <v>2.9683113098144531E-4</v>
      </c>
      <c r="E811" s="11">
        <v>0.30160150070202174</v>
      </c>
      <c r="F811" s="11">
        <v>0.40087212369568004</v>
      </c>
      <c r="G811" s="11">
        <v>2.9288113117218018E-2</v>
      </c>
      <c r="H811" s="40">
        <v>4.8232761293615643E-4</v>
      </c>
      <c r="I811" s="40">
        <v>1.422412625517016</v>
      </c>
      <c r="J811" s="59">
        <v>0</v>
      </c>
      <c r="K811" s="59">
        <v>3843.6846807599068</v>
      </c>
      <c r="L811" s="59">
        <v>0</v>
      </c>
      <c r="M811" s="11">
        <v>0.79574036598205566</v>
      </c>
      <c r="N811" s="11">
        <v>0.71756207942962646</v>
      </c>
      <c r="O811" s="11">
        <v>0.37733078002929688</v>
      </c>
      <c r="Q811" s="59">
        <v>13.469677236656342</v>
      </c>
      <c r="R811" s="78">
        <v>471.35554767228842</v>
      </c>
      <c r="S811" s="78">
        <v>13.496646537801189</v>
      </c>
      <c r="T811" s="78">
        <v>602.61552306022747</v>
      </c>
      <c r="U811" s="59">
        <v>13.492766182497135</v>
      </c>
      <c r="V811" s="78">
        <v>819.33409740905597</v>
      </c>
      <c r="X811" s="134">
        <f t="shared" si="78"/>
        <v>1346496.3681179618</v>
      </c>
      <c r="Y811" s="134">
        <f t="shared" si="79"/>
        <v>1349062.0382570585</v>
      </c>
      <c r="Z811" s="134">
        <f t="shared" si="80"/>
        <v>1348457.2841523043</v>
      </c>
      <c r="AB811" s="127">
        <f t="shared" si="81"/>
        <v>0</v>
      </c>
      <c r="AC811" s="127">
        <f t="shared" si="82"/>
        <v>1</v>
      </c>
      <c r="AD811" s="127">
        <f t="shared" si="83"/>
        <v>0</v>
      </c>
    </row>
    <row r="812" spans="1:30" x14ac:dyDescent="0.25">
      <c r="A812">
        <v>807</v>
      </c>
      <c r="C812" s="11">
        <v>1.0567709803581238E-2</v>
      </c>
      <c r="D812" s="11">
        <v>1.9478157162666321E-2</v>
      </c>
      <c r="E812" s="11">
        <v>0.22029835285238081</v>
      </c>
      <c r="F812" s="11">
        <v>0.192431051276056</v>
      </c>
      <c r="G812" s="11">
        <v>1.4991879463195801E-2</v>
      </c>
      <c r="H812" s="40">
        <v>4.2917827181954268E-4</v>
      </c>
      <c r="I812" s="40">
        <v>1.4216061773874962</v>
      </c>
      <c r="J812" s="59">
        <v>0</v>
      </c>
      <c r="K812" s="59">
        <v>3092.2144651412964</v>
      </c>
      <c r="L812" s="59">
        <v>0</v>
      </c>
      <c r="M812" s="11">
        <v>0.8623044490814209</v>
      </c>
      <c r="N812" s="11">
        <v>0.82014226913452148</v>
      </c>
      <c r="O812" s="11">
        <v>0.31501868367195129</v>
      </c>
      <c r="Q812" s="59">
        <v>15.036664530133161</v>
      </c>
      <c r="R812" s="78">
        <v>446.21952116434221</v>
      </c>
      <c r="S812" s="78">
        <v>15.062874167268474</v>
      </c>
      <c r="T812" s="78">
        <v>590.64585585809448</v>
      </c>
      <c r="U812" s="59">
        <v>15.063825332619793</v>
      </c>
      <c r="V812" s="78">
        <v>798.17716271356323</v>
      </c>
      <c r="X812" s="134">
        <f t="shared" si="78"/>
        <v>1503220.2334921516</v>
      </c>
      <c r="Y812" s="134">
        <f t="shared" si="79"/>
        <v>1505696.7708709894</v>
      </c>
      <c r="Z812" s="134">
        <f t="shared" si="80"/>
        <v>1505584.3560992656</v>
      </c>
      <c r="AB812" s="127">
        <f t="shared" si="81"/>
        <v>0</v>
      </c>
      <c r="AC812" s="127">
        <f t="shared" si="82"/>
        <v>1</v>
      </c>
      <c r="AD812" s="127">
        <f t="shared" si="83"/>
        <v>0</v>
      </c>
    </row>
    <row r="813" spans="1:30" x14ac:dyDescent="0.25">
      <c r="A813">
        <v>808</v>
      </c>
      <c r="C813" s="11">
        <v>1.018109917640686E-2</v>
      </c>
      <c r="D813" s="11">
        <v>4.5503854751586914E-2</v>
      </c>
      <c r="E813" s="11">
        <v>0.25918068353045753</v>
      </c>
      <c r="F813" s="11">
        <v>9.8681902126786292E-2</v>
      </c>
      <c r="G813" s="11">
        <v>3.8270086050033569E-2</v>
      </c>
      <c r="H813" s="40">
        <v>5.3330339690749466E-4</v>
      </c>
      <c r="I813" s="40">
        <v>1.4776183634541105</v>
      </c>
      <c r="J813" s="59">
        <v>0</v>
      </c>
      <c r="K813" s="59">
        <v>3398.9408984780312</v>
      </c>
      <c r="L813" s="59">
        <v>0</v>
      </c>
      <c r="M813" s="11">
        <v>0.86766195297241211</v>
      </c>
      <c r="N813" s="11">
        <v>0.795379638671875</v>
      </c>
      <c r="O813" s="11">
        <v>0.27283108234405518</v>
      </c>
      <c r="Q813" s="59">
        <v>15.091140119633621</v>
      </c>
      <c r="R813" s="78">
        <v>488.51020478063725</v>
      </c>
      <c r="S813" s="78">
        <v>15.149131111760122</v>
      </c>
      <c r="T813" s="78">
        <v>603.91772536346764</v>
      </c>
      <c r="U813" s="59">
        <v>15.162006183429167</v>
      </c>
      <c r="V813" s="78">
        <v>797.52285215611607</v>
      </c>
      <c r="X813" s="134">
        <f t="shared" si="78"/>
        <v>1508625.5017585815</v>
      </c>
      <c r="Y813" s="134">
        <f t="shared" si="79"/>
        <v>1514309.1934506486</v>
      </c>
      <c r="Z813" s="134">
        <f t="shared" si="80"/>
        <v>1515403.0954907606</v>
      </c>
      <c r="AB813" s="127">
        <f t="shared" si="81"/>
        <v>0</v>
      </c>
      <c r="AC813" s="127">
        <f t="shared" si="82"/>
        <v>0</v>
      </c>
      <c r="AD813" s="127">
        <f t="shared" si="83"/>
        <v>1</v>
      </c>
    </row>
    <row r="814" spans="1:30" x14ac:dyDescent="0.25">
      <c r="A814">
        <v>809</v>
      </c>
      <c r="C814" s="11">
        <v>9.9584311246871948E-3</v>
      </c>
      <c r="D814" s="11">
        <v>3.8387179374694824E-3</v>
      </c>
      <c r="E814" s="11">
        <v>0.23835923540274334</v>
      </c>
      <c r="F814" s="11">
        <v>0.22238951026044987</v>
      </c>
      <c r="G814" s="11">
        <v>6.3885092735290527E-2</v>
      </c>
      <c r="H814" s="40">
        <v>3.8156393504660657E-4</v>
      </c>
      <c r="I814" s="40">
        <v>1.4518866434305679</v>
      </c>
      <c r="J814" s="59">
        <v>0</v>
      </c>
      <c r="K814" s="59">
        <v>3007.3802918195724</v>
      </c>
      <c r="L814" s="59">
        <v>0</v>
      </c>
      <c r="M814" s="11">
        <v>0.85954070091247559</v>
      </c>
      <c r="N814" s="11">
        <v>0.81904125213623047</v>
      </c>
      <c r="O814" s="11">
        <v>0.35411167144775391</v>
      </c>
      <c r="Q814" s="59">
        <v>14.998299160535222</v>
      </c>
      <c r="R814" s="78">
        <v>457.95330488920644</v>
      </c>
      <c r="S814" s="78">
        <v>15.023375513808853</v>
      </c>
      <c r="T814" s="78">
        <v>594.41648407026958</v>
      </c>
      <c r="U814" s="59">
        <v>15.023908897600098</v>
      </c>
      <c r="V814" s="78">
        <v>802.38701547626101</v>
      </c>
      <c r="X814" s="134">
        <f t="shared" si="78"/>
        <v>1499371.962748633</v>
      </c>
      <c r="Y814" s="134">
        <f t="shared" si="79"/>
        <v>1501743.1348968151</v>
      </c>
      <c r="Z814" s="134">
        <f t="shared" si="80"/>
        <v>1501588.5027445334</v>
      </c>
      <c r="AB814" s="127">
        <f t="shared" si="81"/>
        <v>0</v>
      </c>
      <c r="AC814" s="127">
        <f t="shared" si="82"/>
        <v>1</v>
      </c>
      <c r="AD814" s="127">
        <f t="shared" si="83"/>
        <v>0</v>
      </c>
    </row>
    <row r="815" spans="1:30" x14ac:dyDescent="0.25">
      <c r="A815">
        <v>810</v>
      </c>
      <c r="C815" s="11">
        <v>2.2818684577941895E-2</v>
      </c>
      <c r="D815" s="11">
        <v>1.6880527138710022E-2</v>
      </c>
      <c r="E815" s="11">
        <v>0.27287296519783188</v>
      </c>
      <c r="F815" s="11">
        <v>0.11605652192581971</v>
      </c>
      <c r="G815" s="11">
        <v>2.4824246764183044E-2</v>
      </c>
      <c r="H815" s="40">
        <v>4.7133839878884696E-4</v>
      </c>
      <c r="I815" s="40">
        <v>1.4568894805806398</v>
      </c>
      <c r="J815" s="59">
        <v>0</v>
      </c>
      <c r="K815" s="59">
        <v>6078.9915733039379</v>
      </c>
      <c r="L815" s="59">
        <v>0</v>
      </c>
      <c r="M815" s="11">
        <v>0.86332368850708008</v>
      </c>
      <c r="N815" s="11">
        <v>0.80411875247955322</v>
      </c>
      <c r="O815" s="11">
        <v>0.27927064895629883</v>
      </c>
      <c r="Q815" s="59">
        <v>14.852943804930716</v>
      </c>
      <c r="R815" s="78">
        <v>524.52689980172499</v>
      </c>
      <c r="S815" s="78">
        <v>14.887964297133417</v>
      </c>
      <c r="T815" s="78">
        <v>615.1197266783314</v>
      </c>
      <c r="U815" s="59">
        <v>14.895672930747191</v>
      </c>
      <c r="V815" s="78">
        <v>803.40902503472626</v>
      </c>
      <c r="X815" s="134">
        <f t="shared" si="78"/>
        <v>1484769.8535932698</v>
      </c>
      <c r="Y815" s="134">
        <f t="shared" si="79"/>
        <v>1488181.3099866633</v>
      </c>
      <c r="Z815" s="134">
        <f t="shared" si="80"/>
        <v>1488763.8840496845</v>
      </c>
      <c r="AB815" s="127">
        <f t="shared" si="81"/>
        <v>0</v>
      </c>
      <c r="AC815" s="127">
        <f t="shared" si="82"/>
        <v>0</v>
      </c>
      <c r="AD815" s="127">
        <f t="shared" si="83"/>
        <v>1</v>
      </c>
    </row>
    <row r="816" spans="1:30" x14ac:dyDescent="0.25">
      <c r="A816">
        <v>811</v>
      </c>
      <c r="C816" s="11">
        <v>1.7214089632034302E-2</v>
      </c>
      <c r="D816" s="11">
        <v>1.4493301510810852E-2</v>
      </c>
      <c r="E816" s="11">
        <v>0.21276152448248581</v>
      </c>
      <c r="F816" s="11">
        <v>0.2506800941281192</v>
      </c>
      <c r="G816" s="11">
        <v>9.0612411499023438E-2</v>
      </c>
      <c r="H816" s="40">
        <v>4.5101955829978687E-4</v>
      </c>
      <c r="I816" s="40">
        <v>1.3283193709015044</v>
      </c>
      <c r="J816" s="59">
        <v>0</v>
      </c>
      <c r="K816" s="59">
        <v>4965.1088193058968</v>
      </c>
      <c r="L816" s="59">
        <v>0</v>
      </c>
      <c r="M816" s="11">
        <v>0.8865664005279541</v>
      </c>
      <c r="N816" s="11">
        <v>0.71449112892150879</v>
      </c>
      <c r="O816" s="11">
        <v>0.31507450342178345</v>
      </c>
      <c r="Q816" s="59">
        <v>15.330192851019426</v>
      </c>
      <c r="R816" s="78">
        <v>490.30217175678291</v>
      </c>
      <c r="S816" s="78">
        <v>15.377428983325613</v>
      </c>
      <c r="T816" s="78">
        <v>599.67063654438175</v>
      </c>
      <c r="U816" s="59">
        <v>15.375131413782</v>
      </c>
      <c r="V816" s="78">
        <v>812.34421325310132</v>
      </c>
      <c r="X816" s="134">
        <f t="shared" si="78"/>
        <v>1532528.9829301857</v>
      </c>
      <c r="Y816" s="134">
        <f t="shared" si="79"/>
        <v>1537143.2276960169</v>
      </c>
      <c r="Z816" s="134">
        <f t="shared" si="80"/>
        <v>1536700.797164947</v>
      </c>
      <c r="AB816" s="127">
        <f t="shared" si="81"/>
        <v>0</v>
      </c>
      <c r="AC816" s="127">
        <f t="shared" si="82"/>
        <v>1</v>
      </c>
      <c r="AD816" s="127">
        <f t="shared" si="83"/>
        <v>0</v>
      </c>
    </row>
    <row r="817" spans="1:30" x14ac:dyDescent="0.25">
      <c r="A817">
        <v>812</v>
      </c>
      <c r="C817" s="11">
        <v>2.0276963710784912E-2</v>
      </c>
      <c r="D817" s="11">
        <v>1.8363863229751587E-2</v>
      </c>
      <c r="E817" s="11">
        <v>0.19365739328145809</v>
      </c>
      <c r="F817" s="11">
        <v>0.26396554412317003</v>
      </c>
      <c r="G817" s="11">
        <v>1.901555061340332E-2</v>
      </c>
      <c r="H817" s="40">
        <v>3.6762950708887394E-4</v>
      </c>
      <c r="I817" s="40">
        <v>1.5096457327046648</v>
      </c>
      <c r="J817" s="59">
        <v>0</v>
      </c>
      <c r="K817" s="59">
        <v>6755.3948611021042</v>
      </c>
      <c r="L817" s="59">
        <v>0</v>
      </c>
      <c r="M817" s="11">
        <v>0.86387878656387329</v>
      </c>
      <c r="N817" s="11">
        <v>0.7504117488861084</v>
      </c>
      <c r="O817" s="11">
        <v>0.31312251091003418</v>
      </c>
      <c r="Q817" s="59">
        <v>14.891489122791157</v>
      </c>
      <c r="R817" s="78">
        <v>522.26880566804414</v>
      </c>
      <c r="S817" s="78">
        <v>14.938299401872351</v>
      </c>
      <c r="T817" s="78">
        <v>604.2082576160675</v>
      </c>
      <c r="U817" s="59">
        <v>14.934154441343058</v>
      </c>
      <c r="V817" s="78">
        <v>822.31592848485366</v>
      </c>
      <c r="X817" s="134">
        <f t="shared" si="78"/>
        <v>1488626.6434734478</v>
      </c>
      <c r="Y817" s="134">
        <f t="shared" si="79"/>
        <v>1493225.7319296191</v>
      </c>
      <c r="Z817" s="134">
        <f t="shared" si="80"/>
        <v>1492593.1282058209</v>
      </c>
      <c r="AB817" s="127">
        <f t="shared" si="81"/>
        <v>0</v>
      </c>
      <c r="AC817" s="127">
        <f t="shared" si="82"/>
        <v>1</v>
      </c>
      <c r="AD817" s="127">
        <f t="shared" si="83"/>
        <v>0</v>
      </c>
    </row>
    <row r="818" spans="1:30" x14ac:dyDescent="0.25">
      <c r="A818">
        <v>813</v>
      </c>
      <c r="C818" s="11">
        <v>2.8810501098632813E-3</v>
      </c>
      <c r="D818" s="11">
        <v>2.5115609169006348E-3</v>
      </c>
      <c r="E818" s="11">
        <v>0.22989095734636192</v>
      </c>
      <c r="F818" s="11">
        <v>0.17352944689484021</v>
      </c>
      <c r="G818" s="11">
        <v>1.5338420867919922E-2</v>
      </c>
      <c r="H818" s="40">
        <v>3.9205664233680636E-4</v>
      </c>
      <c r="I818" s="40">
        <v>1.4771270366415798</v>
      </c>
      <c r="J818" s="59">
        <v>0</v>
      </c>
      <c r="K818" s="59">
        <v>3479.3512895703316</v>
      </c>
      <c r="L818" s="59">
        <v>0</v>
      </c>
      <c r="M818" s="11">
        <v>0.83673632144927979</v>
      </c>
      <c r="N818" s="11">
        <v>0.79804015159606934</v>
      </c>
      <c r="O818" s="11">
        <v>0.31148093938827515</v>
      </c>
      <c r="Q818" s="59">
        <v>14.70680672434918</v>
      </c>
      <c r="R818" s="78">
        <v>457.87746569445704</v>
      </c>
      <c r="S818" s="78">
        <v>14.730077710671877</v>
      </c>
      <c r="T818" s="78">
        <v>593.88331370261301</v>
      </c>
      <c r="U818" s="59">
        <v>14.731811416480754</v>
      </c>
      <c r="V818" s="78">
        <v>799.24553809524161</v>
      </c>
      <c r="X818" s="134">
        <f t="shared" si="78"/>
        <v>1470222.7949692237</v>
      </c>
      <c r="Y818" s="134">
        <f t="shared" si="79"/>
        <v>1472413.887753485</v>
      </c>
      <c r="Z818" s="134">
        <f t="shared" si="80"/>
        <v>1472381.8961099803</v>
      </c>
      <c r="AB818" s="127">
        <f t="shared" si="81"/>
        <v>0</v>
      </c>
      <c r="AC818" s="127">
        <f t="shared" si="82"/>
        <v>1</v>
      </c>
      <c r="AD818" s="127">
        <f t="shared" si="83"/>
        <v>0</v>
      </c>
    </row>
    <row r="819" spans="1:30" x14ac:dyDescent="0.25">
      <c r="A819">
        <v>814</v>
      </c>
      <c r="C819" s="11">
        <v>1.5050932765007019E-2</v>
      </c>
      <c r="D819" s="11">
        <v>4.0651708841323853E-3</v>
      </c>
      <c r="E819" s="11">
        <v>0.18652561745536037</v>
      </c>
      <c r="F819" s="11">
        <v>0.36428137917246634</v>
      </c>
      <c r="G819" s="11">
        <v>7.772517204284668E-2</v>
      </c>
      <c r="H819" s="40">
        <v>4.0333424807705872E-4</v>
      </c>
      <c r="I819" s="40">
        <v>1.4521656507966123</v>
      </c>
      <c r="J819" s="59">
        <v>0</v>
      </c>
      <c r="K819" s="59">
        <v>4303.2970279455185</v>
      </c>
      <c r="L819" s="59">
        <v>0</v>
      </c>
      <c r="M819" s="11">
        <v>0.88930010795593262</v>
      </c>
      <c r="N819" s="11">
        <v>0.72569137811660767</v>
      </c>
      <c r="O819" s="11">
        <v>0.27461647987365723</v>
      </c>
      <c r="Q819" s="59">
        <v>15.398520265631314</v>
      </c>
      <c r="R819" s="78">
        <v>496.03000939238126</v>
      </c>
      <c r="S819" s="78">
        <v>15.457924637118056</v>
      </c>
      <c r="T819" s="78">
        <v>598.27244810630577</v>
      </c>
      <c r="U819" s="59">
        <v>15.444791877517249</v>
      </c>
      <c r="V819" s="78">
        <v>825.53485844733473</v>
      </c>
      <c r="X819" s="134">
        <f t="shared" si="78"/>
        <v>1539355.9965537391</v>
      </c>
      <c r="Y819" s="134">
        <f t="shared" si="79"/>
        <v>1545194.1912636994</v>
      </c>
      <c r="Z819" s="134">
        <f t="shared" si="80"/>
        <v>1543653.6528932776</v>
      </c>
      <c r="AB819" s="127">
        <f t="shared" si="81"/>
        <v>0</v>
      </c>
      <c r="AC819" s="127">
        <f t="shared" si="82"/>
        <v>1</v>
      </c>
      <c r="AD819" s="127">
        <f t="shared" si="83"/>
        <v>0</v>
      </c>
    </row>
    <row r="820" spans="1:30" x14ac:dyDescent="0.25">
      <c r="A820">
        <v>815</v>
      </c>
      <c r="C820" s="11">
        <v>4.2885661125183105E-2</v>
      </c>
      <c r="D820" s="11">
        <v>5.612984299659729E-3</v>
      </c>
      <c r="E820" s="11">
        <v>0.18037172581285787</v>
      </c>
      <c r="F820" s="11">
        <v>0.32381230044874593</v>
      </c>
      <c r="G820" s="11">
        <v>3.1912833452224731E-2</v>
      </c>
      <c r="H820" s="40">
        <v>5.0190437825899353E-4</v>
      </c>
      <c r="I820" s="40">
        <v>1.4094750631815465</v>
      </c>
      <c r="J820" s="59">
        <v>0</v>
      </c>
      <c r="K820" s="59">
        <v>6689.7319629788399</v>
      </c>
      <c r="L820" s="59">
        <v>0</v>
      </c>
      <c r="M820" s="11">
        <v>0.8405764102935791</v>
      </c>
      <c r="N820" s="11">
        <v>0.72416508197784424</v>
      </c>
      <c r="O820" s="11">
        <v>0.29503589868545532</v>
      </c>
      <c r="Q820" s="59">
        <v>14.154494044267647</v>
      </c>
      <c r="R820" s="78">
        <v>530.15714576048094</v>
      </c>
      <c r="S820" s="78">
        <v>14.200507700869743</v>
      </c>
      <c r="T820" s="78">
        <v>603.90875208983869</v>
      </c>
      <c r="U820" s="59">
        <v>14.192345624978072</v>
      </c>
      <c r="V820" s="78">
        <v>832.60633191430202</v>
      </c>
      <c r="X820" s="134">
        <f t="shared" si="78"/>
        <v>1414919.2472810042</v>
      </c>
      <c r="Y820" s="134">
        <f t="shared" si="79"/>
        <v>1419446.8613348845</v>
      </c>
      <c r="Z820" s="134">
        <f t="shared" si="80"/>
        <v>1418401.956165893</v>
      </c>
      <c r="AB820" s="127">
        <f t="shared" si="81"/>
        <v>0</v>
      </c>
      <c r="AC820" s="127">
        <f t="shared" si="82"/>
        <v>1</v>
      </c>
      <c r="AD820" s="127">
        <f t="shared" si="83"/>
        <v>0</v>
      </c>
    </row>
    <row r="821" spans="1:30" x14ac:dyDescent="0.25">
      <c r="A821">
        <v>816</v>
      </c>
      <c r="C821" s="11">
        <v>9.0883821249008179E-3</v>
      </c>
      <c r="D821" s="11">
        <v>2.5475174188613892E-2</v>
      </c>
      <c r="E821" s="11">
        <v>0.16773585187158965</v>
      </c>
      <c r="F821" s="11">
        <v>0.43306835671611671</v>
      </c>
      <c r="G821" s="11">
        <v>5.2909612655639648E-2</v>
      </c>
      <c r="H821" s="40">
        <v>5.2923542087835221E-4</v>
      </c>
      <c r="I821" s="40">
        <v>1.4462127273920373</v>
      </c>
      <c r="J821" s="59">
        <v>0</v>
      </c>
      <c r="K821" s="59">
        <v>3396.6125920414925</v>
      </c>
      <c r="L821" s="59">
        <v>0</v>
      </c>
      <c r="M821" s="11">
        <v>0.85661017894744873</v>
      </c>
      <c r="N821" s="11">
        <v>0.80341172218322754</v>
      </c>
      <c r="O821" s="11">
        <v>0.27495908737182617</v>
      </c>
      <c r="Q821" s="59">
        <v>14.93315254732051</v>
      </c>
      <c r="R821" s="78">
        <v>486.58378329330424</v>
      </c>
      <c r="S821" s="78">
        <v>14.982992175671612</v>
      </c>
      <c r="T821" s="78">
        <v>594.79382455705797</v>
      </c>
      <c r="U821" s="59">
        <v>14.966881626411636</v>
      </c>
      <c r="V821" s="78">
        <v>828.55743314929964</v>
      </c>
      <c r="X821" s="134">
        <f t="shared" si="78"/>
        <v>1492828.6709487576</v>
      </c>
      <c r="Y821" s="134">
        <f t="shared" si="79"/>
        <v>1497704.4237426042</v>
      </c>
      <c r="Z821" s="134">
        <f t="shared" si="80"/>
        <v>1495859.6052080144</v>
      </c>
      <c r="AB821" s="127">
        <f t="shared" si="81"/>
        <v>0</v>
      </c>
      <c r="AC821" s="127">
        <f t="shared" si="82"/>
        <v>1</v>
      </c>
      <c r="AD821" s="127">
        <f t="shared" si="83"/>
        <v>0</v>
      </c>
    </row>
    <row r="822" spans="1:30" x14ac:dyDescent="0.25">
      <c r="A822">
        <v>817</v>
      </c>
      <c r="C822" s="11">
        <v>5.5510997772216797E-3</v>
      </c>
      <c r="D822" s="11">
        <v>1.6516566276550293E-2</v>
      </c>
      <c r="E822" s="11">
        <v>0.34503595840997386</v>
      </c>
      <c r="F822" s="11">
        <v>9.6117264181689602E-2</v>
      </c>
      <c r="G822" s="11">
        <v>2.1278947591781616E-2</v>
      </c>
      <c r="H822" s="40">
        <v>3.73608884591434E-4</v>
      </c>
      <c r="I822" s="40">
        <v>1.513584927141931</v>
      </c>
      <c r="J822" s="59">
        <v>0</v>
      </c>
      <c r="K822" s="59">
        <v>4294.6450412273407</v>
      </c>
      <c r="L822" s="59">
        <v>0</v>
      </c>
      <c r="M822" s="11">
        <v>0.87000209093093872</v>
      </c>
      <c r="N822" s="11">
        <v>0.70203053951263428</v>
      </c>
      <c r="O822" s="11">
        <v>0.30219781398773193</v>
      </c>
      <c r="Q822" s="59">
        <v>15.204461887604987</v>
      </c>
      <c r="R822" s="78">
        <v>480.21179495813232</v>
      </c>
      <c r="S822" s="78">
        <v>15.254902772231866</v>
      </c>
      <c r="T822" s="78">
        <v>609.11298563555158</v>
      </c>
      <c r="U822" s="59">
        <v>15.274443053668508</v>
      </c>
      <c r="V822" s="78">
        <v>796.42808357062881</v>
      </c>
      <c r="X822" s="134">
        <f t="shared" si="78"/>
        <v>1519965.9769655406</v>
      </c>
      <c r="Y822" s="134">
        <f t="shared" si="79"/>
        <v>1524881.1642375509</v>
      </c>
      <c r="Z822" s="134">
        <f t="shared" si="80"/>
        <v>1526647.87728328</v>
      </c>
      <c r="AB822" s="127">
        <f t="shared" si="81"/>
        <v>0</v>
      </c>
      <c r="AC822" s="127">
        <f t="shared" si="82"/>
        <v>0</v>
      </c>
      <c r="AD822" s="127">
        <f t="shared" si="83"/>
        <v>1</v>
      </c>
    </row>
    <row r="823" spans="1:30" x14ac:dyDescent="0.25">
      <c r="A823">
        <v>818</v>
      </c>
      <c r="C823" s="11">
        <v>4.1047334671020508E-2</v>
      </c>
      <c r="D823" s="11">
        <v>6.7186355590820313E-2</v>
      </c>
      <c r="E823" s="11">
        <v>0.2885795415416828</v>
      </c>
      <c r="F823" s="11">
        <v>0.13411255893880036</v>
      </c>
      <c r="G823" s="11">
        <v>3.9864331483840942E-2</v>
      </c>
      <c r="H823" s="40">
        <v>6.3774316323712908E-4</v>
      </c>
      <c r="I823" s="40">
        <v>1.3801969864139643</v>
      </c>
      <c r="J823" s="59">
        <v>0</v>
      </c>
      <c r="K823" s="59">
        <v>6886.1106410622597</v>
      </c>
      <c r="L823" s="59">
        <v>0</v>
      </c>
      <c r="M823" s="11">
        <v>0.82633310556411743</v>
      </c>
      <c r="N823" s="11">
        <v>0.70487236976623535</v>
      </c>
      <c r="O823" s="11">
        <v>0.31126117706298828</v>
      </c>
      <c r="Q823" s="59">
        <v>13.910959166096914</v>
      </c>
      <c r="R823" s="78">
        <v>561.61021874137668</v>
      </c>
      <c r="S823" s="78">
        <v>13.971686063468486</v>
      </c>
      <c r="T823" s="78">
        <v>628.0499363420513</v>
      </c>
      <c r="U823" s="59">
        <v>13.985127008581665</v>
      </c>
      <c r="V823" s="78">
        <v>810.86494470116054</v>
      </c>
      <c r="X823" s="134">
        <f t="shared" si="78"/>
        <v>1390534.30639095</v>
      </c>
      <c r="Y823" s="134">
        <f t="shared" si="79"/>
        <v>1396540.5564105066</v>
      </c>
      <c r="Z823" s="134">
        <f t="shared" si="80"/>
        <v>1397701.8359134654</v>
      </c>
      <c r="AB823" s="127">
        <f t="shared" si="81"/>
        <v>0</v>
      </c>
      <c r="AC823" s="127">
        <f t="shared" si="82"/>
        <v>0</v>
      </c>
      <c r="AD823" s="127">
        <f t="shared" si="83"/>
        <v>1</v>
      </c>
    </row>
    <row r="824" spans="1:30" x14ac:dyDescent="0.25">
      <c r="A824">
        <v>819</v>
      </c>
      <c r="C824" s="11">
        <v>2.2467613220214844E-2</v>
      </c>
      <c r="D824" s="11">
        <v>2.259179949760437E-2</v>
      </c>
      <c r="E824" s="11">
        <v>0.31380911657286897</v>
      </c>
      <c r="F824" s="11">
        <v>0.19213151642828738</v>
      </c>
      <c r="G824" s="11">
        <v>5.7889163494110107E-2</v>
      </c>
      <c r="H824" s="40">
        <v>5.4251133624550862E-4</v>
      </c>
      <c r="I824" s="40">
        <v>1.4354920176703241</v>
      </c>
      <c r="J824" s="59">
        <v>0</v>
      </c>
      <c r="K824" s="59">
        <v>5525.9815417230129</v>
      </c>
      <c r="L824" s="59">
        <v>0</v>
      </c>
      <c r="M824" s="11">
        <v>0.82802289724349976</v>
      </c>
      <c r="N824" s="11">
        <v>0.76771706342697144</v>
      </c>
      <c r="O824" s="11">
        <v>0.30975517630577087</v>
      </c>
      <c r="Q824" s="59">
        <v>14.239997780691272</v>
      </c>
      <c r="R824" s="78">
        <v>545.20486414571155</v>
      </c>
      <c r="S824" s="78">
        <v>14.278980033439534</v>
      </c>
      <c r="T824" s="78">
        <v>627.10198670543787</v>
      </c>
      <c r="U824" s="59">
        <v>14.286027129524964</v>
      </c>
      <c r="V824" s="78">
        <v>817.52264403796801</v>
      </c>
      <c r="X824" s="134">
        <f t="shared" si="78"/>
        <v>1423454.5732049814</v>
      </c>
      <c r="Y824" s="134">
        <f t="shared" si="79"/>
        <v>1427270.9013572482</v>
      </c>
      <c r="Z824" s="134">
        <f t="shared" si="80"/>
        <v>1427785.1903084584</v>
      </c>
      <c r="AB824" s="127">
        <f t="shared" si="81"/>
        <v>0</v>
      </c>
      <c r="AC824" s="127">
        <f t="shared" si="82"/>
        <v>0</v>
      </c>
      <c r="AD824" s="127">
        <f t="shared" si="83"/>
        <v>1</v>
      </c>
    </row>
    <row r="825" spans="1:30" x14ac:dyDescent="0.25">
      <c r="A825">
        <v>820</v>
      </c>
      <c r="C825" s="11">
        <v>2.558484673500061E-2</v>
      </c>
      <c r="D825" s="11">
        <v>1.1572867631912231E-2</v>
      </c>
      <c r="E825" s="11">
        <v>0.29714177613525661</v>
      </c>
      <c r="F825" s="11">
        <v>0.19697165449284409</v>
      </c>
      <c r="G825" s="11">
        <v>1.4269232749938965E-2</v>
      </c>
      <c r="H825" s="40">
        <v>4.602402194973E-4</v>
      </c>
      <c r="I825" s="40">
        <v>1.5274009896507679</v>
      </c>
      <c r="J825" s="59">
        <v>0</v>
      </c>
      <c r="K825" s="59">
        <v>5114.2973825335503</v>
      </c>
      <c r="L825" s="59">
        <v>0</v>
      </c>
      <c r="M825" s="11">
        <v>0.89080953598022461</v>
      </c>
      <c r="N825" s="11">
        <v>0.76104509830474854</v>
      </c>
      <c r="O825" s="11">
        <v>0.22636222839355469</v>
      </c>
      <c r="Q825" s="59">
        <v>15.247836172215676</v>
      </c>
      <c r="R825" s="78">
        <v>517.1928197740458</v>
      </c>
      <c r="S825" s="78">
        <v>15.306708716502509</v>
      </c>
      <c r="T825" s="78">
        <v>616.23772297820051</v>
      </c>
      <c r="U825" s="59">
        <v>15.315290647259619</v>
      </c>
      <c r="V825" s="78">
        <v>812.74524343861049</v>
      </c>
      <c r="X825" s="134">
        <f t="shared" si="78"/>
        <v>1524266.4244017934</v>
      </c>
      <c r="Y825" s="134">
        <f t="shared" si="79"/>
        <v>1530054.6339272726</v>
      </c>
      <c r="Z825" s="134">
        <f t="shared" si="80"/>
        <v>1530716.3194825235</v>
      </c>
      <c r="AB825" s="127">
        <f t="shared" si="81"/>
        <v>0</v>
      </c>
      <c r="AC825" s="127">
        <f t="shared" si="82"/>
        <v>0</v>
      </c>
      <c r="AD825" s="127">
        <f t="shared" si="83"/>
        <v>1</v>
      </c>
    </row>
    <row r="826" spans="1:30" x14ac:dyDescent="0.25">
      <c r="A826">
        <v>821</v>
      </c>
      <c r="C826" s="11">
        <v>1.7782658338546753E-2</v>
      </c>
      <c r="D826" s="11">
        <v>1.2458860874176025E-2</v>
      </c>
      <c r="E826" s="11">
        <v>0.31032583005402392</v>
      </c>
      <c r="F826" s="11">
        <v>0.14315599918672875</v>
      </c>
      <c r="G826" s="11">
        <v>0.11203956604003906</v>
      </c>
      <c r="H826" s="40">
        <v>7.3800938596140235E-4</v>
      </c>
      <c r="I826" s="40">
        <v>1.3773996078584052</v>
      </c>
      <c r="J826" s="59">
        <v>0</v>
      </c>
      <c r="K826" s="59">
        <v>5142.9891027510166</v>
      </c>
      <c r="L826" s="59">
        <v>0</v>
      </c>
      <c r="M826" s="11">
        <v>0.87902891635894775</v>
      </c>
      <c r="N826" s="11">
        <v>0.66016197204589844</v>
      </c>
      <c r="O826" s="11">
        <v>0.32078158855438232</v>
      </c>
      <c r="Q826" s="59">
        <v>15.120322213707096</v>
      </c>
      <c r="R826" s="78">
        <v>595.0465870225072</v>
      </c>
      <c r="S826" s="78">
        <v>15.209529601568663</v>
      </c>
      <c r="T826" s="78">
        <v>642.31433142340677</v>
      </c>
      <c r="U826" s="59">
        <v>15.231621160935688</v>
      </c>
      <c r="V826" s="78">
        <v>817.31258555356737</v>
      </c>
      <c r="X826" s="134">
        <f t="shared" si="78"/>
        <v>1511437.1747836871</v>
      </c>
      <c r="Y826" s="134">
        <f t="shared" si="79"/>
        <v>1520310.6458254429</v>
      </c>
      <c r="Z826" s="134">
        <f t="shared" si="80"/>
        <v>1522344.8035080151</v>
      </c>
      <c r="AB826" s="127">
        <f t="shared" si="81"/>
        <v>0</v>
      </c>
      <c r="AC826" s="127">
        <f t="shared" si="82"/>
        <v>0</v>
      </c>
      <c r="AD826" s="127">
        <f t="shared" si="83"/>
        <v>1</v>
      </c>
    </row>
    <row r="827" spans="1:30" x14ac:dyDescent="0.25">
      <c r="A827">
        <v>822</v>
      </c>
      <c r="C827" s="11">
        <v>1.4365017414093018E-2</v>
      </c>
      <c r="D827" s="11">
        <v>8.2793533802032471E-3</v>
      </c>
      <c r="E827" s="11">
        <v>0.35197661128610502</v>
      </c>
      <c r="F827" s="11">
        <v>0.20633891366483462</v>
      </c>
      <c r="G827" s="11">
        <v>7.1265816688537598E-2</v>
      </c>
      <c r="H827" s="40">
        <v>5.3471878042008749E-4</v>
      </c>
      <c r="I827" s="40">
        <v>1.3986759483545121</v>
      </c>
      <c r="J827" s="59">
        <v>0</v>
      </c>
      <c r="K827" s="59">
        <v>7403.8421735167503</v>
      </c>
      <c r="L827" s="59">
        <v>0</v>
      </c>
      <c r="M827" s="11">
        <v>0.85432839393615723</v>
      </c>
      <c r="N827" s="11">
        <v>0.76624947786331177</v>
      </c>
      <c r="O827" s="11">
        <v>0.26558613777160645</v>
      </c>
      <c r="Q827" s="59">
        <v>14.813860633692331</v>
      </c>
      <c r="R827" s="78">
        <v>587.37719429995718</v>
      </c>
      <c r="S827" s="78">
        <v>14.852368765962961</v>
      </c>
      <c r="T827" s="78">
        <v>647.82171823100794</v>
      </c>
      <c r="U827" s="59">
        <v>14.861165847272989</v>
      </c>
      <c r="V827" s="78">
        <v>828.44635063722387</v>
      </c>
      <c r="X827" s="134">
        <f t="shared" si="78"/>
        <v>1480798.6861749331</v>
      </c>
      <c r="Y827" s="134">
        <f t="shared" si="79"/>
        <v>1484589.0548780649</v>
      </c>
      <c r="Z827" s="134">
        <f t="shared" si="80"/>
        <v>1485288.1383766618</v>
      </c>
      <c r="AB827" s="127">
        <f t="shared" si="81"/>
        <v>0</v>
      </c>
      <c r="AC827" s="127">
        <f t="shared" si="82"/>
        <v>0</v>
      </c>
      <c r="AD827" s="127">
        <f t="shared" si="83"/>
        <v>1</v>
      </c>
    </row>
    <row r="828" spans="1:30" x14ac:dyDescent="0.25">
      <c r="A828">
        <v>823</v>
      </c>
      <c r="C828" s="11">
        <v>1.1198431253433228E-2</v>
      </c>
      <c r="D828" s="11">
        <v>2.0985007286071777E-3</v>
      </c>
      <c r="E828" s="11">
        <v>0.19739023253397794</v>
      </c>
      <c r="F828" s="11">
        <v>0.21849237817106304</v>
      </c>
      <c r="G828" s="11">
        <v>4.096338152885437E-2</v>
      </c>
      <c r="H828" s="40">
        <v>5.3883765727295732E-4</v>
      </c>
      <c r="I828" s="40">
        <v>1.4036517107643833</v>
      </c>
      <c r="J828" s="59">
        <v>0</v>
      </c>
      <c r="K828" s="59">
        <v>4380.0612911581993</v>
      </c>
      <c r="L828" s="59">
        <v>0</v>
      </c>
      <c r="M828" s="11">
        <v>0.84568214416503906</v>
      </c>
      <c r="N828" s="11">
        <v>0.7891387939453125</v>
      </c>
      <c r="O828" s="11">
        <v>0.30716681480407715</v>
      </c>
      <c r="Q828" s="59">
        <v>14.72775461503894</v>
      </c>
      <c r="R828" s="78">
        <v>496.02194751616099</v>
      </c>
      <c r="S828" s="78">
        <v>14.7619072974387</v>
      </c>
      <c r="T828" s="78">
        <v>599.43071047642911</v>
      </c>
      <c r="U828" s="59">
        <v>14.760993872695098</v>
      </c>
      <c r="V828" s="78">
        <v>810.60624493735111</v>
      </c>
      <c r="X828" s="134">
        <f t="shared" si="78"/>
        <v>1472279.4395563779</v>
      </c>
      <c r="Y828" s="134">
        <f t="shared" si="79"/>
        <v>1475591.2990333936</v>
      </c>
      <c r="Z828" s="134">
        <f t="shared" si="80"/>
        <v>1475288.7810245724</v>
      </c>
      <c r="AB828" s="127">
        <f t="shared" si="81"/>
        <v>0</v>
      </c>
      <c r="AC828" s="127">
        <f t="shared" si="82"/>
        <v>1</v>
      </c>
      <c r="AD828" s="127">
        <f t="shared" si="83"/>
        <v>0</v>
      </c>
    </row>
    <row r="829" spans="1:30" x14ac:dyDescent="0.25">
      <c r="A829">
        <v>824</v>
      </c>
      <c r="C829" s="11">
        <v>5.0972461700439453E-2</v>
      </c>
      <c r="D829" s="11">
        <v>2.4148344993591309E-2</v>
      </c>
      <c r="E829" s="11">
        <v>0.40767347541024229</v>
      </c>
      <c r="F829" s="11">
        <v>0.37583086957744377</v>
      </c>
      <c r="G829" s="11">
        <v>3.8828045129776001E-2</v>
      </c>
      <c r="H829" s="40">
        <v>5.0288806921011458E-4</v>
      </c>
      <c r="I829" s="40">
        <v>1.4423230562404983</v>
      </c>
      <c r="J829" s="59">
        <v>0</v>
      </c>
      <c r="K829" s="59">
        <v>6721.3969305157661</v>
      </c>
      <c r="L829" s="59">
        <v>0</v>
      </c>
      <c r="M829" s="11">
        <v>0.83247959613800049</v>
      </c>
      <c r="N829" s="11">
        <v>0.70186829566955566</v>
      </c>
      <c r="O829" s="11">
        <v>0.27992069721221924</v>
      </c>
      <c r="Q829" s="59">
        <v>13.882327876866562</v>
      </c>
      <c r="R829" s="78">
        <v>548.21985019315696</v>
      </c>
      <c r="S829" s="78">
        <v>13.925006798481638</v>
      </c>
      <c r="T829" s="78">
        <v>642.59118842621103</v>
      </c>
      <c r="U829" s="59">
        <v>13.927333043181495</v>
      </c>
      <c r="V829" s="78">
        <v>846.66027546965688</v>
      </c>
      <c r="X829" s="134">
        <f t="shared" si="78"/>
        <v>1387684.567836463</v>
      </c>
      <c r="Y829" s="134">
        <f t="shared" si="79"/>
        <v>1391858.0886597377</v>
      </c>
      <c r="Z829" s="134">
        <f t="shared" si="80"/>
        <v>1391886.6440426798</v>
      </c>
      <c r="AB829" s="127">
        <f t="shared" si="81"/>
        <v>0</v>
      </c>
      <c r="AC829" s="127">
        <f t="shared" si="82"/>
        <v>0</v>
      </c>
      <c r="AD829" s="127">
        <f t="shared" si="83"/>
        <v>1</v>
      </c>
    </row>
    <row r="830" spans="1:30" x14ac:dyDescent="0.25">
      <c r="A830">
        <v>825</v>
      </c>
      <c r="C830" s="11">
        <v>4.1533231735229492E-2</v>
      </c>
      <c r="D830" s="11">
        <v>2.7908414602279663E-2</v>
      </c>
      <c r="E830" s="11">
        <v>0.26094571226629382</v>
      </c>
      <c r="F830" s="11">
        <v>0.13267328834391567</v>
      </c>
      <c r="G830" s="11">
        <v>4.43686842918396E-2</v>
      </c>
      <c r="H830" s="40">
        <v>4.9796312662766834E-4</v>
      </c>
      <c r="I830" s="40">
        <v>1.4300881346121033</v>
      </c>
      <c r="J830" s="59">
        <v>0</v>
      </c>
      <c r="K830" s="59">
        <v>6848.7087264657021</v>
      </c>
      <c r="L830" s="59">
        <v>0</v>
      </c>
      <c r="M830" s="11">
        <v>0.88485360145568848</v>
      </c>
      <c r="N830" s="11">
        <v>0.68891572952270508</v>
      </c>
      <c r="O830" s="11">
        <v>0.30263262987136841</v>
      </c>
      <c r="Q830" s="59">
        <v>14.887784071148229</v>
      </c>
      <c r="R830" s="78">
        <v>549.85276671422901</v>
      </c>
      <c r="S830" s="78">
        <v>14.95595673603874</v>
      </c>
      <c r="T830" s="78">
        <v>620.21900176851523</v>
      </c>
      <c r="U830" s="59">
        <v>14.96800254050221</v>
      </c>
      <c r="V830" s="78">
        <v>809.00632117454154</v>
      </c>
      <c r="X830" s="134">
        <f t="shared" si="78"/>
        <v>1488228.5543481086</v>
      </c>
      <c r="Y830" s="134">
        <f t="shared" si="79"/>
        <v>1494975.4546021053</v>
      </c>
      <c r="Z830" s="134">
        <f t="shared" si="80"/>
        <v>1495991.2477290465</v>
      </c>
      <c r="AB830" s="127">
        <f t="shared" si="81"/>
        <v>0</v>
      </c>
      <c r="AC830" s="127">
        <f t="shared" si="82"/>
        <v>0</v>
      </c>
      <c r="AD830" s="127">
        <f t="shared" si="83"/>
        <v>1</v>
      </c>
    </row>
    <row r="831" spans="1:30" x14ac:dyDescent="0.25">
      <c r="A831">
        <v>826</v>
      </c>
      <c r="C831" s="11">
        <v>2.2448599338531494E-2</v>
      </c>
      <c r="D831" s="11">
        <v>1.2253090739250183E-2</v>
      </c>
      <c r="E831" s="11">
        <v>0.27349985321178794</v>
      </c>
      <c r="F831" s="11">
        <v>0.10296370427484362</v>
      </c>
      <c r="G831" s="11">
        <v>3.563573956489563E-2</v>
      </c>
      <c r="H831" s="40">
        <v>4.469764559414148E-4</v>
      </c>
      <c r="I831" s="40">
        <v>1.4564755209556028</v>
      </c>
      <c r="J831" s="59">
        <v>0</v>
      </c>
      <c r="K831" s="59">
        <v>3519.4121301174164</v>
      </c>
      <c r="L831" s="59">
        <v>0</v>
      </c>
      <c r="M831" s="11">
        <v>0.83564239740371704</v>
      </c>
      <c r="N831" s="11">
        <v>0.75450003147125244</v>
      </c>
      <c r="O831" s="11">
        <v>0.33671373128890991</v>
      </c>
      <c r="Q831" s="59">
        <v>14.379994869495258</v>
      </c>
      <c r="R831" s="78">
        <v>470.12652869463045</v>
      </c>
      <c r="S831" s="78">
        <v>14.415449053187871</v>
      </c>
      <c r="T831" s="78">
        <v>600.09514152062764</v>
      </c>
      <c r="U831" s="59">
        <v>14.423931805234897</v>
      </c>
      <c r="V831" s="78">
        <v>795.96625753051444</v>
      </c>
      <c r="X831" s="134">
        <f t="shared" si="78"/>
        <v>1437529.3604208312</v>
      </c>
      <c r="Y831" s="134">
        <f t="shared" si="79"/>
        <v>1440944.8101772664</v>
      </c>
      <c r="Z831" s="134">
        <f t="shared" si="80"/>
        <v>1441597.2142659591</v>
      </c>
      <c r="AB831" s="127">
        <f t="shared" si="81"/>
        <v>0</v>
      </c>
      <c r="AC831" s="127">
        <f t="shared" si="82"/>
        <v>0</v>
      </c>
      <c r="AD831" s="127">
        <f t="shared" si="83"/>
        <v>1</v>
      </c>
    </row>
    <row r="832" spans="1:30" x14ac:dyDescent="0.25">
      <c r="A832">
        <v>827</v>
      </c>
      <c r="C832" s="11">
        <v>7.0187568664550781E-2</v>
      </c>
      <c r="D832" s="11">
        <v>3.5432994365692139E-2</v>
      </c>
      <c r="E832" s="11">
        <v>0.18118094015086647</v>
      </c>
      <c r="F832" s="11">
        <v>0.39092897442381735</v>
      </c>
      <c r="G832" s="11">
        <v>1.0718107223510742E-2</v>
      </c>
      <c r="H832" s="40">
        <v>3.9249008237770151E-4</v>
      </c>
      <c r="I832" s="40">
        <v>1.3991338593576503</v>
      </c>
      <c r="J832" s="59">
        <v>0</v>
      </c>
      <c r="K832" s="59">
        <v>4650.9644016623497</v>
      </c>
      <c r="L832" s="59">
        <v>0</v>
      </c>
      <c r="M832" s="11">
        <v>0.84877973794937134</v>
      </c>
      <c r="N832" s="11">
        <v>0.77979803085327148</v>
      </c>
      <c r="O832" s="11">
        <v>0.25053417682647705</v>
      </c>
      <c r="Q832" s="59">
        <v>13.903713167933471</v>
      </c>
      <c r="R832" s="78">
        <v>455.56216641341626</v>
      </c>
      <c r="S832" s="78">
        <v>13.933505278484994</v>
      </c>
      <c r="T832" s="78">
        <v>590.27693528420741</v>
      </c>
      <c r="U832" s="59">
        <v>13.925801251783188</v>
      </c>
      <c r="V832" s="78">
        <v>812.26341198597856</v>
      </c>
      <c r="X832" s="134">
        <f t="shared" si="78"/>
        <v>1389915.7546269337</v>
      </c>
      <c r="Y832" s="134">
        <f t="shared" si="79"/>
        <v>1392760.2509132151</v>
      </c>
      <c r="Z832" s="134">
        <f t="shared" si="80"/>
        <v>1391767.8617663328</v>
      </c>
      <c r="AB832" s="127">
        <f t="shared" si="81"/>
        <v>0</v>
      </c>
      <c r="AC832" s="127">
        <f t="shared" si="82"/>
        <v>1</v>
      </c>
      <c r="AD832" s="127">
        <f t="shared" si="83"/>
        <v>0</v>
      </c>
    </row>
    <row r="833" spans="1:30" x14ac:dyDescent="0.25">
      <c r="A833">
        <v>828</v>
      </c>
      <c r="C833" s="11">
        <v>1.6965657472610474E-2</v>
      </c>
      <c r="D833" s="11">
        <v>1.3160988688468933E-2</v>
      </c>
      <c r="E833" s="11">
        <v>0.22620366957930127</v>
      </c>
      <c r="F833" s="11">
        <v>0.15069001644297492</v>
      </c>
      <c r="G833" s="11">
        <v>3.0621260404586792E-2</v>
      </c>
      <c r="H833" s="40">
        <v>5.0411519731013575E-4</v>
      </c>
      <c r="I833" s="40">
        <v>1.4905813626869986</v>
      </c>
      <c r="J833" s="59">
        <v>0</v>
      </c>
      <c r="K833" s="59">
        <v>4973.1810577213764</v>
      </c>
      <c r="L833" s="59">
        <v>0</v>
      </c>
      <c r="M833" s="11">
        <v>0.81344127655029297</v>
      </c>
      <c r="N833" s="11">
        <v>0.74517697095870972</v>
      </c>
      <c r="O833" s="11">
        <v>0.32111787796020508</v>
      </c>
      <c r="Q833" s="59">
        <v>14.068838655978935</v>
      </c>
      <c r="R833" s="78">
        <v>524.62673970848425</v>
      </c>
      <c r="S833" s="78">
        <v>14.11165286682643</v>
      </c>
      <c r="T833" s="78">
        <v>609.07875108997314</v>
      </c>
      <c r="U833" s="59">
        <v>14.115929113045281</v>
      </c>
      <c r="V833" s="78">
        <v>808.07267588968466</v>
      </c>
      <c r="X833" s="134">
        <f t="shared" si="78"/>
        <v>1406359.238858185</v>
      </c>
      <c r="Y833" s="134">
        <f t="shared" si="79"/>
        <v>1410556.207931553</v>
      </c>
      <c r="Z833" s="134">
        <f t="shared" si="80"/>
        <v>1410784.8386286385</v>
      </c>
      <c r="AB833" s="127">
        <f t="shared" si="81"/>
        <v>0</v>
      </c>
      <c r="AC833" s="127">
        <f t="shared" si="82"/>
        <v>0</v>
      </c>
      <c r="AD833" s="127">
        <f t="shared" si="83"/>
        <v>1</v>
      </c>
    </row>
    <row r="834" spans="1:30" x14ac:dyDescent="0.25">
      <c r="A834">
        <v>829</v>
      </c>
      <c r="C834" s="11">
        <v>1.2801989912986755E-2</v>
      </c>
      <c r="D834" s="11">
        <v>1.4668241143226624E-2</v>
      </c>
      <c r="E834" s="11">
        <v>0.4105189073530674</v>
      </c>
      <c r="F834" s="11">
        <v>0.37049639490880609</v>
      </c>
      <c r="G834" s="11">
        <v>3.468717634677887E-2</v>
      </c>
      <c r="H834" s="40">
        <v>2.8235047108592792E-4</v>
      </c>
      <c r="I834" s="40">
        <v>1.5943405021918569</v>
      </c>
      <c r="J834" s="59">
        <v>0</v>
      </c>
      <c r="K834" s="59">
        <v>4580.2444219589233</v>
      </c>
      <c r="L834" s="59">
        <v>0</v>
      </c>
      <c r="M834" s="11">
        <v>0.8267287015914917</v>
      </c>
      <c r="N834" s="11">
        <v>0.71449565887451172</v>
      </c>
      <c r="O834" s="11">
        <v>0.35951924324035645</v>
      </c>
      <c r="Q834" s="59">
        <v>14.360479856660053</v>
      </c>
      <c r="R834" s="78">
        <v>488.2750021803156</v>
      </c>
      <c r="S834" s="78">
        <v>14.392940314393558</v>
      </c>
      <c r="T834" s="78">
        <v>618.12597146176381</v>
      </c>
      <c r="U834" s="59">
        <v>14.395174250675415</v>
      </c>
      <c r="V834" s="78">
        <v>823.33777532634451</v>
      </c>
      <c r="X834" s="134">
        <f t="shared" si="78"/>
        <v>1435559.7106638248</v>
      </c>
      <c r="Y834" s="134">
        <f t="shared" si="79"/>
        <v>1438675.9054678939</v>
      </c>
      <c r="Z834" s="134">
        <f t="shared" si="80"/>
        <v>1438694.0872922153</v>
      </c>
      <c r="AB834" s="127">
        <f t="shared" si="81"/>
        <v>0</v>
      </c>
      <c r="AC834" s="127">
        <f t="shared" si="82"/>
        <v>0</v>
      </c>
      <c r="AD834" s="127">
        <f t="shared" si="83"/>
        <v>1</v>
      </c>
    </row>
    <row r="835" spans="1:30" x14ac:dyDescent="0.25">
      <c r="A835">
        <v>830</v>
      </c>
      <c r="C835" s="11">
        <v>2.6262104511260986E-2</v>
      </c>
      <c r="D835" s="11">
        <v>6.6376030445098877E-3</v>
      </c>
      <c r="E835" s="11">
        <v>0.17282686884058443</v>
      </c>
      <c r="F835" s="11">
        <v>0.40705030644603579</v>
      </c>
      <c r="G835" s="11">
        <v>4.0754824876785278E-2</v>
      </c>
      <c r="H835" s="40">
        <v>3.6983579127967129E-4</v>
      </c>
      <c r="I835" s="40">
        <v>1.5182313753012726</v>
      </c>
      <c r="J835" s="59">
        <v>0</v>
      </c>
      <c r="K835" s="59">
        <v>4831.037949770689</v>
      </c>
      <c r="L835" s="59">
        <v>0</v>
      </c>
      <c r="M835" s="11">
        <v>0.83613163232803345</v>
      </c>
      <c r="N835" s="11">
        <v>0.77458745241165161</v>
      </c>
      <c r="O835" s="11">
        <v>0.28738188743591309</v>
      </c>
      <c r="Q835" s="59">
        <v>14.336904085259341</v>
      </c>
      <c r="R835" s="78">
        <v>500.13320512565798</v>
      </c>
      <c r="S835" s="78">
        <v>14.373408349818057</v>
      </c>
      <c r="T835" s="78">
        <v>597.62460267480947</v>
      </c>
      <c r="U835" s="59">
        <v>14.362933321075095</v>
      </c>
      <c r="V835" s="78">
        <v>831.67559774286292</v>
      </c>
      <c r="X835" s="134">
        <f t="shared" si="78"/>
        <v>1433190.2753208086</v>
      </c>
      <c r="Y835" s="134">
        <f t="shared" si="79"/>
        <v>1436743.2103791309</v>
      </c>
      <c r="Z835" s="134">
        <f t="shared" si="80"/>
        <v>1435461.6565097666</v>
      </c>
      <c r="AB835" s="127">
        <f t="shared" si="81"/>
        <v>0</v>
      </c>
      <c r="AC835" s="127">
        <f t="shared" si="82"/>
        <v>1</v>
      </c>
      <c r="AD835" s="127">
        <f t="shared" si="83"/>
        <v>0</v>
      </c>
    </row>
    <row r="836" spans="1:30" x14ac:dyDescent="0.25">
      <c r="A836">
        <v>831</v>
      </c>
      <c r="C836" s="11">
        <v>3.3208191394805908E-2</v>
      </c>
      <c r="D836" s="11">
        <v>4.7693848609924316E-3</v>
      </c>
      <c r="E836" s="11">
        <v>0.39130341758651865</v>
      </c>
      <c r="F836" s="11">
        <v>0.18113845994214509</v>
      </c>
      <c r="G836" s="11">
        <v>5.0216197967529297E-2</v>
      </c>
      <c r="H836" s="40">
        <v>4.1098419976625175E-4</v>
      </c>
      <c r="I836" s="40">
        <v>1.4464736339157527</v>
      </c>
      <c r="J836" s="59">
        <v>0</v>
      </c>
      <c r="K836" s="59">
        <v>8300.337940454483</v>
      </c>
      <c r="L836" s="59">
        <v>0</v>
      </c>
      <c r="M836" s="11">
        <v>0.82212507724761963</v>
      </c>
      <c r="N836" s="11">
        <v>0.70981061458587646</v>
      </c>
      <c r="O836" s="11">
        <v>0.30088162422180176</v>
      </c>
      <c r="Q836" s="59">
        <v>13.987471465812709</v>
      </c>
      <c r="R836" s="78">
        <v>565.36840278164277</v>
      </c>
      <c r="S836" s="78">
        <v>14.01886856098327</v>
      </c>
      <c r="T836" s="78">
        <v>646.70434621986647</v>
      </c>
      <c r="U836" s="59">
        <v>14.029875474927461</v>
      </c>
      <c r="V836" s="78">
        <v>819.44576792613861</v>
      </c>
      <c r="X836" s="134">
        <f t="shared" si="78"/>
        <v>1398181.7781784893</v>
      </c>
      <c r="Y836" s="134">
        <f t="shared" si="79"/>
        <v>1401240.1517521073</v>
      </c>
      <c r="Z836" s="134">
        <f t="shared" si="80"/>
        <v>1402168.10172482</v>
      </c>
      <c r="AB836" s="127">
        <f t="shared" si="81"/>
        <v>0</v>
      </c>
      <c r="AC836" s="127">
        <f t="shared" si="82"/>
        <v>0</v>
      </c>
      <c r="AD836" s="127">
        <f t="shared" si="83"/>
        <v>1</v>
      </c>
    </row>
    <row r="837" spans="1:30" x14ac:dyDescent="0.25">
      <c r="A837">
        <v>832</v>
      </c>
      <c r="C837" s="11">
        <v>2.3565173149108887E-2</v>
      </c>
      <c r="D837" s="11">
        <v>6.7641258239746094E-2</v>
      </c>
      <c r="E837" s="11">
        <v>0.17508310675311481</v>
      </c>
      <c r="F837" s="11">
        <v>0.12552539829149598</v>
      </c>
      <c r="G837" s="11">
        <v>6.8715512752532959E-2</v>
      </c>
      <c r="H837" s="40">
        <v>4.629042811850377E-4</v>
      </c>
      <c r="I837" s="40">
        <v>1.4434032441782834</v>
      </c>
      <c r="J837" s="59">
        <v>0</v>
      </c>
      <c r="K837" s="59">
        <v>3593.002911657095</v>
      </c>
      <c r="L837" s="59">
        <v>0</v>
      </c>
      <c r="M837" s="11">
        <v>0.88243997097015381</v>
      </c>
      <c r="N837" s="11">
        <v>0.78753489255905151</v>
      </c>
      <c r="O837" s="11">
        <v>0.28988313674926758</v>
      </c>
      <c r="Q837" s="59">
        <v>15.138617134924534</v>
      </c>
      <c r="R837" s="78">
        <v>482.29938106987368</v>
      </c>
      <c r="S837" s="78">
        <v>15.20529440037796</v>
      </c>
      <c r="T837" s="78">
        <v>594.68353866931534</v>
      </c>
      <c r="U837" s="59">
        <v>15.209371588448899</v>
      </c>
      <c r="V837" s="78">
        <v>799.25405223664359</v>
      </c>
      <c r="X837" s="134">
        <f t="shared" si="78"/>
        <v>1513379.4141113835</v>
      </c>
      <c r="Y837" s="134">
        <f t="shared" si="79"/>
        <v>1519934.7564991268</v>
      </c>
      <c r="Z837" s="134">
        <f t="shared" si="80"/>
        <v>1520137.9047926532</v>
      </c>
      <c r="AB837" s="127">
        <f t="shared" si="81"/>
        <v>0</v>
      </c>
      <c r="AC837" s="127">
        <f t="shared" si="82"/>
        <v>0</v>
      </c>
      <c r="AD837" s="127">
        <f t="shared" si="83"/>
        <v>1</v>
      </c>
    </row>
    <row r="838" spans="1:30" x14ac:dyDescent="0.25">
      <c r="A838">
        <v>833</v>
      </c>
      <c r="C838" s="11">
        <v>2.3192882537841797E-2</v>
      </c>
      <c r="D838" s="11">
        <v>1.4117911458015442E-2</v>
      </c>
      <c r="E838" s="11">
        <v>0.4577369798512268</v>
      </c>
      <c r="F838" s="11">
        <v>0.2691422115335001</v>
      </c>
      <c r="G838" s="11">
        <v>3.7309318780899048E-2</v>
      </c>
      <c r="H838" s="40">
        <v>3.4852935453099265E-4</v>
      </c>
      <c r="I838" s="40">
        <v>1.5615424065671768</v>
      </c>
      <c r="J838" s="59">
        <v>0</v>
      </c>
      <c r="K838" s="59">
        <v>5243.3204837143421</v>
      </c>
      <c r="L838" s="59">
        <v>0</v>
      </c>
      <c r="M838" s="11">
        <v>0.87125560641288757</v>
      </c>
      <c r="N838" s="11">
        <v>0.74378234148025513</v>
      </c>
      <c r="O838" s="11">
        <v>0.28834700584411621</v>
      </c>
      <c r="Q838" s="59">
        <v>14.960738832219073</v>
      </c>
      <c r="R838" s="78">
        <v>515.08555166862709</v>
      </c>
      <c r="S838" s="78">
        <v>14.999262545479134</v>
      </c>
      <c r="T838" s="78">
        <v>635.03723156056469</v>
      </c>
      <c r="U838" s="59">
        <v>15.012895186708517</v>
      </c>
      <c r="V838" s="78">
        <v>821.07593582237746</v>
      </c>
      <c r="X838" s="134">
        <f t="shared" si="78"/>
        <v>1495558.7976702387</v>
      </c>
      <c r="Y838" s="134">
        <f t="shared" si="79"/>
        <v>1499291.2173163528</v>
      </c>
      <c r="Z838" s="134">
        <f t="shared" si="80"/>
        <v>1500468.4427350294</v>
      </c>
      <c r="AB838" s="127">
        <f t="shared" si="81"/>
        <v>0</v>
      </c>
      <c r="AC838" s="127">
        <f t="shared" si="82"/>
        <v>0</v>
      </c>
      <c r="AD838" s="127">
        <f t="shared" si="83"/>
        <v>1</v>
      </c>
    </row>
    <row r="839" spans="1:30" x14ac:dyDescent="0.25">
      <c r="A839">
        <v>834</v>
      </c>
      <c r="C839" s="11">
        <v>8.8785737752914429E-3</v>
      </c>
      <c r="D839" s="11">
        <v>5.2922964096069336E-2</v>
      </c>
      <c r="E839" s="11">
        <v>0.28122159542636671</v>
      </c>
      <c r="F839" s="11">
        <v>0.24372176788682695</v>
      </c>
      <c r="G839" s="11">
        <v>3.8150250911712646E-2</v>
      </c>
      <c r="H839" s="40">
        <v>5.6541971905625286E-4</v>
      </c>
      <c r="I839" s="40">
        <v>1.3755542630088868</v>
      </c>
      <c r="J839" s="59">
        <v>0</v>
      </c>
      <c r="K839" s="59">
        <v>4234.4024404883385</v>
      </c>
      <c r="L839" s="59">
        <v>0</v>
      </c>
      <c r="M839" s="11">
        <v>0.86953583359718323</v>
      </c>
      <c r="N839" s="11">
        <v>0.73038202524185181</v>
      </c>
      <c r="O839" s="11">
        <v>0.24929141998291016</v>
      </c>
      <c r="Q839" s="59">
        <v>15.138838598985599</v>
      </c>
      <c r="R839" s="78">
        <v>486.97289601889867</v>
      </c>
      <c r="S839" s="78">
        <v>15.198816878000557</v>
      </c>
      <c r="T839" s="78">
        <v>605.47092764537172</v>
      </c>
      <c r="U839" s="59">
        <v>15.201992584457207</v>
      </c>
      <c r="V839" s="78">
        <v>810.95599768869556</v>
      </c>
      <c r="X839" s="134">
        <f t="shared" si="78"/>
        <v>1513396.887002541</v>
      </c>
      <c r="Y839" s="134">
        <f t="shared" si="79"/>
        <v>1519276.2168724102</v>
      </c>
      <c r="Z839" s="134">
        <f t="shared" si="80"/>
        <v>1519388.302448032</v>
      </c>
      <c r="AB839" s="127">
        <f t="shared" si="81"/>
        <v>0</v>
      </c>
      <c r="AC839" s="127">
        <f t="shared" si="82"/>
        <v>0</v>
      </c>
      <c r="AD839" s="127">
        <f t="shared" si="83"/>
        <v>1</v>
      </c>
    </row>
    <row r="840" spans="1:30" x14ac:dyDescent="0.25">
      <c r="A840">
        <v>835</v>
      </c>
      <c r="C840" s="11">
        <v>1.1007115244865417E-2</v>
      </c>
      <c r="D840" s="11">
        <v>2.600252628326416E-3</v>
      </c>
      <c r="E840" s="11">
        <v>0.17570222565266075</v>
      </c>
      <c r="F840" s="11">
        <v>0.25403742780837196</v>
      </c>
      <c r="G840" s="11">
        <v>6.9830417633056641E-2</v>
      </c>
      <c r="H840" s="40">
        <v>5.9052750082235102E-4</v>
      </c>
      <c r="I840" s="40">
        <v>1.3559034989785783</v>
      </c>
      <c r="J840" s="59">
        <v>0</v>
      </c>
      <c r="K840" s="59">
        <v>6277.9849395155907</v>
      </c>
      <c r="L840" s="59">
        <v>0</v>
      </c>
      <c r="M840" s="11">
        <v>0.88048189878463745</v>
      </c>
      <c r="N840" s="11">
        <v>0.783233642578125</v>
      </c>
      <c r="O840" s="11">
        <v>0.29717046022415161</v>
      </c>
      <c r="Q840" s="59">
        <v>15.322757969879023</v>
      </c>
      <c r="R840" s="78">
        <v>554.03144306095533</v>
      </c>
      <c r="S840" s="78">
        <v>15.37082486845398</v>
      </c>
      <c r="T840" s="78">
        <v>607.49787732116363</v>
      </c>
      <c r="U840" s="59">
        <v>15.366189943137325</v>
      </c>
      <c r="V840" s="78">
        <v>829.15059375600185</v>
      </c>
      <c r="X840" s="134">
        <f t="shared" si="78"/>
        <v>1531721.7655448415</v>
      </c>
      <c r="Y840" s="134">
        <f t="shared" si="79"/>
        <v>1536474.9889680767</v>
      </c>
      <c r="Z840" s="134">
        <f t="shared" si="80"/>
        <v>1535789.8437199765</v>
      </c>
      <c r="AB840" s="127">
        <f t="shared" si="81"/>
        <v>0</v>
      </c>
      <c r="AC840" s="127">
        <f t="shared" si="82"/>
        <v>1</v>
      </c>
      <c r="AD840" s="127">
        <f t="shared" si="83"/>
        <v>0</v>
      </c>
    </row>
    <row r="841" spans="1:30" x14ac:dyDescent="0.25">
      <c r="A841">
        <v>836</v>
      </c>
      <c r="C841" s="11">
        <v>4.1866302490234375E-3</v>
      </c>
      <c r="D841" s="11">
        <v>1.2339413166046143E-2</v>
      </c>
      <c r="E841" s="11">
        <v>0.14916181238534992</v>
      </c>
      <c r="F841" s="11">
        <v>0.20457426786013799</v>
      </c>
      <c r="G841" s="11">
        <v>7.0719718933105469E-2</v>
      </c>
      <c r="H841" s="40">
        <v>5.6392098075689343E-4</v>
      </c>
      <c r="I841" s="40">
        <v>1.5070202057512294</v>
      </c>
      <c r="J841" s="59">
        <v>0</v>
      </c>
      <c r="K841" s="59">
        <v>7574.9214738607407</v>
      </c>
      <c r="L841" s="59">
        <v>0</v>
      </c>
      <c r="M841" s="11">
        <v>0.86933666467666626</v>
      </c>
      <c r="N841" s="11">
        <v>0.75756555795669556</v>
      </c>
      <c r="O841" s="11">
        <v>0.28981024026870728</v>
      </c>
      <c r="Q841" s="59">
        <v>15.192350800236357</v>
      </c>
      <c r="R841" s="78">
        <v>679.21535545667507</v>
      </c>
      <c r="S841" s="78">
        <v>15.276147370669918</v>
      </c>
      <c r="T841" s="78">
        <v>622.50403220823932</v>
      </c>
      <c r="U841" s="59">
        <v>15.270551990941696</v>
      </c>
      <c r="V841" s="78">
        <v>847.57789889688081</v>
      </c>
      <c r="X841" s="134">
        <f t="shared" si="78"/>
        <v>1518555.8646681791</v>
      </c>
      <c r="Y841" s="134">
        <f t="shared" si="79"/>
        <v>1526992.2330347835</v>
      </c>
      <c r="Z841" s="134">
        <f t="shared" si="80"/>
        <v>1526207.6211952728</v>
      </c>
      <c r="AB841" s="127">
        <f t="shared" si="81"/>
        <v>0</v>
      </c>
      <c r="AC841" s="127">
        <f t="shared" si="82"/>
        <v>1</v>
      </c>
      <c r="AD841" s="127">
        <f t="shared" si="83"/>
        <v>0</v>
      </c>
    </row>
    <row r="842" spans="1:30" x14ac:dyDescent="0.25">
      <c r="A842">
        <v>837</v>
      </c>
      <c r="C842" s="11">
        <v>2.3102208971977234E-2</v>
      </c>
      <c r="D842" s="11">
        <v>3.7486016750335693E-2</v>
      </c>
      <c r="E842" s="11">
        <v>0.15677283203040734</v>
      </c>
      <c r="F842" s="11">
        <v>0.21422546706826509</v>
      </c>
      <c r="G842" s="11">
        <v>3.8590699434280396E-2</v>
      </c>
      <c r="H842" s="40">
        <v>3.0285906084116018E-4</v>
      </c>
      <c r="I842" s="40">
        <v>1.5044322751074308</v>
      </c>
      <c r="J842" s="59">
        <v>0</v>
      </c>
      <c r="K842" s="59">
        <v>7259.9714621901512</v>
      </c>
      <c r="L842" s="59">
        <v>0</v>
      </c>
      <c r="M842" s="11">
        <v>0.83551275730133057</v>
      </c>
      <c r="N842" s="11">
        <v>0.71324777603149414</v>
      </c>
      <c r="O842" s="11">
        <v>0.34271395206451416</v>
      </c>
      <c r="Q842" s="59">
        <v>14.363481432079364</v>
      </c>
      <c r="R842" s="78">
        <v>517.938213609787</v>
      </c>
      <c r="S842" s="78">
        <v>14.408658946869409</v>
      </c>
      <c r="T842" s="78">
        <v>598.66871110945351</v>
      </c>
      <c r="U842" s="59">
        <v>14.405540467716662</v>
      </c>
      <c r="V842" s="78">
        <v>814.85426515962718</v>
      </c>
      <c r="X842" s="134">
        <f t="shared" si="78"/>
        <v>1435830.2049943267</v>
      </c>
      <c r="Y842" s="134">
        <f t="shared" si="79"/>
        <v>1440267.2259758313</v>
      </c>
      <c r="Z842" s="134">
        <f t="shared" si="80"/>
        <v>1439739.1925065066</v>
      </c>
      <c r="AB842" s="127">
        <f t="shared" si="81"/>
        <v>0</v>
      </c>
      <c r="AC842" s="127">
        <f t="shared" si="82"/>
        <v>1</v>
      </c>
      <c r="AD842" s="127">
        <f t="shared" si="83"/>
        <v>0</v>
      </c>
    </row>
    <row r="843" spans="1:30" x14ac:dyDescent="0.25">
      <c r="A843">
        <v>838</v>
      </c>
      <c r="C843" s="11">
        <v>1.4320030808448792E-2</v>
      </c>
      <c r="D843" s="11">
        <v>1.3639956712722778E-2</v>
      </c>
      <c r="E843" s="11">
        <v>0.31540758875635577</v>
      </c>
      <c r="F843" s="11">
        <v>0.25318965257271508</v>
      </c>
      <c r="G843" s="11">
        <v>4.1327804327011108E-2</v>
      </c>
      <c r="H843" s="40">
        <v>6.0892988962100623E-4</v>
      </c>
      <c r="I843" s="40">
        <v>1.4559569016308302</v>
      </c>
      <c r="J843" s="59">
        <v>0</v>
      </c>
      <c r="K843" s="59">
        <v>6327.8572633862495</v>
      </c>
      <c r="L843" s="59">
        <v>0</v>
      </c>
      <c r="M843" s="11">
        <v>0.86656922101974487</v>
      </c>
      <c r="N843" s="11">
        <v>0.73707342147827148</v>
      </c>
      <c r="O843" s="11">
        <v>0.26112139225006104</v>
      </c>
      <c r="Q843" s="59">
        <v>14.993324398723678</v>
      </c>
      <c r="R843" s="78">
        <v>586.03794190187773</v>
      </c>
      <c r="S843" s="78">
        <v>15.057229481080766</v>
      </c>
      <c r="T843" s="78">
        <v>640.58562981200055</v>
      </c>
      <c r="U843" s="59">
        <v>15.063161500913322</v>
      </c>
      <c r="V843" s="78">
        <v>837.51246791806693</v>
      </c>
      <c r="X843" s="134">
        <f t="shared" si="78"/>
        <v>1498746.4019304658</v>
      </c>
      <c r="Y843" s="134">
        <f t="shared" si="79"/>
        <v>1505082.3624782646</v>
      </c>
      <c r="Z843" s="134">
        <f t="shared" si="80"/>
        <v>1505478.6376234142</v>
      </c>
      <c r="AB843" s="127">
        <f t="shared" si="81"/>
        <v>0</v>
      </c>
      <c r="AC843" s="127">
        <f t="shared" si="82"/>
        <v>0</v>
      </c>
      <c r="AD843" s="127">
        <f t="shared" si="83"/>
        <v>1</v>
      </c>
    </row>
    <row r="844" spans="1:30" x14ac:dyDescent="0.25">
      <c r="A844">
        <v>839</v>
      </c>
      <c r="C844" s="11">
        <v>4.9654692411422729E-3</v>
      </c>
      <c r="D844" s="11">
        <v>1.1556267738342285E-2</v>
      </c>
      <c r="E844" s="11">
        <v>0.25959134195146238</v>
      </c>
      <c r="F844" s="11">
        <v>0.13921426376260845</v>
      </c>
      <c r="G844" s="11">
        <v>1.9873231649398804E-2</v>
      </c>
      <c r="H844" s="40">
        <v>3.6517068309140874E-4</v>
      </c>
      <c r="I844" s="40">
        <v>1.5064993543506913</v>
      </c>
      <c r="J844" s="59">
        <v>0</v>
      </c>
      <c r="K844" s="59">
        <v>4736.6018407046795</v>
      </c>
      <c r="L844" s="59">
        <v>0</v>
      </c>
      <c r="M844" s="11">
        <v>0.88026410341262817</v>
      </c>
      <c r="N844" s="11">
        <v>0.73347759246826172</v>
      </c>
      <c r="O844" s="11">
        <v>0.31911361217498779</v>
      </c>
      <c r="Q844" s="59">
        <v>15.404769782572492</v>
      </c>
      <c r="R844" s="78">
        <v>484.46092494935255</v>
      </c>
      <c r="S844" s="78">
        <v>15.453846680405606</v>
      </c>
      <c r="T844" s="78">
        <v>602.79599260329701</v>
      </c>
      <c r="U844" s="59">
        <v>15.461966653032643</v>
      </c>
      <c r="V844" s="78">
        <v>800.78906874986774</v>
      </c>
      <c r="X844" s="134">
        <f t="shared" si="78"/>
        <v>1539992.5173322998</v>
      </c>
      <c r="Y844" s="134">
        <f t="shared" si="79"/>
        <v>1544781.8720479573</v>
      </c>
      <c r="Z844" s="134">
        <f t="shared" si="80"/>
        <v>1545395.8762345144</v>
      </c>
      <c r="AB844" s="127">
        <f t="shared" si="81"/>
        <v>0</v>
      </c>
      <c r="AC844" s="127">
        <f t="shared" si="82"/>
        <v>0</v>
      </c>
      <c r="AD844" s="127">
        <f t="shared" si="83"/>
        <v>1</v>
      </c>
    </row>
    <row r="845" spans="1:30" x14ac:dyDescent="0.25">
      <c r="A845">
        <v>840</v>
      </c>
      <c r="C845" s="11">
        <v>1.6191214323043823E-2</v>
      </c>
      <c r="D845" s="11">
        <v>4.1076540946960449E-3</v>
      </c>
      <c r="E845" s="11">
        <v>0.20073256011592688</v>
      </c>
      <c r="F845" s="11">
        <v>5.2289646948525656E-2</v>
      </c>
      <c r="G845" s="11">
        <v>1.6020476818084717E-2</v>
      </c>
      <c r="H845" s="40">
        <v>3.4402698152763981E-4</v>
      </c>
      <c r="I845" s="40">
        <v>1.6111362096337376</v>
      </c>
      <c r="J845" s="59">
        <v>0</v>
      </c>
      <c r="K845" s="59">
        <v>6197.1507966518402</v>
      </c>
      <c r="L845" s="59">
        <v>0</v>
      </c>
      <c r="M845" s="11">
        <v>0.87994259595870972</v>
      </c>
      <c r="N845" s="11">
        <v>0.74909847974777222</v>
      </c>
      <c r="O845" s="11">
        <v>0.25787150859832764</v>
      </c>
      <c r="Q845" s="59">
        <v>15.212640910323898</v>
      </c>
      <c r="R845" s="78">
        <v>540.08828648643566</v>
      </c>
      <c r="S845" s="78">
        <v>15.27512961113967</v>
      </c>
      <c r="T845" s="78">
        <v>608.90277543694742</v>
      </c>
      <c r="U845" s="59">
        <v>15.287051718174082</v>
      </c>
      <c r="V845" s="78">
        <v>795.81809299705344</v>
      </c>
      <c r="X845" s="134">
        <f t="shared" si="78"/>
        <v>1520724.0027459033</v>
      </c>
      <c r="Y845" s="134">
        <f t="shared" si="79"/>
        <v>1526904.0583385301</v>
      </c>
      <c r="Z845" s="134">
        <f t="shared" si="80"/>
        <v>1527909.3537244112</v>
      </c>
      <c r="AB845" s="127">
        <f t="shared" si="81"/>
        <v>0</v>
      </c>
      <c r="AC845" s="127">
        <f t="shared" si="82"/>
        <v>0</v>
      </c>
      <c r="AD845" s="127">
        <f t="shared" si="83"/>
        <v>1</v>
      </c>
    </row>
    <row r="846" spans="1:30" x14ac:dyDescent="0.25">
      <c r="A846">
        <v>841</v>
      </c>
      <c r="C846" s="11">
        <v>1.8015176057815552E-2</v>
      </c>
      <c r="D846" s="11">
        <v>3.5065740346908569E-2</v>
      </c>
      <c r="E846" s="11">
        <v>0.28306572368875887</v>
      </c>
      <c r="F846" s="11">
        <v>0.18643885307759467</v>
      </c>
      <c r="G846" s="11">
        <v>1.4153540134429932E-2</v>
      </c>
      <c r="H846" s="40">
        <v>4.5151868790085464E-4</v>
      </c>
      <c r="I846" s="40">
        <v>1.3746798288860576</v>
      </c>
      <c r="J846" s="59">
        <v>0</v>
      </c>
      <c r="K846" s="59">
        <v>4325.562622398138</v>
      </c>
      <c r="L846" s="59">
        <v>0</v>
      </c>
      <c r="M846" s="11">
        <v>0.85699361562728882</v>
      </c>
      <c r="N846" s="11">
        <v>0.81041216850280762</v>
      </c>
      <c r="O846" s="11">
        <v>0.27654439210891724</v>
      </c>
      <c r="Q846" s="59">
        <v>14.82891141983386</v>
      </c>
      <c r="R846" s="78">
        <v>460.06951171858685</v>
      </c>
      <c r="S846" s="78">
        <v>14.854567803053147</v>
      </c>
      <c r="T846" s="78">
        <v>597.89162916527846</v>
      </c>
      <c r="U846" s="59">
        <v>14.858072733450429</v>
      </c>
      <c r="V846" s="78">
        <v>800.45981934763449</v>
      </c>
      <c r="X846" s="134">
        <f t="shared" si="78"/>
        <v>1482431.0724716673</v>
      </c>
      <c r="Y846" s="134">
        <f t="shared" si="79"/>
        <v>1484858.8886761495</v>
      </c>
      <c r="Z846" s="134">
        <f t="shared" si="80"/>
        <v>1485006.8135256954</v>
      </c>
      <c r="AB846" s="127">
        <f t="shared" si="81"/>
        <v>0</v>
      </c>
      <c r="AC846" s="127">
        <f t="shared" si="82"/>
        <v>0</v>
      </c>
      <c r="AD846" s="127">
        <f t="shared" si="83"/>
        <v>1</v>
      </c>
    </row>
    <row r="847" spans="1:30" x14ac:dyDescent="0.25">
      <c r="A847">
        <v>842</v>
      </c>
      <c r="C847" s="11">
        <v>3.4105896949768066E-2</v>
      </c>
      <c r="D847" s="11">
        <v>1.1734440922737122E-2</v>
      </c>
      <c r="E847" s="11">
        <v>0.25436967085829743</v>
      </c>
      <c r="F847" s="11">
        <v>0.10921976657957681</v>
      </c>
      <c r="G847" s="11">
        <v>4.2080849409103394E-2</v>
      </c>
      <c r="H847" s="40">
        <v>4.0353505036972657E-4</v>
      </c>
      <c r="I847" s="40">
        <v>1.4570092584945755</v>
      </c>
      <c r="J847" s="59">
        <v>0</v>
      </c>
      <c r="K847" s="59">
        <v>8256.4167678356171</v>
      </c>
      <c r="L847" s="59">
        <v>0</v>
      </c>
      <c r="M847" s="11">
        <v>0.77734470367431641</v>
      </c>
      <c r="N847" s="11">
        <v>0.71807760000228882</v>
      </c>
      <c r="O847" s="11">
        <v>0.27621674537658691</v>
      </c>
      <c r="Q847" s="59">
        <v>13.223668915627512</v>
      </c>
      <c r="R847" s="78">
        <v>559.2630574890984</v>
      </c>
      <c r="S847" s="78">
        <v>13.25239700605265</v>
      </c>
      <c r="T847" s="78">
        <v>621.54944450532491</v>
      </c>
      <c r="U847" s="59">
        <v>13.258087721485067</v>
      </c>
      <c r="V847" s="78">
        <v>806.31296987917119</v>
      </c>
      <c r="X847" s="134">
        <f t="shared" si="78"/>
        <v>1321807.6285052621</v>
      </c>
      <c r="Y847" s="134">
        <f t="shared" si="79"/>
        <v>1324618.1511607599</v>
      </c>
      <c r="Z847" s="134">
        <f t="shared" si="80"/>
        <v>1325002.4591786275</v>
      </c>
      <c r="AB847" s="127">
        <f t="shared" si="81"/>
        <v>0</v>
      </c>
      <c r="AC847" s="127">
        <f t="shared" si="82"/>
        <v>0</v>
      </c>
      <c r="AD847" s="127">
        <f t="shared" si="83"/>
        <v>1</v>
      </c>
    </row>
    <row r="848" spans="1:30" x14ac:dyDescent="0.25">
      <c r="A848">
        <v>843</v>
      </c>
      <c r="C848" s="11">
        <v>4.2309224605560303E-2</v>
      </c>
      <c r="D848" s="11">
        <v>1.2825846672058105E-2</v>
      </c>
      <c r="E848" s="11">
        <v>0.2836715134000059</v>
      </c>
      <c r="F848" s="11">
        <v>0.15806577526920509</v>
      </c>
      <c r="G848" s="11">
        <v>4.6146273612976074E-2</v>
      </c>
      <c r="H848" s="40">
        <v>3.0302578026366819E-4</v>
      </c>
      <c r="I848" s="40">
        <v>1.5644107686869935</v>
      </c>
      <c r="J848" s="59">
        <v>0</v>
      </c>
      <c r="K848" s="59">
        <v>5246.3333122432232</v>
      </c>
      <c r="L848" s="59">
        <v>0</v>
      </c>
      <c r="M848" s="11">
        <v>0.83846735954284668</v>
      </c>
      <c r="N848" s="11">
        <v>0.75141680240631104</v>
      </c>
      <c r="O848" s="11">
        <v>0.30780887603759766</v>
      </c>
      <c r="Q848" s="59">
        <v>14.134031278151257</v>
      </c>
      <c r="R848" s="78">
        <v>503.13896677926419</v>
      </c>
      <c r="S848" s="78">
        <v>14.169409427203584</v>
      </c>
      <c r="T848" s="78">
        <v>610.35421360666976</v>
      </c>
      <c r="U848" s="59">
        <v>14.175724470451936</v>
      </c>
      <c r="V848" s="78">
        <v>805.51012083057492</v>
      </c>
      <c r="X848" s="134">
        <f t="shared" si="78"/>
        <v>1412899.9888483465</v>
      </c>
      <c r="Y848" s="134">
        <f t="shared" si="79"/>
        <v>1416330.5885067519</v>
      </c>
      <c r="Z848" s="134">
        <f t="shared" si="80"/>
        <v>1416766.936924363</v>
      </c>
      <c r="AB848" s="127">
        <f t="shared" si="81"/>
        <v>0</v>
      </c>
      <c r="AC848" s="127">
        <f t="shared" si="82"/>
        <v>0</v>
      </c>
      <c r="AD848" s="127">
        <f t="shared" si="83"/>
        <v>1</v>
      </c>
    </row>
    <row r="849" spans="1:30" x14ac:dyDescent="0.25">
      <c r="A849">
        <v>844</v>
      </c>
      <c r="C849" s="11">
        <v>5.04302978515625E-2</v>
      </c>
      <c r="D849" s="11">
        <v>4.3891191482543945E-2</v>
      </c>
      <c r="E849" s="11">
        <v>0.25037596804055917</v>
      </c>
      <c r="F849" s="11">
        <v>0.11866340176842775</v>
      </c>
      <c r="G849" s="11">
        <v>1.7303228378295898E-2</v>
      </c>
      <c r="H849" s="40">
        <v>4.4459275400249862E-4</v>
      </c>
      <c r="I849" s="40">
        <v>1.4961727497719364</v>
      </c>
      <c r="J849" s="59">
        <v>0</v>
      </c>
      <c r="K849" s="59">
        <v>1657.0091247558594</v>
      </c>
      <c r="L849" s="59">
        <v>0</v>
      </c>
      <c r="M849" s="11">
        <v>0.86387372016906738</v>
      </c>
      <c r="N849" s="11">
        <v>0.71513807773590088</v>
      </c>
      <c r="O849" s="11">
        <v>0.35764360427856445</v>
      </c>
      <c r="Q849" s="59">
        <v>14.407935596523043</v>
      </c>
      <c r="R849" s="78">
        <v>428.87255129627579</v>
      </c>
      <c r="S849" s="78">
        <v>14.468775513865205</v>
      </c>
      <c r="T849" s="78">
        <v>587.87016348314069</v>
      </c>
      <c r="U849" s="59">
        <v>14.479688985941404</v>
      </c>
      <c r="V849" s="78">
        <v>792.21570267673974</v>
      </c>
      <c r="X849" s="134">
        <f t="shared" si="78"/>
        <v>1440364.6871010079</v>
      </c>
      <c r="Y849" s="134">
        <f t="shared" si="79"/>
        <v>1446289.6812230374</v>
      </c>
      <c r="Z849" s="134">
        <f t="shared" si="80"/>
        <v>1447176.6828914639</v>
      </c>
      <c r="AB849" s="127">
        <f t="shared" si="81"/>
        <v>0</v>
      </c>
      <c r="AC849" s="127">
        <f t="shared" si="82"/>
        <v>0</v>
      </c>
      <c r="AD849" s="127">
        <f t="shared" si="83"/>
        <v>1</v>
      </c>
    </row>
    <row r="850" spans="1:30" x14ac:dyDescent="0.25">
      <c r="A850">
        <v>845</v>
      </c>
      <c r="C850" s="11">
        <v>1.5340715646743774E-2</v>
      </c>
      <c r="D850" s="11">
        <v>7.021978497505188E-3</v>
      </c>
      <c r="E850" s="11">
        <v>0.16211722179854188</v>
      </c>
      <c r="F850" s="11">
        <v>0.22028533478902584</v>
      </c>
      <c r="G850" s="11">
        <v>2.4946242570877075E-2</v>
      </c>
      <c r="H850" s="40">
        <v>3.2804232233454178E-4</v>
      </c>
      <c r="I850" s="40">
        <v>1.543468370533531</v>
      </c>
      <c r="J850" s="59">
        <v>0</v>
      </c>
      <c r="K850" s="59">
        <v>4336.000420153141</v>
      </c>
      <c r="L850" s="59">
        <v>0</v>
      </c>
      <c r="M850" s="11">
        <v>0.85016858577728271</v>
      </c>
      <c r="N850" s="11">
        <v>0.72813117504119873</v>
      </c>
      <c r="O850" s="11">
        <v>0.28627747297286987</v>
      </c>
      <c r="Q850" s="59">
        <v>14.727956220086659</v>
      </c>
      <c r="R850" s="78">
        <v>478.58523859802051</v>
      </c>
      <c r="S850" s="78">
        <v>14.776962518761682</v>
      </c>
      <c r="T850" s="78">
        <v>592.92341407841991</v>
      </c>
      <c r="U850" s="59">
        <v>14.773503899419291</v>
      </c>
      <c r="V850" s="78">
        <v>806.89903075314692</v>
      </c>
      <c r="X850" s="134">
        <f t="shared" si="78"/>
        <v>1472317.0367700679</v>
      </c>
      <c r="Y850" s="134">
        <f t="shared" si="79"/>
        <v>1477103.3284620899</v>
      </c>
      <c r="Z850" s="134">
        <f t="shared" si="80"/>
        <v>1476543.490911176</v>
      </c>
      <c r="AB850" s="127">
        <f t="shared" si="81"/>
        <v>0</v>
      </c>
      <c r="AC850" s="127">
        <f t="shared" si="82"/>
        <v>1</v>
      </c>
      <c r="AD850" s="127">
        <f t="shared" si="83"/>
        <v>0</v>
      </c>
    </row>
    <row r="851" spans="1:30" x14ac:dyDescent="0.25">
      <c r="A851">
        <v>846</v>
      </c>
      <c r="C851" s="11">
        <v>2.4197369813919067E-2</v>
      </c>
      <c r="D851" s="11">
        <v>1.5866994857788086E-2</v>
      </c>
      <c r="E851" s="11">
        <v>0.31557461094249234</v>
      </c>
      <c r="F851" s="11">
        <v>0.20388067088346731</v>
      </c>
      <c r="G851" s="11">
        <v>3.5127341747283936E-2</v>
      </c>
      <c r="H851" s="40">
        <v>4.8286421546923615E-4</v>
      </c>
      <c r="I851" s="40">
        <v>1.4362639615515871</v>
      </c>
      <c r="J851" s="59">
        <v>0</v>
      </c>
      <c r="K851" s="59">
        <v>3157.0671126246452</v>
      </c>
      <c r="L851" s="59">
        <v>0</v>
      </c>
      <c r="M851" s="11">
        <v>0.82294929027557373</v>
      </c>
      <c r="N851" s="11">
        <v>0.69832873344421387</v>
      </c>
      <c r="O851" s="11">
        <v>0.31128615140914917</v>
      </c>
      <c r="Q851" s="59">
        <v>14.120369553147226</v>
      </c>
      <c r="R851" s="78">
        <v>463.14243490010955</v>
      </c>
      <c r="S851" s="78">
        <v>14.163964863486001</v>
      </c>
      <c r="T851" s="78">
        <v>601.09239022218105</v>
      </c>
      <c r="U851" s="59">
        <v>14.171198513896869</v>
      </c>
      <c r="V851" s="78">
        <v>802.30219628330963</v>
      </c>
      <c r="X851" s="134">
        <f t="shared" si="78"/>
        <v>1411573.8128798224</v>
      </c>
      <c r="Y851" s="134">
        <f t="shared" si="79"/>
        <v>1415795.3939583779</v>
      </c>
      <c r="Z851" s="134">
        <f t="shared" si="80"/>
        <v>1416317.5491934035</v>
      </c>
      <c r="AB851" s="127">
        <f t="shared" si="81"/>
        <v>0</v>
      </c>
      <c r="AC851" s="127">
        <f t="shared" si="82"/>
        <v>0</v>
      </c>
      <c r="AD851" s="127">
        <f t="shared" si="83"/>
        <v>1</v>
      </c>
    </row>
    <row r="852" spans="1:30" x14ac:dyDescent="0.25">
      <c r="A852">
        <v>847</v>
      </c>
      <c r="C852" s="11">
        <v>1.6157388687133789E-2</v>
      </c>
      <c r="D852" s="11">
        <v>5.7444274425506592E-3</v>
      </c>
      <c r="E852" s="11">
        <v>0.2878196349061502</v>
      </c>
      <c r="F852" s="11">
        <v>0.21133084843798003</v>
      </c>
      <c r="G852" s="11">
        <v>2.8980255126953125E-2</v>
      </c>
      <c r="H852" s="40">
        <v>4.3321991173875154E-4</v>
      </c>
      <c r="I852" s="40">
        <v>1.4557000955596751</v>
      </c>
      <c r="J852" s="59">
        <v>0</v>
      </c>
      <c r="K852" s="59">
        <v>2846.0007160902023</v>
      </c>
      <c r="L852" s="59">
        <v>0</v>
      </c>
      <c r="M852" s="11">
        <v>0.86723065376281738</v>
      </c>
      <c r="N852" s="11">
        <v>0.75798195600509644</v>
      </c>
      <c r="O852" s="11">
        <v>0.34966194629669189</v>
      </c>
      <c r="Q852" s="59">
        <v>15.016853860252807</v>
      </c>
      <c r="R852" s="78">
        <v>451.90380179348409</v>
      </c>
      <c r="S852" s="78">
        <v>15.055111064405526</v>
      </c>
      <c r="T852" s="78">
        <v>595.87552605927294</v>
      </c>
      <c r="U852" s="59">
        <v>15.059286436605463</v>
      </c>
      <c r="V852" s="78">
        <v>800.40756141517465</v>
      </c>
      <c r="X852" s="134">
        <f t="shared" ref="X852:X915" si="84">Q852*cRatio-R852</f>
        <v>1501233.4822234872</v>
      </c>
      <c r="Y852" s="134">
        <f t="shared" ref="Y852:Y915" si="85">S852*cRatio-T852</f>
        <v>1504915.2309144936</v>
      </c>
      <c r="Z852" s="134">
        <f t="shared" ref="Z852:Z915" si="86">U852*cRatio-V852</f>
        <v>1505128.2360991312</v>
      </c>
      <c r="AB852" s="127">
        <f t="shared" ref="AB852:AB915" si="87">IF(X852=MAX($X852:$Z852),1,0)</f>
        <v>0</v>
      </c>
      <c r="AC852" s="127">
        <f t="shared" ref="AC852:AC915" si="88">IF(Y852=MAX($X852:$Z852),1,0)</f>
        <v>0</v>
      </c>
      <c r="AD852" s="127">
        <f t="shared" ref="AD852:AD915" si="89">IF(Z852=MAX($X852:$Z852),1,0)</f>
        <v>1</v>
      </c>
    </row>
    <row r="853" spans="1:30" x14ac:dyDescent="0.25">
      <c r="A853">
        <v>848</v>
      </c>
      <c r="C853" s="11">
        <v>2.2774398326873779E-2</v>
      </c>
      <c r="D853" s="11">
        <v>1.6023948788642883E-2</v>
      </c>
      <c r="E853" s="11">
        <v>0.20186131658422804</v>
      </c>
      <c r="F853" s="11">
        <v>0.12740142163017659</v>
      </c>
      <c r="G853" s="11">
        <v>4.2622804641723633E-2</v>
      </c>
      <c r="H853" s="40">
        <v>4.8631608959298617E-4</v>
      </c>
      <c r="I853" s="40">
        <v>1.4472944230658995</v>
      </c>
      <c r="J853" s="59">
        <v>0</v>
      </c>
      <c r="K853" s="59">
        <v>4986.4570610225201</v>
      </c>
      <c r="L853" s="59">
        <v>0</v>
      </c>
      <c r="M853" s="11">
        <v>0.84042090177536011</v>
      </c>
      <c r="N853" s="11">
        <v>0.79368233680725098</v>
      </c>
      <c r="O853" s="11">
        <v>0.28951150178909302</v>
      </c>
      <c r="Q853" s="59">
        <v>14.46072390202362</v>
      </c>
      <c r="R853" s="78">
        <v>512.14265545621151</v>
      </c>
      <c r="S853" s="78">
        <v>14.497293470623058</v>
      </c>
      <c r="T853" s="78">
        <v>603.21032760709249</v>
      </c>
      <c r="U853" s="59">
        <v>14.500774227203927</v>
      </c>
      <c r="V853" s="78">
        <v>803.30158415357459</v>
      </c>
      <c r="X853" s="134">
        <f t="shared" si="84"/>
        <v>1445560.2475469059</v>
      </c>
      <c r="Y853" s="134">
        <f t="shared" si="85"/>
        <v>1449126.1367346987</v>
      </c>
      <c r="Z853" s="134">
        <f t="shared" si="86"/>
        <v>1449274.121136239</v>
      </c>
      <c r="AB853" s="127">
        <f t="shared" si="87"/>
        <v>0</v>
      </c>
      <c r="AC853" s="127">
        <f t="shared" si="88"/>
        <v>0</v>
      </c>
      <c r="AD853" s="127">
        <f t="shared" si="89"/>
        <v>1</v>
      </c>
    </row>
    <row r="854" spans="1:30" x14ac:dyDescent="0.25">
      <c r="A854">
        <v>849</v>
      </c>
      <c r="C854" s="11">
        <v>1.1724919080734253E-2</v>
      </c>
      <c r="D854" s="11">
        <v>2.1703541278839111E-3</v>
      </c>
      <c r="E854" s="11">
        <v>0.50547313824102658</v>
      </c>
      <c r="F854" s="11">
        <v>0.23535002154743773</v>
      </c>
      <c r="G854" s="11">
        <v>3.5092011094093323E-2</v>
      </c>
      <c r="H854" s="40">
        <v>3.5242824524462431E-4</v>
      </c>
      <c r="I854" s="40">
        <v>1.4944983832900338</v>
      </c>
      <c r="J854" s="59">
        <v>0</v>
      </c>
      <c r="K854" s="59">
        <v>4079.7353722155094</v>
      </c>
      <c r="L854" s="59">
        <v>0</v>
      </c>
      <c r="M854" s="11">
        <v>0.86104846000671387</v>
      </c>
      <c r="N854" s="11">
        <v>0.69278645515441895</v>
      </c>
      <c r="O854" s="11">
        <v>0.28808629512786865</v>
      </c>
      <c r="Q854" s="59">
        <v>14.963621883694733</v>
      </c>
      <c r="R854" s="78">
        <v>472.76287384231296</v>
      </c>
      <c r="S854" s="78">
        <v>14.996563226780156</v>
      </c>
      <c r="T854" s="78">
        <v>619.1335015786841</v>
      </c>
      <c r="U854" s="59">
        <v>15.014815509518398</v>
      </c>
      <c r="V854" s="78">
        <v>806.7688892150569</v>
      </c>
      <c r="X854" s="134">
        <f t="shared" si="84"/>
        <v>1495889.4254956308</v>
      </c>
      <c r="Y854" s="134">
        <f t="shared" si="85"/>
        <v>1499037.189176437</v>
      </c>
      <c r="Z854" s="134">
        <f t="shared" si="86"/>
        <v>1500674.7820626246</v>
      </c>
      <c r="AB854" s="127">
        <f t="shared" si="87"/>
        <v>0</v>
      </c>
      <c r="AC854" s="127">
        <f t="shared" si="88"/>
        <v>0</v>
      </c>
      <c r="AD854" s="127">
        <f t="shared" si="89"/>
        <v>1</v>
      </c>
    </row>
    <row r="855" spans="1:30" x14ac:dyDescent="0.25">
      <c r="A855">
        <v>850</v>
      </c>
      <c r="C855" s="11">
        <v>1.1660456657409668E-2</v>
      </c>
      <c r="D855" s="11">
        <v>1.9509926438331604E-2</v>
      </c>
      <c r="E855" s="11">
        <v>0.25063405523785381</v>
      </c>
      <c r="F855" s="11">
        <v>7.9187799553610466E-2</v>
      </c>
      <c r="G855" s="11">
        <v>5.5317044258117676E-2</v>
      </c>
      <c r="H855" s="40">
        <v>4.5581580502644523E-4</v>
      </c>
      <c r="I855" s="40">
        <v>1.5608033206644059</v>
      </c>
      <c r="J855" s="59">
        <v>0</v>
      </c>
      <c r="K855" s="59">
        <v>4292.6729656755924</v>
      </c>
      <c r="L855" s="59">
        <v>0</v>
      </c>
      <c r="M855" s="11">
        <v>0.84910839796066284</v>
      </c>
      <c r="N855" s="11">
        <v>0.7348746657371521</v>
      </c>
      <c r="O855" s="11">
        <v>0.31963604688644409</v>
      </c>
      <c r="Q855" s="59">
        <v>14.732336028928131</v>
      </c>
      <c r="R855" s="78">
        <v>535.63899318548511</v>
      </c>
      <c r="S855" s="78">
        <v>14.800051018622161</v>
      </c>
      <c r="T855" s="78">
        <v>615.19622811949603</v>
      </c>
      <c r="U855" s="59">
        <v>14.815987260603537</v>
      </c>
      <c r="V855" s="78">
        <v>799.48772663406567</v>
      </c>
      <c r="X855" s="134">
        <f t="shared" si="84"/>
        <v>1472697.9638996276</v>
      </c>
      <c r="Y855" s="134">
        <f t="shared" si="85"/>
        <v>1479389.9056340966</v>
      </c>
      <c r="Z855" s="134">
        <f t="shared" si="86"/>
        <v>1480799.2383337195</v>
      </c>
      <c r="AB855" s="127">
        <f t="shared" si="87"/>
        <v>0</v>
      </c>
      <c r="AC855" s="127">
        <f t="shared" si="88"/>
        <v>0</v>
      </c>
      <c r="AD855" s="127">
        <f t="shared" si="89"/>
        <v>1</v>
      </c>
    </row>
    <row r="856" spans="1:30" x14ac:dyDescent="0.25">
      <c r="A856">
        <v>851</v>
      </c>
      <c r="C856" s="11">
        <v>1.6178220510482788E-2</v>
      </c>
      <c r="D856" s="11">
        <v>1.3302713632583618E-2</v>
      </c>
      <c r="E856" s="11">
        <v>0.5048905495045769</v>
      </c>
      <c r="F856" s="11">
        <v>0.22277497195765122</v>
      </c>
      <c r="G856" s="11">
        <v>3.4315407276153564E-2</v>
      </c>
      <c r="H856" s="40">
        <v>5.2580389479980178E-4</v>
      </c>
      <c r="I856" s="40">
        <v>1.4859311188629052</v>
      </c>
      <c r="J856" s="59">
        <v>0</v>
      </c>
      <c r="K856" s="59">
        <v>5673.547275364399</v>
      </c>
      <c r="L856" s="59">
        <v>0</v>
      </c>
      <c r="M856" s="11">
        <v>0.8030247688293457</v>
      </c>
      <c r="N856" s="11">
        <v>0.82668924331665039</v>
      </c>
      <c r="O856" s="11">
        <v>0.31049072742462158</v>
      </c>
      <c r="Q856" s="59">
        <v>13.931459279479155</v>
      </c>
      <c r="R856" s="78">
        <v>550.42670202387967</v>
      </c>
      <c r="S856" s="78">
        <v>13.942829055245729</v>
      </c>
      <c r="T856" s="78">
        <v>658.8997948640523</v>
      </c>
      <c r="U856" s="59">
        <v>13.949476111383346</v>
      </c>
      <c r="V856" s="78">
        <v>823.49018269538544</v>
      </c>
      <c r="X856" s="134">
        <f t="shared" si="84"/>
        <v>1392595.5012458914</v>
      </c>
      <c r="Y856" s="134">
        <f t="shared" si="85"/>
        <v>1393624.0057297091</v>
      </c>
      <c r="Z856" s="134">
        <f t="shared" si="86"/>
        <v>1394124.1209556391</v>
      </c>
      <c r="AB856" s="127">
        <f t="shared" si="87"/>
        <v>0</v>
      </c>
      <c r="AC856" s="127">
        <f t="shared" si="88"/>
        <v>0</v>
      </c>
      <c r="AD856" s="127">
        <f t="shared" si="89"/>
        <v>1</v>
      </c>
    </row>
    <row r="857" spans="1:30" x14ac:dyDescent="0.25">
      <c r="A857">
        <v>852</v>
      </c>
      <c r="C857" s="11">
        <v>2.3411780595779419E-2</v>
      </c>
      <c r="D857" s="11">
        <v>1.0254144668579102E-2</v>
      </c>
      <c r="E857" s="11">
        <v>0.45364362132699138</v>
      </c>
      <c r="F857" s="11">
        <v>9.9220005701349395E-2</v>
      </c>
      <c r="G857" s="11">
        <v>3.011457622051239E-2</v>
      </c>
      <c r="H857" s="40">
        <v>5.1111084699720073E-4</v>
      </c>
      <c r="I857" s="40">
        <v>1.4454665480703859</v>
      </c>
      <c r="J857" s="59">
        <v>0</v>
      </c>
      <c r="K857" s="59">
        <v>7148.7855166196823</v>
      </c>
      <c r="L857" s="59">
        <v>0</v>
      </c>
      <c r="M857" s="11">
        <v>0.89342105388641357</v>
      </c>
      <c r="N857" s="11">
        <v>0.70846450328826904</v>
      </c>
      <c r="O857" s="11">
        <v>0.27731239795684814</v>
      </c>
      <c r="Q857" s="59">
        <v>15.319545532537308</v>
      </c>
      <c r="R857" s="78">
        <v>559.77403196213982</v>
      </c>
      <c r="S857" s="78">
        <v>15.36929566858087</v>
      </c>
      <c r="T857" s="78">
        <v>655.02465472712151</v>
      </c>
      <c r="U857" s="59">
        <v>15.402233985209486</v>
      </c>
      <c r="V857" s="78">
        <v>804.74658956167707</v>
      </c>
      <c r="X857" s="134">
        <f t="shared" si="84"/>
        <v>1531394.7792217687</v>
      </c>
      <c r="Y857" s="134">
        <f t="shared" si="85"/>
        <v>1536274.5422033598</v>
      </c>
      <c r="Z857" s="134">
        <f t="shared" si="86"/>
        <v>1539418.6519313869</v>
      </c>
      <c r="AB857" s="127">
        <f t="shared" si="87"/>
        <v>0</v>
      </c>
      <c r="AC857" s="127">
        <f t="shared" si="88"/>
        <v>0</v>
      </c>
      <c r="AD857" s="127">
        <f t="shared" si="89"/>
        <v>1</v>
      </c>
    </row>
    <row r="858" spans="1:30" x14ac:dyDescent="0.25">
      <c r="A858">
        <v>853</v>
      </c>
      <c r="C858" s="11">
        <v>2.256418764591217E-2</v>
      </c>
      <c r="D858" s="11">
        <v>2.1507441997528076E-3</v>
      </c>
      <c r="E858" s="11">
        <v>0.27139519964865522</v>
      </c>
      <c r="F858" s="11">
        <v>8.5640299844341267E-2</v>
      </c>
      <c r="G858" s="11">
        <v>2.2533595561981201E-2</v>
      </c>
      <c r="H858" s="40">
        <v>5.3794214831888291E-4</v>
      </c>
      <c r="I858" s="40">
        <v>1.5415573673111009</v>
      </c>
      <c r="J858" s="59">
        <v>0</v>
      </c>
      <c r="K858" s="59">
        <v>4601.4436520636082</v>
      </c>
      <c r="L858" s="59">
        <v>0</v>
      </c>
      <c r="M858" s="11">
        <v>0.80391323566436768</v>
      </c>
      <c r="N858" s="11">
        <v>0.77729606628417969</v>
      </c>
      <c r="O858" s="11">
        <v>0.29591196775436401</v>
      </c>
      <c r="Q858" s="59">
        <v>13.835645984761348</v>
      </c>
      <c r="R858" s="78">
        <v>535.79335221522513</v>
      </c>
      <c r="S858" s="78">
        <v>13.867321636413859</v>
      </c>
      <c r="T858" s="78">
        <v>618.31833266538206</v>
      </c>
      <c r="U858" s="59">
        <v>13.875679602400803</v>
      </c>
      <c r="V858" s="78">
        <v>800.47614492379671</v>
      </c>
      <c r="X858" s="134">
        <f t="shared" si="84"/>
        <v>1383028.8051239194</v>
      </c>
      <c r="Y858" s="134">
        <f t="shared" si="85"/>
        <v>1386113.8453087206</v>
      </c>
      <c r="Z858" s="134">
        <f t="shared" si="86"/>
        <v>1386767.4840951564</v>
      </c>
      <c r="AB858" s="127">
        <f t="shared" si="87"/>
        <v>0</v>
      </c>
      <c r="AC858" s="127">
        <f t="shared" si="88"/>
        <v>0</v>
      </c>
      <c r="AD858" s="127">
        <f t="shared" si="89"/>
        <v>1</v>
      </c>
    </row>
    <row r="859" spans="1:30" x14ac:dyDescent="0.25">
      <c r="A859">
        <v>854</v>
      </c>
      <c r="C859" s="11">
        <v>5.08880615234375E-2</v>
      </c>
      <c r="D859" s="11">
        <v>7.7435225248336792E-3</v>
      </c>
      <c r="E859" s="11">
        <v>0.4050194196763206</v>
      </c>
      <c r="F859" s="11">
        <v>0.31328936116644401</v>
      </c>
      <c r="G859" s="11">
        <v>3.7214607000350952E-2</v>
      </c>
      <c r="H859" s="40">
        <v>2.7326562274588304E-4</v>
      </c>
      <c r="I859" s="40">
        <v>1.5463517472530393</v>
      </c>
      <c r="J859" s="59">
        <v>0</v>
      </c>
      <c r="K859" s="59">
        <v>4280.435387045145</v>
      </c>
      <c r="L859" s="59">
        <v>0</v>
      </c>
      <c r="M859" s="11">
        <v>0.85372355580329895</v>
      </c>
      <c r="N859" s="11">
        <v>0.69222497940063477</v>
      </c>
      <c r="O859" s="11">
        <v>0.30154722929000854</v>
      </c>
      <c r="Q859" s="59">
        <v>14.254647488964649</v>
      </c>
      <c r="R859" s="78">
        <v>466.46550708605184</v>
      </c>
      <c r="S859" s="78">
        <v>14.288783437021031</v>
      </c>
      <c r="T859" s="78">
        <v>608.61484438089201</v>
      </c>
      <c r="U859" s="59">
        <v>14.294109621032716</v>
      </c>
      <c r="V859" s="78">
        <v>810.93948764767549</v>
      </c>
      <c r="X859" s="134">
        <f t="shared" si="84"/>
        <v>1424998.2833893788</v>
      </c>
      <c r="Y859" s="134">
        <f t="shared" si="85"/>
        <v>1428269.7288577224</v>
      </c>
      <c r="Z859" s="134">
        <f t="shared" si="86"/>
        <v>1428600.0226156239</v>
      </c>
      <c r="AB859" s="127">
        <f t="shared" si="87"/>
        <v>0</v>
      </c>
      <c r="AC859" s="127">
        <f t="shared" si="88"/>
        <v>0</v>
      </c>
      <c r="AD859" s="127">
        <f t="shared" si="89"/>
        <v>1</v>
      </c>
    </row>
    <row r="860" spans="1:30" x14ac:dyDescent="0.25">
      <c r="A860">
        <v>855</v>
      </c>
      <c r="C860" s="11">
        <v>4.5134902000427246E-2</v>
      </c>
      <c r="D860" s="11">
        <v>1.7712801694869995E-2</v>
      </c>
      <c r="E860" s="11">
        <v>0.22334013725035798</v>
      </c>
      <c r="F860" s="11">
        <v>0.14014986651202083</v>
      </c>
      <c r="G860" s="11">
        <v>4.7570526599884033E-2</v>
      </c>
      <c r="H860" s="40">
        <v>5.9817345197122024E-4</v>
      </c>
      <c r="I860" s="40">
        <v>1.4490014151603132</v>
      </c>
      <c r="J860" s="59">
        <v>0</v>
      </c>
      <c r="K860" s="59">
        <v>6510.7690170407295</v>
      </c>
      <c r="L860" s="59">
        <v>0</v>
      </c>
      <c r="M860" s="11">
        <v>0.84830436110496521</v>
      </c>
      <c r="N860" s="11">
        <v>0.72932493686676025</v>
      </c>
      <c r="O860" s="11">
        <v>0.29857918620109558</v>
      </c>
      <c r="Q860" s="59">
        <v>14.224381023395152</v>
      </c>
      <c r="R860" s="78">
        <v>583.97587527918847</v>
      </c>
      <c r="S860" s="78">
        <v>14.288762397722994</v>
      </c>
      <c r="T860" s="78">
        <v>622.20018877474433</v>
      </c>
      <c r="U860" s="59">
        <v>14.295820749652936</v>
      </c>
      <c r="V860" s="78">
        <v>815.16167161738542</v>
      </c>
      <c r="X860" s="134">
        <f t="shared" si="84"/>
        <v>1421854.1264642361</v>
      </c>
      <c r="Y860" s="134">
        <f t="shared" si="85"/>
        <v>1428254.0395835247</v>
      </c>
      <c r="Z860" s="134">
        <f t="shared" si="86"/>
        <v>1428766.9132936762</v>
      </c>
      <c r="AB860" s="127">
        <f t="shared" si="87"/>
        <v>0</v>
      </c>
      <c r="AC860" s="127">
        <f t="shared" si="88"/>
        <v>0</v>
      </c>
      <c r="AD860" s="127">
        <f t="shared" si="89"/>
        <v>1</v>
      </c>
    </row>
    <row r="861" spans="1:30" x14ac:dyDescent="0.25">
      <c r="A861">
        <v>856</v>
      </c>
      <c r="C861" s="11">
        <v>2.8666526079177856E-2</v>
      </c>
      <c r="D861" s="11">
        <v>3.8544952869415283E-2</v>
      </c>
      <c r="E861" s="11">
        <v>0.21861758990409108</v>
      </c>
      <c r="F861" s="11">
        <v>7.1381002425715018E-2</v>
      </c>
      <c r="G861" s="11">
        <v>6.8689346313476563E-2</v>
      </c>
      <c r="H861" s="40">
        <v>4.3712468554711799E-4</v>
      </c>
      <c r="I861" s="40">
        <v>1.473709412427695</v>
      </c>
      <c r="J861" s="59">
        <v>0</v>
      </c>
      <c r="K861" s="59">
        <v>9035.356342792511</v>
      </c>
      <c r="L861" s="59">
        <v>0</v>
      </c>
      <c r="M861" s="11">
        <v>0.85977575182914734</v>
      </c>
      <c r="N861" s="11">
        <v>0.68061256408691406</v>
      </c>
      <c r="O861" s="11">
        <v>0.31582748889923096</v>
      </c>
      <c r="Q861" s="59">
        <v>14.657664885496748</v>
      </c>
      <c r="R861" s="78">
        <v>624.59865121943608</v>
      </c>
      <c r="S861" s="78">
        <v>14.730542234836747</v>
      </c>
      <c r="T861" s="78">
        <v>630.13644104422008</v>
      </c>
      <c r="U861" s="59">
        <v>14.744545301931648</v>
      </c>
      <c r="V861" s="78">
        <v>804.74183225415447</v>
      </c>
      <c r="X861" s="134">
        <f t="shared" si="84"/>
        <v>1465141.8898984555</v>
      </c>
      <c r="Y861" s="134">
        <f t="shared" si="85"/>
        <v>1472424.0870426304</v>
      </c>
      <c r="Z861" s="134">
        <f t="shared" si="86"/>
        <v>1473649.7883609105</v>
      </c>
      <c r="AB861" s="127">
        <f t="shared" si="87"/>
        <v>0</v>
      </c>
      <c r="AC861" s="127">
        <f t="shared" si="88"/>
        <v>0</v>
      </c>
      <c r="AD861" s="127">
        <f t="shared" si="89"/>
        <v>1</v>
      </c>
    </row>
    <row r="862" spans="1:30" x14ac:dyDescent="0.25">
      <c r="A862">
        <v>857</v>
      </c>
      <c r="C862" s="11">
        <v>2.4237334728240967E-3</v>
      </c>
      <c r="D862" s="11">
        <v>1.5965238213539124E-2</v>
      </c>
      <c r="E862" s="11">
        <v>0.25911590213647279</v>
      </c>
      <c r="F862" s="11">
        <v>0.22608191722152773</v>
      </c>
      <c r="G862" s="11">
        <v>6.4357638359069824E-2</v>
      </c>
      <c r="H862" s="40">
        <v>5.5694186684391829E-4</v>
      </c>
      <c r="I862" s="40">
        <v>1.4504812995820129</v>
      </c>
      <c r="J862" s="59">
        <v>0</v>
      </c>
      <c r="K862" s="59">
        <v>6598.5135734081268</v>
      </c>
      <c r="L862" s="59">
        <v>0</v>
      </c>
      <c r="M862" s="11">
        <v>0.85456132888793945</v>
      </c>
      <c r="N862" s="11">
        <v>0.71024739742279053</v>
      </c>
      <c r="O862" s="11">
        <v>0.32821172475814819</v>
      </c>
      <c r="Q862" s="59">
        <v>14.966657943312152</v>
      </c>
      <c r="R862" s="78">
        <v>597.54945775640726</v>
      </c>
      <c r="S862" s="78">
        <v>15.033909147203715</v>
      </c>
      <c r="T862" s="78">
        <v>632.5860016202397</v>
      </c>
      <c r="U862" s="59">
        <v>15.036966161769383</v>
      </c>
      <c r="V862" s="78">
        <v>834.78778017426828</v>
      </c>
      <c r="X862" s="134">
        <f t="shared" si="84"/>
        <v>1496068.2448734588</v>
      </c>
      <c r="Y862" s="134">
        <f t="shared" si="85"/>
        <v>1502758.3287187514</v>
      </c>
      <c r="Z862" s="134">
        <f t="shared" si="86"/>
        <v>1502861.8283967641</v>
      </c>
      <c r="AB862" s="127">
        <f t="shared" si="87"/>
        <v>0</v>
      </c>
      <c r="AC862" s="127">
        <f t="shared" si="88"/>
        <v>0</v>
      </c>
      <c r="AD862" s="127">
        <f t="shared" si="89"/>
        <v>1</v>
      </c>
    </row>
    <row r="863" spans="1:30" x14ac:dyDescent="0.25">
      <c r="A863">
        <v>858</v>
      </c>
      <c r="C863" s="11">
        <v>1.8870949745178223E-2</v>
      </c>
      <c r="D863" s="11">
        <v>1.4300018548965454E-2</v>
      </c>
      <c r="E863" s="11">
        <v>0.35458720141967448</v>
      </c>
      <c r="F863" s="11">
        <v>0.16005964545509774</v>
      </c>
      <c r="G863" s="11">
        <v>1.1957049369812012E-2</v>
      </c>
      <c r="H863" s="40">
        <v>4.0043118445175381E-4</v>
      </c>
      <c r="I863" s="40">
        <v>1.4538221558555793</v>
      </c>
      <c r="J863" s="59">
        <v>0</v>
      </c>
      <c r="K863" s="59">
        <v>4951.1436372995377</v>
      </c>
      <c r="L863" s="59">
        <v>0</v>
      </c>
      <c r="M863" s="11">
        <v>0.86560630798339844</v>
      </c>
      <c r="N863" s="11">
        <v>0.72891920804977417</v>
      </c>
      <c r="O863" s="11">
        <v>0.30836141109466553</v>
      </c>
      <c r="Q863" s="59">
        <v>14.942893320451613</v>
      </c>
      <c r="R863" s="78">
        <v>477.46642419771905</v>
      </c>
      <c r="S863" s="78">
        <v>14.980259155881539</v>
      </c>
      <c r="T863" s="78">
        <v>608.9126002374976</v>
      </c>
      <c r="U863" s="59">
        <v>14.991698324454573</v>
      </c>
      <c r="V863" s="78">
        <v>801.54607046910337</v>
      </c>
      <c r="X863" s="134">
        <f t="shared" si="84"/>
        <v>1493811.8656209637</v>
      </c>
      <c r="Y863" s="134">
        <f t="shared" si="85"/>
        <v>1497417.0029879166</v>
      </c>
      <c r="Z863" s="134">
        <f t="shared" si="86"/>
        <v>1498368.2863749883</v>
      </c>
      <c r="AB863" s="127">
        <f t="shared" si="87"/>
        <v>0</v>
      </c>
      <c r="AC863" s="127">
        <f t="shared" si="88"/>
        <v>0</v>
      </c>
      <c r="AD863" s="127">
        <f t="shared" si="89"/>
        <v>1</v>
      </c>
    </row>
    <row r="864" spans="1:30" x14ac:dyDescent="0.25">
      <c r="A864">
        <v>859</v>
      </c>
      <c r="C864" s="11">
        <v>7.8401416540145874E-3</v>
      </c>
      <c r="D864" s="11">
        <v>5.5246829986572266E-2</v>
      </c>
      <c r="E864" s="11">
        <v>0.24971114496391847</v>
      </c>
      <c r="F864" s="11">
        <v>0.27081172638226114</v>
      </c>
      <c r="G864" s="11">
        <v>1.4227926731109619E-2</v>
      </c>
      <c r="H864" s="40">
        <v>5.0915477849978628E-4</v>
      </c>
      <c r="I864" s="40">
        <v>1.3722167813510391</v>
      </c>
      <c r="J864" s="59">
        <v>0</v>
      </c>
      <c r="K864" s="59">
        <v>3475.9822301566601</v>
      </c>
      <c r="L864" s="59">
        <v>0</v>
      </c>
      <c r="M864" s="11">
        <v>0.91010522842407227</v>
      </c>
      <c r="N864" s="11">
        <v>0.78631770610809326</v>
      </c>
      <c r="O864" s="11">
        <v>0.28803235292434692</v>
      </c>
      <c r="Q864" s="59">
        <v>15.88181802461683</v>
      </c>
      <c r="R864" s="78">
        <v>453.85627017305546</v>
      </c>
      <c r="S864" s="78">
        <v>15.932507684150075</v>
      </c>
      <c r="T864" s="78">
        <v>594.12417347122278</v>
      </c>
      <c r="U864" s="59">
        <v>15.931063690221896</v>
      </c>
      <c r="V864" s="78">
        <v>804.39669876758819</v>
      </c>
      <c r="X864" s="134">
        <f t="shared" si="84"/>
        <v>1587727.94619151</v>
      </c>
      <c r="Y864" s="134">
        <f t="shared" si="85"/>
        <v>1592656.6442415363</v>
      </c>
      <c r="Z864" s="134">
        <f t="shared" si="86"/>
        <v>1592301.9723234221</v>
      </c>
      <c r="AB864" s="127">
        <f t="shared" si="87"/>
        <v>0</v>
      </c>
      <c r="AC864" s="127">
        <f t="shared" si="88"/>
        <v>1</v>
      </c>
      <c r="AD864" s="127">
        <f t="shared" si="89"/>
        <v>0</v>
      </c>
    </row>
    <row r="865" spans="1:30" x14ac:dyDescent="0.25">
      <c r="A865">
        <v>860</v>
      </c>
      <c r="C865" s="11">
        <v>8.8342577219009399E-3</v>
      </c>
      <c r="D865" s="11">
        <v>1.9772306084632874E-2</v>
      </c>
      <c r="E865" s="11">
        <v>0.20141168140945978</v>
      </c>
      <c r="F865" s="11">
        <v>0.21313040314934448</v>
      </c>
      <c r="G865" s="11">
        <v>3.6699384450912476E-2</v>
      </c>
      <c r="H865" s="40">
        <v>3.2621128623121155E-4</v>
      </c>
      <c r="I865" s="40">
        <v>1.4728125443745463</v>
      </c>
      <c r="J865" s="59">
        <v>0</v>
      </c>
      <c r="K865" s="59">
        <v>5052.126944065094</v>
      </c>
      <c r="L865" s="59">
        <v>0</v>
      </c>
      <c r="M865" s="11">
        <v>0.87605613470077515</v>
      </c>
      <c r="N865" s="11">
        <v>0.78242582082748413</v>
      </c>
      <c r="O865" s="11">
        <v>0.32407265901565552</v>
      </c>
      <c r="Q865" s="59">
        <v>15.292517329804522</v>
      </c>
      <c r="R865" s="78">
        <v>479.50157229087205</v>
      </c>
      <c r="S865" s="78">
        <v>15.328385932650537</v>
      </c>
      <c r="T865" s="78">
        <v>596.41412181426881</v>
      </c>
      <c r="U865" s="59">
        <v>15.327852759112002</v>
      </c>
      <c r="V865" s="78">
        <v>806.4242969373181</v>
      </c>
      <c r="X865" s="134">
        <f t="shared" si="84"/>
        <v>1528772.2314081613</v>
      </c>
      <c r="Y865" s="134">
        <f t="shared" si="85"/>
        <v>1532242.1791432395</v>
      </c>
      <c r="Z865" s="134">
        <f t="shared" si="86"/>
        <v>1531978.8516142627</v>
      </c>
      <c r="AB865" s="127">
        <f t="shared" si="87"/>
        <v>0</v>
      </c>
      <c r="AC865" s="127">
        <f t="shared" si="88"/>
        <v>1</v>
      </c>
      <c r="AD865" s="127">
        <f t="shared" si="89"/>
        <v>0</v>
      </c>
    </row>
    <row r="866" spans="1:30" x14ac:dyDescent="0.25">
      <c r="A866">
        <v>861</v>
      </c>
      <c r="C866" s="11">
        <v>1.8273100256919861E-2</v>
      </c>
      <c r="D866" s="11">
        <v>2.7281045913696289E-2</v>
      </c>
      <c r="E866" s="11">
        <v>0.19720904869836808</v>
      </c>
      <c r="F866" s="11">
        <v>0.14092965330163029</v>
      </c>
      <c r="G866" s="11">
        <v>3.050696849822998E-2</v>
      </c>
      <c r="H866" s="40">
        <v>3.9782539252053613E-4</v>
      </c>
      <c r="I866" s="40">
        <v>1.6525634144193093</v>
      </c>
      <c r="J866" s="59">
        <v>0</v>
      </c>
      <c r="K866" s="59">
        <v>6252.131424844265</v>
      </c>
      <c r="L866" s="59">
        <v>0</v>
      </c>
      <c r="M866" s="11">
        <v>0.89135837554931641</v>
      </c>
      <c r="N866" s="11">
        <v>0.70164394378662109</v>
      </c>
      <c r="O866" s="11">
        <v>0.2782941460609436</v>
      </c>
      <c r="Q866" s="59">
        <v>15.314624679352967</v>
      </c>
      <c r="R866" s="78">
        <v>600.22938997034237</v>
      </c>
      <c r="S866" s="78">
        <v>15.427986307757591</v>
      </c>
      <c r="T866" s="78">
        <v>620.7287548139484</v>
      </c>
      <c r="U866" s="59">
        <v>15.436187546315439</v>
      </c>
      <c r="V866" s="78">
        <v>817.87469815616907</v>
      </c>
      <c r="X866" s="134">
        <f t="shared" si="84"/>
        <v>1530862.2385453263</v>
      </c>
      <c r="Y866" s="134">
        <f t="shared" si="85"/>
        <v>1542177.902020945</v>
      </c>
      <c r="Z866" s="134">
        <f t="shared" si="86"/>
        <v>1542800.8799333877</v>
      </c>
      <c r="AB866" s="127">
        <f t="shared" si="87"/>
        <v>0</v>
      </c>
      <c r="AC866" s="127">
        <f t="shared" si="88"/>
        <v>0</v>
      </c>
      <c r="AD866" s="127">
        <f t="shared" si="89"/>
        <v>1</v>
      </c>
    </row>
    <row r="867" spans="1:30" x14ac:dyDescent="0.25">
      <c r="A867">
        <v>862</v>
      </c>
      <c r="C867" s="11">
        <v>1.3316452503204346E-2</v>
      </c>
      <c r="D867" s="11">
        <v>1.1639222502708435E-2</v>
      </c>
      <c r="E867" s="11">
        <v>0.41212962736014797</v>
      </c>
      <c r="F867" s="11">
        <v>0.19855218577484859</v>
      </c>
      <c r="G867" s="11">
        <v>4.7897219657897949E-2</v>
      </c>
      <c r="H867" s="40">
        <v>3.7456876035018487E-4</v>
      </c>
      <c r="I867" s="40">
        <v>1.4885079401824413</v>
      </c>
      <c r="J867" s="59">
        <v>0</v>
      </c>
      <c r="K867" s="59">
        <v>3977.697342634201</v>
      </c>
      <c r="L867" s="59">
        <v>0</v>
      </c>
      <c r="M867" s="11">
        <v>0.85490640997886658</v>
      </c>
      <c r="N867" s="11">
        <v>0.77561628818511963</v>
      </c>
      <c r="O867" s="11">
        <v>0.23509883880615234</v>
      </c>
      <c r="Q867" s="59">
        <v>14.847642615181803</v>
      </c>
      <c r="R867" s="78">
        <v>479.15944523040986</v>
      </c>
      <c r="S867" s="78">
        <v>14.877942108164465</v>
      </c>
      <c r="T867" s="78">
        <v>614.44295473133559</v>
      </c>
      <c r="U867" s="59">
        <v>14.889129868534869</v>
      </c>
      <c r="V867" s="78">
        <v>805.13676508857793</v>
      </c>
      <c r="X867" s="134">
        <f t="shared" si="84"/>
        <v>1484285.10207295</v>
      </c>
      <c r="Y867" s="134">
        <f t="shared" si="85"/>
        <v>1487179.7678617151</v>
      </c>
      <c r="Z867" s="134">
        <f t="shared" si="86"/>
        <v>1488107.8500883982</v>
      </c>
      <c r="AB867" s="127">
        <f t="shared" si="87"/>
        <v>0</v>
      </c>
      <c r="AC867" s="127">
        <f t="shared" si="88"/>
        <v>0</v>
      </c>
      <c r="AD867" s="127">
        <f t="shared" si="89"/>
        <v>1</v>
      </c>
    </row>
    <row r="868" spans="1:30" x14ac:dyDescent="0.25">
      <c r="A868">
        <v>863</v>
      </c>
      <c r="C868" s="11">
        <v>9.9536925554275513E-3</v>
      </c>
      <c r="D868" s="11">
        <v>5.2368640899658203E-3</v>
      </c>
      <c r="E868" s="11">
        <v>0.17064672159353114</v>
      </c>
      <c r="F868" s="11">
        <v>0.18500823263634453</v>
      </c>
      <c r="G868" s="11">
        <v>4.7639667987823486E-2</v>
      </c>
      <c r="H868" s="40">
        <v>5.5278364870507278E-4</v>
      </c>
      <c r="I868" s="40">
        <v>1.33220246064085</v>
      </c>
      <c r="J868" s="59">
        <v>0</v>
      </c>
      <c r="K868" s="59">
        <v>4572.2373761236668</v>
      </c>
      <c r="L868" s="59">
        <v>0</v>
      </c>
      <c r="M868" s="11">
        <v>0.82525849342346191</v>
      </c>
      <c r="N868" s="11">
        <v>0.75039315223693848</v>
      </c>
      <c r="O868" s="11">
        <v>0.33339345455169678</v>
      </c>
      <c r="Q868" s="59">
        <v>14.392002908813012</v>
      </c>
      <c r="R868" s="78">
        <v>486.08230869219449</v>
      </c>
      <c r="S868" s="78">
        <v>14.425013872422269</v>
      </c>
      <c r="T868" s="78">
        <v>594.90112099545502</v>
      </c>
      <c r="U868" s="59">
        <v>14.424434278587155</v>
      </c>
      <c r="V868" s="78">
        <v>805.23578949711953</v>
      </c>
      <c r="X868" s="134">
        <f t="shared" si="84"/>
        <v>1438714.2085726091</v>
      </c>
      <c r="Y868" s="134">
        <f t="shared" si="85"/>
        <v>1441906.4861212315</v>
      </c>
      <c r="Z868" s="134">
        <f t="shared" si="86"/>
        <v>1441638.1920692183</v>
      </c>
      <c r="AB868" s="127">
        <f t="shared" si="87"/>
        <v>0</v>
      </c>
      <c r="AC868" s="127">
        <f t="shared" si="88"/>
        <v>1</v>
      </c>
      <c r="AD868" s="127">
        <f t="shared" si="89"/>
        <v>0</v>
      </c>
    </row>
    <row r="869" spans="1:30" x14ac:dyDescent="0.25">
      <c r="A869">
        <v>864</v>
      </c>
      <c r="C869" s="11">
        <v>5.3700804710388184E-3</v>
      </c>
      <c r="D869" s="11">
        <v>3.8712084293365479E-2</v>
      </c>
      <c r="E869" s="11">
        <v>0.13458785948740631</v>
      </c>
      <c r="F869" s="11">
        <v>0.30753306739802583</v>
      </c>
      <c r="G869" s="11">
        <v>3.1898289918899536E-2</v>
      </c>
      <c r="H869" s="40">
        <v>3.9256876920706381E-4</v>
      </c>
      <c r="I869" s="40">
        <v>1.4248138863772775</v>
      </c>
      <c r="J869" s="59">
        <v>0</v>
      </c>
      <c r="K869" s="59">
        <v>7183.8870644569397</v>
      </c>
      <c r="L869" s="59">
        <v>0</v>
      </c>
      <c r="M869" s="11">
        <v>0.84691768884658813</v>
      </c>
      <c r="N869" s="11">
        <v>0.74648290872573853</v>
      </c>
      <c r="O869" s="11">
        <v>0.31336304545402527</v>
      </c>
      <c r="Q869" s="59">
        <v>14.827626431735075</v>
      </c>
      <c r="R869" s="78">
        <v>517.77194538387653</v>
      </c>
      <c r="S869" s="78">
        <v>14.872213465900259</v>
      </c>
      <c r="T869" s="78">
        <v>595.86546906101023</v>
      </c>
      <c r="U869" s="59">
        <v>14.863201505079967</v>
      </c>
      <c r="V869" s="78">
        <v>826.44206121209209</v>
      </c>
      <c r="X869" s="134">
        <f t="shared" si="84"/>
        <v>1482244.8712281235</v>
      </c>
      <c r="Y869" s="134">
        <f t="shared" si="85"/>
        <v>1486625.4811209647</v>
      </c>
      <c r="Z869" s="134">
        <f t="shared" si="86"/>
        <v>1485493.7084467846</v>
      </c>
      <c r="AB869" s="127">
        <f t="shared" si="87"/>
        <v>0</v>
      </c>
      <c r="AC869" s="127">
        <f t="shared" si="88"/>
        <v>1</v>
      </c>
      <c r="AD869" s="127">
        <f t="shared" si="89"/>
        <v>0</v>
      </c>
    </row>
    <row r="870" spans="1:30" x14ac:dyDescent="0.25">
      <c r="A870">
        <v>865</v>
      </c>
      <c r="C870" s="11">
        <v>1.6412734985351563E-3</v>
      </c>
      <c r="D870" s="11">
        <v>2.5213122367858887E-2</v>
      </c>
      <c r="E870" s="11">
        <v>0.2877556044667785</v>
      </c>
      <c r="F870" s="11">
        <v>0.56558709252175077</v>
      </c>
      <c r="G870" s="11">
        <v>2.8376758098602295E-2</v>
      </c>
      <c r="H870" s="40">
        <v>4.9194851715395689E-4</v>
      </c>
      <c r="I870" s="40">
        <v>1.4072414513456721</v>
      </c>
      <c r="J870" s="59">
        <v>0</v>
      </c>
      <c r="K870" s="59">
        <v>5966.5227308869362</v>
      </c>
      <c r="L870" s="59">
        <v>0</v>
      </c>
      <c r="M870" s="11">
        <v>0.88401293754577637</v>
      </c>
      <c r="N870" s="11">
        <v>0.80500340461730957</v>
      </c>
      <c r="O870" s="11">
        <v>0.3232080340385437</v>
      </c>
      <c r="Q870" s="59">
        <v>15.536728242615245</v>
      </c>
      <c r="R870" s="78">
        <v>514.52058540402834</v>
      </c>
      <c r="S870" s="78">
        <v>15.573890262488709</v>
      </c>
      <c r="T870" s="78">
        <v>614.09929441308316</v>
      </c>
      <c r="U870" s="59">
        <v>15.559270018407709</v>
      </c>
      <c r="V870" s="78">
        <v>856.66481612991606</v>
      </c>
      <c r="X870" s="134">
        <f t="shared" si="84"/>
        <v>1553158.3036761205</v>
      </c>
      <c r="Y870" s="134">
        <f t="shared" si="85"/>
        <v>1556774.9269544578</v>
      </c>
      <c r="Z870" s="134">
        <f t="shared" si="86"/>
        <v>1555070.337024641</v>
      </c>
      <c r="AB870" s="127">
        <f t="shared" si="87"/>
        <v>0</v>
      </c>
      <c r="AC870" s="127">
        <f t="shared" si="88"/>
        <v>1</v>
      </c>
      <c r="AD870" s="127">
        <f t="shared" si="89"/>
        <v>0</v>
      </c>
    </row>
    <row r="871" spans="1:30" x14ac:dyDescent="0.25">
      <c r="A871">
        <v>866</v>
      </c>
      <c r="C871" s="11">
        <v>1.3078927993774414E-2</v>
      </c>
      <c r="D871" s="11">
        <v>2.1593391895294189E-2</v>
      </c>
      <c r="E871" s="11">
        <v>0.281452486803284</v>
      </c>
      <c r="F871" s="11">
        <v>0.18815155585595261</v>
      </c>
      <c r="G871" s="11">
        <v>2.0000189542770386E-2</v>
      </c>
      <c r="H871" s="40">
        <v>4.2174576320904187E-4</v>
      </c>
      <c r="I871" s="40">
        <v>1.5166556135978666</v>
      </c>
      <c r="J871" s="59">
        <v>0</v>
      </c>
      <c r="K871" s="59">
        <v>6947.3031908273697</v>
      </c>
      <c r="L871" s="59">
        <v>0</v>
      </c>
      <c r="M871" s="11">
        <v>0.83407831192016602</v>
      </c>
      <c r="N871" s="11">
        <v>0.76450872421264648</v>
      </c>
      <c r="O871" s="11">
        <v>0.27985590696334839</v>
      </c>
      <c r="Q871" s="59">
        <v>14.485158390909607</v>
      </c>
      <c r="R871" s="78">
        <v>549.96980044483257</v>
      </c>
      <c r="S871" s="78">
        <v>14.52436624832761</v>
      </c>
      <c r="T871" s="78">
        <v>623.57736738543849</v>
      </c>
      <c r="U871" s="59">
        <v>14.529562833407375</v>
      </c>
      <c r="V871" s="78">
        <v>817.85999089076859</v>
      </c>
      <c r="X871" s="134">
        <f t="shared" si="84"/>
        <v>1447965.869290516</v>
      </c>
      <c r="Y871" s="134">
        <f t="shared" si="85"/>
        <v>1451813.0474653756</v>
      </c>
      <c r="Z871" s="134">
        <f t="shared" si="86"/>
        <v>1452138.4233498466</v>
      </c>
      <c r="AB871" s="127">
        <f t="shared" si="87"/>
        <v>0</v>
      </c>
      <c r="AC871" s="127">
        <f t="shared" si="88"/>
        <v>0</v>
      </c>
      <c r="AD871" s="127">
        <f t="shared" si="89"/>
        <v>1</v>
      </c>
    </row>
    <row r="872" spans="1:30" x14ac:dyDescent="0.25">
      <c r="A872">
        <v>867</v>
      </c>
      <c r="C872" s="11">
        <v>4.249042272567749E-2</v>
      </c>
      <c r="D872" s="11">
        <v>2.0071983337402344E-2</v>
      </c>
      <c r="E872" s="11">
        <v>0.17995283111720267</v>
      </c>
      <c r="F872" s="11">
        <v>0.39431344226006776</v>
      </c>
      <c r="G872" s="11">
        <v>2.6663005352020264E-2</v>
      </c>
      <c r="H872" s="40">
        <v>4.3245496500639427E-4</v>
      </c>
      <c r="I872" s="40">
        <v>1.5687822626222658</v>
      </c>
      <c r="J872" s="59">
        <v>0</v>
      </c>
      <c r="K872" s="59">
        <v>5063.2236525416374</v>
      </c>
      <c r="L872" s="59">
        <v>0</v>
      </c>
      <c r="M872" s="11">
        <v>0.84386694431304932</v>
      </c>
      <c r="N872" s="11">
        <v>0.78689062595367432</v>
      </c>
      <c r="O872" s="11">
        <v>0.27243721485137939</v>
      </c>
      <c r="Q872" s="59">
        <v>14.211471869314886</v>
      </c>
      <c r="R872" s="78">
        <v>530.3651841077658</v>
      </c>
      <c r="S872" s="78">
        <v>14.261116081483593</v>
      </c>
      <c r="T872" s="78">
        <v>604.06964987662684</v>
      </c>
      <c r="U872" s="59">
        <v>14.247889906059216</v>
      </c>
      <c r="V872" s="78">
        <v>842.62435927141382</v>
      </c>
      <c r="X872" s="134">
        <f t="shared" si="84"/>
        <v>1420616.8217473808</v>
      </c>
      <c r="Y872" s="134">
        <f t="shared" si="85"/>
        <v>1425507.5384984827</v>
      </c>
      <c r="Z872" s="134">
        <f t="shared" si="86"/>
        <v>1423946.36624665</v>
      </c>
      <c r="AB872" s="127">
        <f t="shared" si="87"/>
        <v>0</v>
      </c>
      <c r="AC872" s="127">
        <f t="shared" si="88"/>
        <v>1</v>
      </c>
      <c r="AD872" s="127">
        <f t="shared" si="89"/>
        <v>0</v>
      </c>
    </row>
    <row r="873" spans="1:30" x14ac:dyDescent="0.25">
      <c r="A873">
        <v>868</v>
      </c>
      <c r="C873" s="11">
        <v>1.2720882892608643E-2</v>
      </c>
      <c r="D873" s="11">
        <v>1.5473783016204834E-2</v>
      </c>
      <c r="E873" s="11">
        <v>0.19541926079026389</v>
      </c>
      <c r="F873" s="11">
        <v>0.24709135543636013</v>
      </c>
      <c r="G873" s="11">
        <v>4.1710704565048218E-2</v>
      </c>
      <c r="H873" s="40">
        <v>5.394513003623868E-4</v>
      </c>
      <c r="I873" s="40">
        <v>1.3961915974780461</v>
      </c>
      <c r="J873" s="59">
        <v>0</v>
      </c>
      <c r="K873" s="59">
        <v>8304.007351398468</v>
      </c>
      <c r="L873" s="59">
        <v>0</v>
      </c>
      <c r="M873" s="11">
        <v>0.87364408373832703</v>
      </c>
      <c r="N873" s="11">
        <v>0.77168303728103638</v>
      </c>
      <c r="O873" s="11">
        <v>0.30177301168441772</v>
      </c>
      <c r="Q873" s="59">
        <v>15.174044951734651</v>
      </c>
      <c r="R873" s="78">
        <v>583.25612185228022</v>
      </c>
      <c r="S873" s="78">
        <v>15.223191178349898</v>
      </c>
      <c r="T873" s="78">
        <v>616.50970805424777</v>
      </c>
      <c r="U873" s="59">
        <v>15.219985798147391</v>
      </c>
      <c r="V873" s="78">
        <v>835.38471114206186</v>
      </c>
      <c r="X873" s="134">
        <f t="shared" si="84"/>
        <v>1516821.2390516128</v>
      </c>
      <c r="Y873" s="134">
        <f t="shared" si="85"/>
        <v>1521702.6081269355</v>
      </c>
      <c r="Z873" s="134">
        <f t="shared" si="86"/>
        <v>1521163.1951035969</v>
      </c>
      <c r="AB873" s="127">
        <f t="shared" si="87"/>
        <v>0</v>
      </c>
      <c r="AC873" s="127">
        <f t="shared" si="88"/>
        <v>1</v>
      </c>
      <c r="AD873" s="127">
        <f t="shared" si="89"/>
        <v>0</v>
      </c>
    </row>
    <row r="874" spans="1:30" x14ac:dyDescent="0.25">
      <c r="A874">
        <v>869</v>
      </c>
      <c r="C874" s="11">
        <v>8.0713927745819092E-3</v>
      </c>
      <c r="D874" s="11">
        <v>1.6888990998268127E-2</v>
      </c>
      <c r="E874" s="11">
        <v>0.22549983924609598</v>
      </c>
      <c r="F874" s="11">
        <v>0.5792661875846864</v>
      </c>
      <c r="G874" s="11">
        <v>5.9034466743469238E-2</v>
      </c>
      <c r="H874" s="40">
        <v>3.2192923689731761E-4</v>
      </c>
      <c r="I874" s="40">
        <v>1.5508240252719565</v>
      </c>
      <c r="J874" s="59">
        <v>0</v>
      </c>
      <c r="K874" s="59">
        <v>6982.8284904360771</v>
      </c>
      <c r="L874" s="59">
        <v>0</v>
      </c>
      <c r="M874" s="11">
        <v>0.91897010803222656</v>
      </c>
      <c r="N874" s="11">
        <v>0.66110420227050781</v>
      </c>
      <c r="O874" s="11">
        <v>0.2944074273109436</v>
      </c>
      <c r="Q874" s="59">
        <v>15.993888667821697</v>
      </c>
      <c r="R874" s="78">
        <v>556.74752580287304</v>
      </c>
      <c r="S874" s="78">
        <v>16.07668049923128</v>
      </c>
      <c r="T874" s="78">
        <v>616.20651388972874</v>
      </c>
      <c r="U874" s="59">
        <v>16.03853960622293</v>
      </c>
      <c r="V874" s="78">
        <v>882.97733637634644</v>
      </c>
      <c r="X874" s="134">
        <f t="shared" si="84"/>
        <v>1598832.1192563667</v>
      </c>
      <c r="Y874" s="134">
        <f t="shared" si="85"/>
        <v>1607051.8434092382</v>
      </c>
      <c r="Z874" s="134">
        <f t="shared" si="86"/>
        <v>1602970.9832859165</v>
      </c>
      <c r="AB874" s="127">
        <f t="shared" si="87"/>
        <v>0</v>
      </c>
      <c r="AC874" s="127">
        <f t="shared" si="88"/>
        <v>1</v>
      </c>
      <c r="AD874" s="127">
        <f t="shared" si="89"/>
        <v>0</v>
      </c>
    </row>
    <row r="875" spans="1:30" x14ac:dyDescent="0.25">
      <c r="A875">
        <v>870</v>
      </c>
      <c r="C875" s="11">
        <v>1.8021687865257263E-2</v>
      </c>
      <c r="D875" s="11">
        <v>1.1267200112342834E-2</v>
      </c>
      <c r="E875" s="11">
        <v>0.29203841345538506</v>
      </c>
      <c r="F875" s="11">
        <v>0.19892869056319334</v>
      </c>
      <c r="G875" s="11">
        <v>6.5487384796142578E-2</v>
      </c>
      <c r="H875" s="40">
        <v>4.7384580980225263E-4</v>
      </c>
      <c r="I875" s="40">
        <v>1.460071965581434</v>
      </c>
      <c r="J875" s="59">
        <v>0</v>
      </c>
      <c r="K875" s="59">
        <v>3969.8509499430656</v>
      </c>
      <c r="L875" s="59">
        <v>0</v>
      </c>
      <c r="M875" s="11">
        <v>0.87175536155700684</v>
      </c>
      <c r="N875" s="11">
        <v>0.78995680809020996</v>
      </c>
      <c r="O875" s="11">
        <v>0.31936532258987427</v>
      </c>
      <c r="Q875" s="59">
        <v>15.060858324317765</v>
      </c>
      <c r="R875" s="78">
        <v>500.47182104710447</v>
      </c>
      <c r="S875" s="78">
        <v>15.103021984305906</v>
      </c>
      <c r="T875" s="78">
        <v>610.51117530692829</v>
      </c>
      <c r="U875" s="59">
        <v>15.108669068563929</v>
      </c>
      <c r="V875" s="78">
        <v>809.50248310517668</v>
      </c>
      <c r="X875" s="134">
        <f t="shared" si="84"/>
        <v>1505585.3606107293</v>
      </c>
      <c r="Y875" s="134">
        <f t="shared" si="85"/>
        <v>1509691.6872552836</v>
      </c>
      <c r="Z875" s="134">
        <f t="shared" si="86"/>
        <v>1510057.4043732877</v>
      </c>
      <c r="AB875" s="127">
        <f t="shared" si="87"/>
        <v>0</v>
      </c>
      <c r="AC875" s="127">
        <f t="shared" si="88"/>
        <v>0</v>
      </c>
      <c r="AD875" s="127">
        <f t="shared" si="89"/>
        <v>1</v>
      </c>
    </row>
    <row r="876" spans="1:30" x14ac:dyDescent="0.25">
      <c r="A876">
        <v>871</v>
      </c>
      <c r="C876" s="11">
        <v>1.2595817446708679E-2</v>
      </c>
      <c r="D876" s="11">
        <v>1.6881152987480164E-2</v>
      </c>
      <c r="E876" s="11">
        <v>0.14121641500235563</v>
      </c>
      <c r="F876" s="11">
        <v>0.2507025063646991</v>
      </c>
      <c r="G876" s="11">
        <v>3.3521413803100586E-2</v>
      </c>
      <c r="H876" s="40">
        <v>4.9264813294286943E-4</v>
      </c>
      <c r="I876" s="40">
        <v>1.4057485044876954</v>
      </c>
      <c r="J876" s="59">
        <v>0</v>
      </c>
      <c r="K876" s="59">
        <v>3649.0336060523987</v>
      </c>
      <c r="L876" s="59">
        <v>0</v>
      </c>
      <c r="M876" s="11">
        <v>0.82838201522827148</v>
      </c>
      <c r="N876" s="11">
        <v>0.81920766830444336</v>
      </c>
      <c r="O876" s="11">
        <v>0.30969753861427307</v>
      </c>
      <c r="Q876" s="59">
        <v>14.419338665698309</v>
      </c>
      <c r="R876" s="78">
        <v>468.89019077916436</v>
      </c>
      <c r="S876" s="78">
        <v>14.443780807125082</v>
      </c>
      <c r="T876" s="78">
        <v>589.72856934752656</v>
      </c>
      <c r="U876" s="59">
        <v>14.440615052155151</v>
      </c>
      <c r="V876" s="78">
        <v>807.01151218214829</v>
      </c>
      <c r="X876" s="134">
        <f t="shared" si="84"/>
        <v>1441464.9763790516</v>
      </c>
      <c r="Y876" s="134">
        <f t="shared" si="85"/>
        <v>1443788.3521431608</v>
      </c>
      <c r="Z876" s="134">
        <f t="shared" si="86"/>
        <v>1443254.493703333</v>
      </c>
      <c r="AB876" s="127">
        <f t="shared" si="87"/>
        <v>0</v>
      </c>
      <c r="AC876" s="127">
        <f t="shared" si="88"/>
        <v>1</v>
      </c>
      <c r="AD876" s="127">
        <f t="shared" si="89"/>
        <v>0</v>
      </c>
    </row>
    <row r="877" spans="1:30" x14ac:dyDescent="0.25">
      <c r="A877">
        <v>872</v>
      </c>
      <c r="C877" s="11">
        <v>4.2439460754394531E-2</v>
      </c>
      <c r="D877" s="11">
        <v>3.3455073833465576E-2</v>
      </c>
      <c r="E877" s="11">
        <v>0.22622432994964695</v>
      </c>
      <c r="F877" s="11">
        <v>0.28941806373737966</v>
      </c>
      <c r="G877" s="11">
        <v>2.446061372756958E-2</v>
      </c>
      <c r="H877" s="40">
        <v>5.6605974414235998E-4</v>
      </c>
      <c r="I877" s="40">
        <v>1.4995745964102656</v>
      </c>
      <c r="J877" s="59">
        <v>0</v>
      </c>
      <c r="K877" s="59">
        <v>4831.6642642021179</v>
      </c>
      <c r="L877" s="59">
        <v>0</v>
      </c>
      <c r="M877" s="11">
        <v>0.86408060789108276</v>
      </c>
      <c r="N877" s="11">
        <v>0.78057873249053955</v>
      </c>
      <c r="O877" s="11">
        <v>0.30505818128585815</v>
      </c>
      <c r="Q877" s="59">
        <v>14.535374464054296</v>
      </c>
      <c r="R877" s="78">
        <v>530.75011069331526</v>
      </c>
      <c r="S877" s="78">
        <v>14.596556118334529</v>
      </c>
      <c r="T877" s="78">
        <v>610.58461791123932</v>
      </c>
      <c r="U877" s="59">
        <v>14.591447564768538</v>
      </c>
      <c r="V877" s="78">
        <v>828.33853170596922</v>
      </c>
      <c r="X877" s="134">
        <f t="shared" si="84"/>
        <v>1453006.6962947363</v>
      </c>
      <c r="Y877" s="134">
        <f t="shared" si="85"/>
        <v>1459045.0272155418</v>
      </c>
      <c r="Z877" s="134">
        <f t="shared" si="86"/>
        <v>1458316.4179451477</v>
      </c>
      <c r="AB877" s="127">
        <f t="shared" si="87"/>
        <v>0</v>
      </c>
      <c r="AC877" s="127">
        <f t="shared" si="88"/>
        <v>1</v>
      </c>
      <c r="AD877" s="127">
        <f t="shared" si="89"/>
        <v>0</v>
      </c>
    </row>
    <row r="878" spans="1:30" x14ac:dyDescent="0.25">
      <c r="A878">
        <v>873</v>
      </c>
      <c r="C878" s="11">
        <v>4.0957391262054443E-2</v>
      </c>
      <c r="D878" s="11">
        <v>8.5745900869369507E-3</v>
      </c>
      <c r="E878" s="11">
        <v>0.17139304567908081</v>
      </c>
      <c r="F878" s="11">
        <v>0.40626417766522294</v>
      </c>
      <c r="G878" s="11">
        <v>2.5217264890670776E-2</v>
      </c>
      <c r="H878" s="40">
        <v>3.5513836775085122E-4</v>
      </c>
      <c r="I878" s="40">
        <v>1.5234702161940541</v>
      </c>
      <c r="J878" s="59">
        <v>0</v>
      </c>
      <c r="K878" s="59">
        <v>6506.8015828728676</v>
      </c>
      <c r="L878" s="59">
        <v>0</v>
      </c>
      <c r="M878" s="11">
        <v>0.80956602096557617</v>
      </c>
      <c r="N878" s="11">
        <v>0.79687559604644775</v>
      </c>
      <c r="O878" s="11">
        <v>0.31411081552505493</v>
      </c>
      <c r="Q878" s="59">
        <v>13.689128562670167</v>
      </c>
      <c r="R878" s="78">
        <v>520.30583116533455</v>
      </c>
      <c r="S878" s="78">
        <v>13.709775513345853</v>
      </c>
      <c r="T878" s="78">
        <v>600.97966704669705</v>
      </c>
      <c r="U878" s="59">
        <v>13.703840477571079</v>
      </c>
      <c r="V878" s="78">
        <v>839.87466997381182</v>
      </c>
      <c r="X878" s="134">
        <f t="shared" si="84"/>
        <v>1368392.5504358513</v>
      </c>
      <c r="Y878" s="134">
        <f t="shared" si="85"/>
        <v>1370376.5716675385</v>
      </c>
      <c r="Z878" s="134">
        <f t="shared" si="86"/>
        <v>1369544.1730871343</v>
      </c>
      <c r="AB878" s="127">
        <f t="shared" si="87"/>
        <v>0</v>
      </c>
      <c r="AC878" s="127">
        <f t="shared" si="88"/>
        <v>1</v>
      </c>
      <c r="AD878" s="127">
        <f t="shared" si="89"/>
        <v>0</v>
      </c>
    </row>
    <row r="879" spans="1:30" x14ac:dyDescent="0.25">
      <c r="A879">
        <v>874</v>
      </c>
      <c r="C879" s="11">
        <v>3.1399756669998169E-2</v>
      </c>
      <c r="D879" s="11">
        <v>3.0862867832183838E-2</v>
      </c>
      <c r="E879" s="11">
        <v>0.22159158978994475</v>
      </c>
      <c r="F879" s="11">
        <v>0.35533860796511957</v>
      </c>
      <c r="G879" s="11">
        <v>3.5577848553657532E-2</v>
      </c>
      <c r="H879" s="40">
        <v>5.0811200694205166E-4</v>
      </c>
      <c r="I879" s="40">
        <v>1.3197604366941833</v>
      </c>
      <c r="J879" s="59">
        <v>0</v>
      </c>
      <c r="K879" s="59">
        <v>5414.3392480909824</v>
      </c>
      <c r="L879" s="59">
        <v>0</v>
      </c>
      <c r="M879" s="11">
        <v>0.89543318748474121</v>
      </c>
      <c r="N879" s="11">
        <v>0.70896601676940918</v>
      </c>
      <c r="O879" s="11">
        <v>0.27908492088317871</v>
      </c>
      <c r="Q879" s="59">
        <v>15.252077384379573</v>
      </c>
      <c r="R879" s="78">
        <v>482.39328696106156</v>
      </c>
      <c r="S879" s="78">
        <v>15.304716498899367</v>
      </c>
      <c r="T879" s="78">
        <v>598.78277607395614</v>
      </c>
      <c r="U879" s="59">
        <v>15.295588134458622</v>
      </c>
      <c r="V879" s="78">
        <v>819.66887000672898</v>
      </c>
      <c r="X879" s="134">
        <f t="shared" si="84"/>
        <v>1524725.3451509962</v>
      </c>
      <c r="Y879" s="134">
        <f t="shared" si="85"/>
        <v>1529872.8671138627</v>
      </c>
      <c r="Z879" s="134">
        <f t="shared" si="86"/>
        <v>1528739.1445758555</v>
      </c>
      <c r="AB879" s="127">
        <f t="shared" si="87"/>
        <v>0</v>
      </c>
      <c r="AC879" s="127">
        <f t="shared" si="88"/>
        <v>1</v>
      </c>
      <c r="AD879" s="127">
        <f t="shared" si="89"/>
        <v>0</v>
      </c>
    </row>
    <row r="880" spans="1:30" x14ac:dyDescent="0.25">
      <c r="A880">
        <v>875</v>
      </c>
      <c r="C880" s="11">
        <v>7.7133625745773315E-3</v>
      </c>
      <c r="D880" s="11">
        <v>2.1078020334243774E-2</v>
      </c>
      <c r="E880" s="11">
        <v>0.13155667838210691</v>
      </c>
      <c r="F880" s="11">
        <v>0.25057402430433651</v>
      </c>
      <c r="G880" s="11">
        <v>5.5067300796508789E-2</v>
      </c>
      <c r="H880" s="40">
        <v>3.6888520913684971E-4</v>
      </c>
      <c r="I880" s="40">
        <v>1.5338846901862297</v>
      </c>
      <c r="J880" s="59">
        <v>0</v>
      </c>
      <c r="K880" s="59">
        <v>3042.5144359469414</v>
      </c>
      <c r="L880" s="59">
        <v>0</v>
      </c>
      <c r="M880" s="11">
        <v>0.91813087463378906</v>
      </c>
      <c r="N880" s="11">
        <v>0.77684247493743896</v>
      </c>
      <c r="O880" s="11">
        <v>0.33418190479278564</v>
      </c>
      <c r="Q880" s="59">
        <v>16.01166275532217</v>
      </c>
      <c r="R880" s="78">
        <v>469.76134787585499</v>
      </c>
      <c r="S880" s="78">
        <v>16.081556117996072</v>
      </c>
      <c r="T880" s="78">
        <v>589.13443390903478</v>
      </c>
      <c r="U880" s="59">
        <v>16.071814958208865</v>
      </c>
      <c r="V880" s="78">
        <v>807.25857064985883</v>
      </c>
      <c r="X880" s="134">
        <f t="shared" si="84"/>
        <v>1600696.5141843411</v>
      </c>
      <c r="Y880" s="134">
        <f t="shared" si="85"/>
        <v>1607566.4773656982</v>
      </c>
      <c r="Z880" s="134">
        <f t="shared" si="86"/>
        <v>1606374.2372502366</v>
      </c>
      <c r="AB880" s="127">
        <f t="shared" si="87"/>
        <v>0</v>
      </c>
      <c r="AC880" s="127">
        <f t="shared" si="88"/>
        <v>1</v>
      </c>
      <c r="AD880" s="127">
        <f t="shared" si="89"/>
        <v>0</v>
      </c>
    </row>
    <row r="881" spans="1:30" x14ac:dyDescent="0.25">
      <c r="A881">
        <v>876</v>
      </c>
      <c r="C881" s="11">
        <v>1.0536864399909973E-2</v>
      </c>
      <c r="D881" s="11">
        <v>1.7427682876586914E-2</v>
      </c>
      <c r="E881" s="11">
        <v>0.33726878045441755</v>
      </c>
      <c r="F881" s="11">
        <v>0.15524903947238963</v>
      </c>
      <c r="G881" s="11">
        <v>2.2293895483016968E-2</v>
      </c>
      <c r="H881" s="40">
        <v>3.7879709960256838E-4</v>
      </c>
      <c r="I881" s="40">
        <v>1.4452846438503724</v>
      </c>
      <c r="J881" s="59">
        <v>0</v>
      </c>
      <c r="K881" s="59">
        <v>8348.1334149837494</v>
      </c>
      <c r="L881" s="59">
        <v>0</v>
      </c>
      <c r="M881" s="11">
        <v>0.78177785873413086</v>
      </c>
      <c r="N881" s="11">
        <v>0.78456753492355347</v>
      </c>
      <c r="O881" s="11">
        <v>0.30713152885437012</v>
      </c>
      <c r="Q881" s="59">
        <v>13.64465758666439</v>
      </c>
      <c r="R881" s="78">
        <v>533.52505383474193</v>
      </c>
      <c r="S881" s="78">
        <v>13.657056438027995</v>
      </c>
      <c r="T881" s="78">
        <v>626.52570533053802</v>
      </c>
      <c r="U881" s="59">
        <v>13.660518312652293</v>
      </c>
      <c r="V881" s="78">
        <v>809.93657039027676</v>
      </c>
      <c r="X881" s="134">
        <f t="shared" si="84"/>
        <v>1363932.2336126042</v>
      </c>
      <c r="Y881" s="134">
        <f t="shared" si="85"/>
        <v>1365079.118097469</v>
      </c>
      <c r="Z881" s="134">
        <f t="shared" si="86"/>
        <v>1365241.8946948389</v>
      </c>
      <c r="AB881" s="127">
        <f t="shared" si="87"/>
        <v>0</v>
      </c>
      <c r="AC881" s="127">
        <f t="shared" si="88"/>
        <v>0</v>
      </c>
      <c r="AD881" s="127">
        <f t="shared" si="89"/>
        <v>1</v>
      </c>
    </row>
    <row r="882" spans="1:30" x14ac:dyDescent="0.25">
      <c r="A882">
        <v>877</v>
      </c>
      <c r="C882" s="11">
        <v>9.2757046222686768E-3</v>
      </c>
      <c r="D882" s="11">
        <v>1.0121718049049377E-2</v>
      </c>
      <c r="E882" s="11">
        <v>0.38725761174629175</v>
      </c>
      <c r="F882" s="11">
        <v>0.13183487409898006</v>
      </c>
      <c r="G882" s="11">
        <v>5.0219476222991943E-2</v>
      </c>
      <c r="H882" s="40">
        <v>4.2723240825612069E-4</v>
      </c>
      <c r="I882" s="40">
        <v>1.4659060574750153</v>
      </c>
      <c r="J882" s="59">
        <v>0</v>
      </c>
      <c r="K882" s="59">
        <v>3236.9373366236687</v>
      </c>
      <c r="L882" s="59">
        <v>0</v>
      </c>
      <c r="M882" s="11">
        <v>0.8370094895362854</v>
      </c>
      <c r="N882" s="11">
        <v>0.76240921020507813</v>
      </c>
      <c r="O882" s="11">
        <v>0.27242511510848999</v>
      </c>
      <c r="Q882" s="59">
        <v>14.59604986143955</v>
      </c>
      <c r="R882" s="78">
        <v>469.08802740697274</v>
      </c>
      <c r="S882" s="78">
        <v>14.627282217118026</v>
      </c>
      <c r="T882" s="78">
        <v>608.39279202566127</v>
      </c>
      <c r="U882" s="59">
        <v>14.64054340878104</v>
      </c>
      <c r="V882" s="78">
        <v>798.05150332133326</v>
      </c>
      <c r="X882" s="134">
        <f t="shared" si="84"/>
        <v>1459135.8981165481</v>
      </c>
      <c r="Y882" s="134">
        <f t="shared" si="85"/>
        <v>1462119.8289197769</v>
      </c>
      <c r="Z882" s="134">
        <f t="shared" si="86"/>
        <v>1463256.2893747827</v>
      </c>
      <c r="AB882" s="127">
        <f t="shared" si="87"/>
        <v>0</v>
      </c>
      <c r="AC882" s="127">
        <f t="shared" si="88"/>
        <v>0</v>
      </c>
      <c r="AD882" s="127">
        <f t="shared" si="89"/>
        <v>1</v>
      </c>
    </row>
    <row r="883" spans="1:30" x14ac:dyDescent="0.25">
      <c r="A883">
        <v>878</v>
      </c>
      <c r="C883" s="11">
        <v>1.9610434770584106E-2</v>
      </c>
      <c r="D883" s="11">
        <v>5.0352215766906738E-3</v>
      </c>
      <c r="E883" s="11">
        <v>0.17915922721975219</v>
      </c>
      <c r="F883" s="11">
        <v>0.16229743328445925</v>
      </c>
      <c r="G883" s="11">
        <v>5.6733489036560059E-2</v>
      </c>
      <c r="H883" s="40">
        <v>4.5151188540354614E-4</v>
      </c>
      <c r="I883" s="40">
        <v>1.5452867097118481</v>
      </c>
      <c r="J883" s="59">
        <v>0</v>
      </c>
      <c r="K883" s="59">
        <v>4691.0927630960941</v>
      </c>
      <c r="L883" s="59">
        <v>0</v>
      </c>
      <c r="M883" s="11">
        <v>0.85451990365982056</v>
      </c>
      <c r="N883" s="11">
        <v>0.77560818195343018</v>
      </c>
      <c r="O883" s="11">
        <v>0.28631117939949036</v>
      </c>
      <c r="Q883" s="59">
        <v>14.728968606485823</v>
      </c>
      <c r="R883" s="78">
        <v>541.27660937862356</v>
      </c>
      <c r="S883" s="78">
        <v>14.785230901937229</v>
      </c>
      <c r="T883" s="78">
        <v>605.91782664049981</v>
      </c>
      <c r="U883" s="59">
        <v>14.786415720928225</v>
      </c>
      <c r="V883" s="78">
        <v>812.39451446927887</v>
      </c>
      <c r="X883" s="134">
        <f t="shared" si="84"/>
        <v>1472355.5840392036</v>
      </c>
      <c r="Y883" s="134">
        <f t="shared" si="85"/>
        <v>1477917.1723670824</v>
      </c>
      <c r="Z883" s="134">
        <f t="shared" si="86"/>
        <v>1477829.1775783533</v>
      </c>
      <c r="AB883" s="127">
        <f t="shared" si="87"/>
        <v>0</v>
      </c>
      <c r="AC883" s="127">
        <f t="shared" si="88"/>
        <v>1</v>
      </c>
      <c r="AD883" s="127">
        <f t="shared" si="89"/>
        <v>0</v>
      </c>
    </row>
    <row r="884" spans="1:30" x14ac:dyDescent="0.25">
      <c r="A884">
        <v>879</v>
      </c>
      <c r="C884" s="11">
        <v>1.959797739982605E-2</v>
      </c>
      <c r="D884" s="11">
        <v>3.6289811134338379E-2</v>
      </c>
      <c r="E884" s="11">
        <v>0.27436947401852124</v>
      </c>
      <c r="F884" s="11">
        <v>0.10120956317711623</v>
      </c>
      <c r="G884" s="11">
        <v>5.2160441875457764E-2</v>
      </c>
      <c r="H884" s="40">
        <v>5.6547999408946886E-4</v>
      </c>
      <c r="I884" s="40">
        <v>1.4879105712691587</v>
      </c>
      <c r="J884" s="59">
        <v>0</v>
      </c>
      <c r="K884" s="59">
        <v>8197.9855895042419</v>
      </c>
      <c r="L884" s="59">
        <v>0</v>
      </c>
      <c r="M884" s="11">
        <v>0.84753501415252686</v>
      </c>
      <c r="N884" s="11">
        <v>0.73969465494155884</v>
      </c>
      <c r="O884" s="11">
        <v>0.30008372664451599</v>
      </c>
      <c r="Q884" s="59">
        <v>14.58195219955673</v>
      </c>
      <c r="R884" s="78">
        <v>657.71130648409417</v>
      </c>
      <c r="S884" s="78">
        <v>14.650443172238068</v>
      </c>
      <c r="T884" s="78">
        <v>652.67931503848502</v>
      </c>
      <c r="U884" s="59">
        <v>14.66722228001448</v>
      </c>
      <c r="V884" s="78">
        <v>815.29800438922211</v>
      </c>
      <c r="X884" s="134">
        <f t="shared" si="84"/>
        <v>1457537.5086491888</v>
      </c>
      <c r="Y884" s="134">
        <f t="shared" si="85"/>
        <v>1464391.6379087684</v>
      </c>
      <c r="Z884" s="134">
        <f t="shared" si="86"/>
        <v>1465906.9299970588</v>
      </c>
      <c r="AB884" s="127">
        <f t="shared" si="87"/>
        <v>0</v>
      </c>
      <c r="AC884" s="127">
        <f t="shared" si="88"/>
        <v>0</v>
      </c>
      <c r="AD884" s="127">
        <f t="shared" si="89"/>
        <v>1</v>
      </c>
    </row>
    <row r="885" spans="1:30" x14ac:dyDescent="0.25">
      <c r="A885">
        <v>880</v>
      </c>
      <c r="C885" s="11">
        <v>1.4396339654922485E-2</v>
      </c>
      <c r="D885" s="11">
        <v>2.4894446134567261E-2</v>
      </c>
      <c r="E885" s="11">
        <v>0.27460005667337284</v>
      </c>
      <c r="F885" s="11">
        <v>0.25490421022965171</v>
      </c>
      <c r="G885" s="11">
        <v>3.2005608081817627E-2</v>
      </c>
      <c r="H885" s="40">
        <v>4.2797411055421278E-4</v>
      </c>
      <c r="I885" s="40">
        <v>1.4446752405571552</v>
      </c>
      <c r="J885" s="59">
        <v>0</v>
      </c>
      <c r="K885" s="59">
        <v>4961.1716531217098</v>
      </c>
      <c r="L885" s="59">
        <v>0</v>
      </c>
      <c r="M885" s="11">
        <v>0.87460225820541382</v>
      </c>
      <c r="N885" s="11">
        <v>0.77965378761291504</v>
      </c>
      <c r="O885" s="11">
        <v>0.30628436803817749</v>
      </c>
      <c r="Q885" s="59">
        <v>15.170680760835031</v>
      </c>
      <c r="R885" s="78">
        <v>492.00901823939483</v>
      </c>
      <c r="S885" s="78">
        <v>15.210739819203324</v>
      </c>
      <c r="T885" s="78">
        <v>606.2403549205809</v>
      </c>
      <c r="U885" s="59">
        <v>15.211843320878048</v>
      </c>
      <c r="V885" s="78">
        <v>813.29486372782719</v>
      </c>
      <c r="X885" s="134">
        <f t="shared" si="84"/>
        <v>1516576.0670652639</v>
      </c>
      <c r="Y885" s="134">
        <f t="shared" si="85"/>
        <v>1520467.7415654119</v>
      </c>
      <c r="Z885" s="134">
        <f t="shared" si="86"/>
        <v>1520371.0372240769</v>
      </c>
      <c r="AB885" s="127">
        <f t="shared" si="87"/>
        <v>0</v>
      </c>
      <c r="AC885" s="127">
        <f t="shared" si="88"/>
        <v>1</v>
      </c>
      <c r="AD885" s="127">
        <f t="shared" si="89"/>
        <v>0</v>
      </c>
    </row>
    <row r="886" spans="1:30" x14ac:dyDescent="0.25">
      <c r="A886">
        <v>881</v>
      </c>
      <c r="C886" s="11">
        <v>3.0287683010101318E-2</v>
      </c>
      <c r="D886" s="11">
        <v>5.0308346748352051E-2</v>
      </c>
      <c r="E886" s="11">
        <v>0.41254557338161985</v>
      </c>
      <c r="F886" s="11">
        <v>0.32746803438848654</v>
      </c>
      <c r="G886" s="11">
        <v>1.8270105123519897E-2</v>
      </c>
      <c r="H886" s="40">
        <v>5.7253446265748142E-4</v>
      </c>
      <c r="I886" s="40">
        <v>1.5537783059050065</v>
      </c>
      <c r="J886" s="59">
        <v>0</v>
      </c>
      <c r="K886" s="59">
        <v>3008.4513127803802</v>
      </c>
      <c r="L886" s="59">
        <v>0</v>
      </c>
      <c r="M886" s="11">
        <v>0.81678140163421631</v>
      </c>
      <c r="N886" s="11">
        <v>0.69552421569824219</v>
      </c>
      <c r="O886" s="11">
        <v>0.28061014413833618</v>
      </c>
      <c r="Q886" s="59">
        <v>13.873811561782954</v>
      </c>
      <c r="R886" s="78">
        <v>492.03161061039879</v>
      </c>
      <c r="S886" s="78">
        <v>13.941189036378612</v>
      </c>
      <c r="T886" s="78">
        <v>620.23122564474158</v>
      </c>
      <c r="U886" s="59">
        <v>13.951194599397674</v>
      </c>
      <c r="V886" s="78">
        <v>820.82086982553733</v>
      </c>
      <c r="X886" s="134">
        <f t="shared" si="84"/>
        <v>1386889.124567685</v>
      </c>
      <c r="Y886" s="134">
        <f t="shared" si="85"/>
        <v>1393498.6724122164</v>
      </c>
      <c r="Z886" s="134">
        <f t="shared" si="86"/>
        <v>1394298.6390699418</v>
      </c>
      <c r="AB886" s="127">
        <f t="shared" si="87"/>
        <v>0</v>
      </c>
      <c r="AC886" s="127">
        <f t="shared" si="88"/>
        <v>0</v>
      </c>
      <c r="AD886" s="127">
        <f t="shared" si="89"/>
        <v>1</v>
      </c>
    </row>
    <row r="887" spans="1:30" x14ac:dyDescent="0.25">
      <c r="A887">
        <v>882</v>
      </c>
      <c r="C887" s="11">
        <v>9.3882530927658081E-3</v>
      </c>
      <c r="D887" s="11">
        <v>3.5767257213592529E-2</v>
      </c>
      <c r="E887" s="11">
        <v>0.38308758937143828</v>
      </c>
      <c r="F887" s="11">
        <v>0.16293580306844938</v>
      </c>
      <c r="G887" s="11">
        <v>4.8243671655654907E-2</v>
      </c>
      <c r="H887" s="40">
        <v>5.0767329810564611E-4</v>
      </c>
      <c r="I887" s="40">
        <v>1.3769452446998134</v>
      </c>
      <c r="J887" s="59">
        <v>0</v>
      </c>
      <c r="K887" s="59">
        <v>4692.4920752644539</v>
      </c>
      <c r="L887" s="59">
        <v>0</v>
      </c>
      <c r="M887" s="11">
        <v>0.82424348592758179</v>
      </c>
      <c r="N887" s="11">
        <v>0.7604905366897583</v>
      </c>
      <c r="O887" s="11">
        <v>0.29635894298553467</v>
      </c>
      <c r="Q887" s="59">
        <v>14.373067248697764</v>
      </c>
      <c r="R887" s="78">
        <v>492.16356345448361</v>
      </c>
      <c r="S887" s="78">
        <v>14.403292716125359</v>
      </c>
      <c r="T887" s="78">
        <v>616.96306899348997</v>
      </c>
      <c r="U887" s="59">
        <v>14.414243362682667</v>
      </c>
      <c r="V887" s="78">
        <v>804.20150540886095</v>
      </c>
      <c r="X887" s="134">
        <f t="shared" si="84"/>
        <v>1436814.5613063218</v>
      </c>
      <c r="Y887" s="134">
        <f t="shared" si="85"/>
        <v>1439712.3085435424</v>
      </c>
      <c r="Z887" s="134">
        <f t="shared" si="86"/>
        <v>1440620.1347628578</v>
      </c>
      <c r="AB887" s="127">
        <f t="shared" si="87"/>
        <v>0</v>
      </c>
      <c r="AC887" s="127">
        <f t="shared" si="88"/>
        <v>0</v>
      </c>
      <c r="AD887" s="127">
        <f t="shared" si="89"/>
        <v>1</v>
      </c>
    </row>
    <row r="888" spans="1:30" x14ac:dyDescent="0.25">
      <c r="A888">
        <v>883</v>
      </c>
      <c r="C888" s="11">
        <v>2.0889580249786377E-2</v>
      </c>
      <c r="D888" s="11">
        <v>5.6587934494018555E-2</v>
      </c>
      <c r="E888" s="11">
        <v>0.41161350033339006</v>
      </c>
      <c r="F888" s="11">
        <v>0.26124520662732414</v>
      </c>
      <c r="G888" s="11">
        <v>9.0944290161132813E-2</v>
      </c>
      <c r="H888" s="40">
        <v>3.341579217497409E-4</v>
      </c>
      <c r="I888" s="40">
        <v>1.5215389933546182</v>
      </c>
      <c r="J888" s="59">
        <v>0</v>
      </c>
      <c r="K888" s="59">
        <v>5690.7441467046738</v>
      </c>
      <c r="L888" s="59">
        <v>0</v>
      </c>
      <c r="M888" s="11">
        <v>0.80406904220581055</v>
      </c>
      <c r="N888" s="11">
        <v>0.75181132555007935</v>
      </c>
      <c r="O888" s="11">
        <v>0.26156735420227051</v>
      </c>
      <c r="Q888" s="59">
        <v>13.845620017930957</v>
      </c>
      <c r="R888" s="78">
        <v>532.85441255638079</v>
      </c>
      <c r="S888" s="78">
        <v>13.88088845828087</v>
      </c>
      <c r="T888" s="78">
        <v>636.70426529232031</v>
      </c>
      <c r="U888" s="59">
        <v>13.890032190917131</v>
      </c>
      <c r="V888" s="78">
        <v>824.71430564802995</v>
      </c>
      <c r="X888" s="134">
        <f t="shared" si="84"/>
        <v>1384029.1473805392</v>
      </c>
      <c r="Y888" s="134">
        <f t="shared" si="85"/>
        <v>1387452.1415627948</v>
      </c>
      <c r="Z888" s="134">
        <f t="shared" si="86"/>
        <v>1388178.5047860648</v>
      </c>
      <c r="AB888" s="127">
        <f t="shared" si="87"/>
        <v>0</v>
      </c>
      <c r="AC888" s="127">
        <f t="shared" si="88"/>
        <v>0</v>
      </c>
      <c r="AD888" s="127">
        <f t="shared" si="89"/>
        <v>1</v>
      </c>
    </row>
    <row r="889" spans="1:30" x14ac:dyDescent="0.25">
      <c r="A889">
        <v>884</v>
      </c>
      <c r="C889" s="11">
        <v>6.0424953699111938E-3</v>
      </c>
      <c r="D889" s="11">
        <v>2.9287874698638916E-2</v>
      </c>
      <c r="E889" s="11">
        <v>0.13464048526181971</v>
      </c>
      <c r="F889" s="11">
        <v>0.25406510979811031</v>
      </c>
      <c r="G889" s="11">
        <v>0.12335968017578125</v>
      </c>
      <c r="H889" s="40">
        <v>9.0041480009628587E-4</v>
      </c>
      <c r="I889" s="40">
        <v>1.3803706242066953</v>
      </c>
      <c r="J889" s="59">
        <v>0</v>
      </c>
      <c r="K889" s="59">
        <v>5765.9950107336044</v>
      </c>
      <c r="L889" s="59">
        <v>0</v>
      </c>
      <c r="M889" s="11">
        <v>0.87968260049819946</v>
      </c>
      <c r="N889" s="11">
        <v>0.7345050573348999</v>
      </c>
      <c r="O889" s="11">
        <v>0.30246955156326294</v>
      </c>
      <c r="Q889" s="59">
        <v>15.300646905320797</v>
      </c>
      <c r="R889" s="78">
        <v>680.15425634501446</v>
      </c>
      <c r="S889" s="78">
        <v>15.424564419542758</v>
      </c>
      <c r="T889" s="78">
        <v>618.41099332647241</v>
      </c>
      <c r="U889" s="59">
        <v>15.407064328077135</v>
      </c>
      <c r="V889" s="78">
        <v>862.13393575540897</v>
      </c>
      <c r="X889" s="134">
        <f t="shared" si="84"/>
        <v>1529384.5362757347</v>
      </c>
      <c r="Y889" s="134">
        <f t="shared" si="85"/>
        <v>1541838.0309609494</v>
      </c>
      <c r="Z889" s="134">
        <f t="shared" si="86"/>
        <v>1539844.2988719582</v>
      </c>
      <c r="AB889" s="127">
        <f t="shared" si="87"/>
        <v>0</v>
      </c>
      <c r="AC889" s="127">
        <f t="shared" si="88"/>
        <v>1</v>
      </c>
      <c r="AD889" s="127">
        <f t="shared" si="89"/>
        <v>0</v>
      </c>
    </row>
    <row r="890" spans="1:30" x14ac:dyDescent="0.25">
      <c r="A890">
        <v>885</v>
      </c>
      <c r="C890" s="11">
        <v>3.9146542549133301E-3</v>
      </c>
      <c r="D890" s="11">
        <v>5.6716680526733398E-2</v>
      </c>
      <c r="E890" s="11">
        <v>0.23604329892592874</v>
      </c>
      <c r="F890" s="11">
        <v>0.17790522387507821</v>
      </c>
      <c r="G890" s="11">
        <v>3.2862246036529541E-2</v>
      </c>
      <c r="H890" s="40">
        <v>4.7209734213333543E-4</v>
      </c>
      <c r="I890" s="40">
        <v>1.4462547002049451</v>
      </c>
      <c r="J890" s="59">
        <v>0</v>
      </c>
      <c r="K890" s="59">
        <v>3660.151269286871</v>
      </c>
      <c r="L890" s="59">
        <v>0</v>
      </c>
      <c r="M890" s="11">
        <v>0.87546175718307495</v>
      </c>
      <c r="N890" s="11">
        <v>0.73400604724884033</v>
      </c>
      <c r="O890" s="11">
        <v>0.28179103136062622</v>
      </c>
      <c r="Q890" s="59">
        <v>15.31659708600794</v>
      </c>
      <c r="R890" s="78">
        <v>474.62523534945575</v>
      </c>
      <c r="S890" s="78">
        <v>15.382467951993313</v>
      </c>
      <c r="T890" s="78">
        <v>598.30144830579752</v>
      </c>
      <c r="U890" s="59">
        <v>15.387567808174005</v>
      </c>
      <c r="V890" s="78">
        <v>802.56318085179555</v>
      </c>
      <c r="X890" s="134">
        <f t="shared" si="84"/>
        <v>1531185.0833654446</v>
      </c>
      <c r="Y890" s="134">
        <f t="shared" si="85"/>
        <v>1537648.4937510255</v>
      </c>
      <c r="Z890" s="134">
        <f t="shared" si="86"/>
        <v>1537954.2176365487</v>
      </c>
      <c r="AB890" s="127">
        <f t="shared" si="87"/>
        <v>0</v>
      </c>
      <c r="AC890" s="127">
        <f t="shared" si="88"/>
        <v>0</v>
      </c>
      <c r="AD890" s="127">
        <f t="shared" si="89"/>
        <v>1</v>
      </c>
    </row>
    <row r="891" spans="1:30" x14ac:dyDescent="0.25">
      <c r="A891">
        <v>886</v>
      </c>
      <c r="C891" s="11">
        <v>1.2037992477416992E-2</v>
      </c>
      <c r="D891" s="11">
        <v>1.5980690717697144E-2</v>
      </c>
      <c r="E891" s="11">
        <v>0.3207617242001442</v>
      </c>
      <c r="F891" s="11">
        <v>0.26287209060386213</v>
      </c>
      <c r="G891" s="11">
        <v>5.7034611701965332E-2</v>
      </c>
      <c r="H891" s="40">
        <v>5.061163388410773E-4</v>
      </c>
      <c r="I891" s="40">
        <v>1.4412689447342781</v>
      </c>
      <c r="J891" s="59">
        <v>0</v>
      </c>
      <c r="K891" s="59">
        <v>4744.3993389606476</v>
      </c>
      <c r="L891" s="59">
        <v>0</v>
      </c>
      <c r="M891" s="11">
        <v>0.84978961944580078</v>
      </c>
      <c r="N891" s="11">
        <v>0.79527902603149414</v>
      </c>
      <c r="O891" s="11">
        <v>0.30501735210418701</v>
      </c>
      <c r="Q891" s="59">
        <v>14.777403805144795</v>
      </c>
      <c r="R891" s="78">
        <v>518.43590432019414</v>
      </c>
      <c r="S891" s="78">
        <v>14.812614679122822</v>
      </c>
      <c r="T891" s="78">
        <v>619.43167089444682</v>
      </c>
      <c r="U891" s="59">
        <v>14.815666983865938</v>
      </c>
      <c r="V891" s="78">
        <v>821.17135762072553</v>
      </c>
      <c r="X891" s="134">
        <f t="shared" si="84"/>
        <v>1477221.9446101594</v>
      </c>
      <c r="Y891" s="134">
        <f t="shared" si="85"/>
        <v>1480642.0362413877</v>
      </c>
      <c r="Z891" s="134">
        <f t="shared" si="86"/>
        <v>1480745.527028973</v>
      </c>
      <c r="AB891" s="127">
        <f t="shared" si="87"/>
        <v>0</v>
      </c>
      <c r="AC891" s="127">
        <f t="shared" si="88"/>
        <v>0</v>
      </c>
      <c r="AD891" s="127">
        <f t="shared" si="89"/>
        <v>1</v>
      </c>
    </row>
    <row r="892" spans="1:30" x14ac:dyDescent="0.25">
      <c r="A892">
        <v>887</v>
      </c>
      <c r="C892" s="11">
        <v>1.5140354633331299E-2</v>
      </c>
      <c r="D892" s="11">
        <v>1.6926661133766174E-2</v>
      </c>
      <c r="E892" s="11">
        <v>0.24974861027903728</v>
      </c>
      <c r="F892" s="11">
        <v>0.1731819281169682</v>
      </c>
      <c r="G892" s="11">
        <v>3.4776628017425537E-2</v>
      </c>
      <c r="H892" s="40">
        <v>5.1637094327111393E-4</v>
      </c>
      <c r="I892" s="40">
        <v>1.3731315733621459</v>
      </c>
      <c r="J892" s="59">
        <v>0</v>
      </c>
      <c r="K892" s="59">
        <v>5885.0529603660107</v>
      </c>
      <c r="L892" s="59">
        <v>0</v>
      </c>
      <c r="M892" s="11">
        <v>0.85500580072402954</v>
      </c>
      <c r="N892" s="11">
        <v>0.78473436832427979</v>
      </c>
      <c r="O892" s="11">
        <v>0.31423789262771606</v>
      </c>
      <c r="Q892" s="59">
        <v>14.829355586227267</v>
      </c>
      <c r="R892" s="78">
        <v>509.65194652865171</v>
      </c>
      <c r="S892" s="78">
        <v>14.862549446935105</v>
      </c>
      <c r="T892" s="78">
        <v>608.22401282899398</v>
      </c>
      <c r="U892" s="59">
        <v>14.86598902730854</v>
      </c>
      <c r="V892" s="78">
        <v>808.2890133802299</v>
      </c>
      <c r="X892" s="134">
        <f t="shared" si="84"/>
        <v>1482425.9066761981</v>
      </c>
      <c r="Y892" s="134">
        <f t="shared" si="85"/>
        <v>1485646.7206806818</v>
      </c>
      <c r="Z892" s="134">
        <f t="shared" si="86"/>
        <v>1485790.6137174738</v>
      </c>
      <c r="AB892" s="127">
        <f t="shared" si="87"/>
        <v>0</v>
      </c>
      <c r="AC892" s="127">
        <f t="shared" si="88"/>
        <v>0</v>
      </c>
      <c r="AD892" s="127">
        <f t="shared" si="89"/>
        <v>1</v>
      </c>
    </row>
    <row r="893" spans="1:30" x14ac:dyDescent="0.25">
      <c r="A893">
        <v>888</v>
      </c>
      <c r="C893" s="11">
        <v>3.5997986793518066E-2</v>
      </c>
      <c r="D893" s="11">
        <v>1.0317593812942505E-2</v>
      </c>
      <c r="E893" s="11">
        <v>0.1830159885447088</v>
      </c>
      <c r="F893" s="11">
        <v>9.1101841737811426E-2</v>
      </c>
      <c r="G893" s="11">
        <v>2.1127581596374512E-2</v>
      </c>
      <c r="H893" s="40">
        <v>6.3334820297002192E-4</v>
      </c>
      <c r="I893" s="40">
        <v>1.3708438871726738</v>
      </c>
      <c r="J893" s="59">
        <v>0</v>
      </c>
      <c r="K893" s="59">
        <v>5130.6560635566711</v>
      </c>
      <c r="L893" s="59">
        <v>0</v>
      </c>
      <c r="M893" s="11">
        <v>0.83642560243606567</v>
      </c>
      <c r="N893" s="11">
        <v>0.79256939888000488</v>
      </c>
      <c r="O893" s="11">
        <v>0.29103738069534302</v>
      </c>
      <c r="Q893" s="59">
        <v>14.202490166416617</v>
      </c>
      <c r="R893" s="78">
        <v>505.06898444316613</v>
      </c>
      <c r="S893" s="78">
        <v>14.234975954001438</v>
      </c>
      <c r="T893" s="78">
        <v>599.64964092545711</v>
      </c>
      <c r="U893" s="59">
        <v>14.238708933021659</v>
      </c>
      <c r="V893" s="78">
        <v>798.2973288901843</v>
      </c>
      <c r="X893" s="134">
        <f t="shared" si="84"/>
        <v>1419743.9476572187</v>
      </c>
      <c r="Y893" s="134">
        <f t="shared" si="85"/>
        <v>1422897.9457592184</v>
      </c>
      <c r="Z893" s="134">
        <f t="shared" si="86"/>
        <v>1423072.5959732758</v>
      </c>
      <c r="AB893" s="127">
        <f t="shared" si="87"/>
        <v>0</v>
      </c>
      <c r="AC893" s="127">
        <f t="shared" si="88"/>
        <v>0</v>
      </c>
      <c r="AD893" s="127">
        <f t="shared" si="89"/>
        <v>1</v>
      </c>
    </row>
    <row r="894" spans="1:30" x14ac:dyDescent="0.25">
      <c r="A894">
        <v>889</v>
      </c>
      <c r="C894" s="11">
        <v>1.2667372822761536E-2</v>
      </c>
      <c r="D894" s="11">
        <v>2.0520955324172974E-2</v>
      </c>
      <c r="E894" s="11">
        <v>0.43217329238026364</v>
      </c>
      <c r="F894" s="11">
        <v>0.20090807118310428</v>
      </c>
      <c r="G894" s="11">
        <v>1.62314772605896E-2</v>
      </c>
      <c r="H894" s="40">
        <v>4.5146972572319575E-4</v>
      </c>
      <c r="I894" s="40">
        <v>1.41420267466314</v>
      </c>
      <c r="J894" s="59">
        <v>0</v>
      </c>
      <c r="K894" s="59">
        <v>4107.7821515500546</v>
      </c>
      <c r="L894" s="59">
        <v>0</v>
      </c>
      <c r="M894" s="11">
        <v>0.85462471842765808</v>
      </c>
      <c r="N894" s="11">
        <v>0.69811677932739258</v>
      </c>
      <c r="O894" s="11">
        <v>0.26584035158157349</v>
      </c>
      <c r="Q894" s="59">
        <v>14.837565201415014</v>
      </c>
      <c r="R894" s="78">
        <v>465.75250806943308</v>
      </c>
      <c r="S894" s="78">
        <v>14.875279337808632</v>
      </c>
      <c r="T894" s="78">
        <v>610.2938416534522</v>
      </c>
      <c r="U894" s="59">
        <v>14.890862678731226</v>
      </c>
      <c r="V894" s="78">
        <v>802.60230240419673</v>
      </c>
      <c r="X894" s="134">
        <f t="shared" si="84"/>
        <v>1483290.7676334321</v>
      </c>
      <c r="Y894" s="134">
        <f t="shared" si="85"/>
        <v>1486917.6399392097</v>
      </c>
      <c r="Z894" s="134">
        <f t="shared" si="86"/>
        <v>1488283.6655707185</v>
      </c>
      <c r="AB894" s="127">
        <f t="shared" si="87"/>
        <v>0</v>
      </c>
      <c r="AC894" s="127">
        <f t="shared" si="88"/>
        <v>0</v>
      </c>
      <c r="AD894" s="127">
        <f t="shared" si="89"/>
        <v>1</v>
      </c>
    </row>
    <row r="895" spans="1:30" x14ac:dyDescent="0.25">
      <c r="A895">
        <v>890</v>
      </c>
      <c r="C895" s="11">
        <v>1.869635283946991E-2</v>
      </c>
      <c r="D895" s="11">
        <v>2.11295485496521E-2</v>
      </c>
      <c r="E895" s="11">
        <v>0.3556006860063341</v>
      </c>
      <c r="F895" s="11">
        <v>0.26205921733721582</v>
      </c>
      <c r="G895" s="11">
        <v>6.4355254173278809E-2</v>
      </c>
      <c r="H895" s="40">
        <v>6.0594151434385085E-4</v>
      </c>
      <c r="I895" s="40">
        <v>1.3398847624971615</v>
      </c>
      <c r="J895" s="59">
        <v>0</v>
      </c>
      <c r="K895" s="59">
        <v>6389.5643688738346</v>
      </c>
      <c r="L895" s="59">
        <v>0</v>
      </c>
      <c r="M895" s="11">
        <v>0.83424228429794312</v>
      </c>
      <c r="N895" s="11">
        <v>0.76191586256027222</v>
      </c>
      <c r="O895" s="11">
        <v>0.32936573028564453</v>
      </c>
      <c r="Q895" s="59">
        <v>14.40879608225123</v>
      </c>
      <c r="R895" s="78">
        <v>547.36688282405601</v>
      </c>
      <c r="S895" s="78">
        <v>14.441698093471668</v>
      </c>
      <c r="T895" s="78">
        <v>634.09818132052396</v>
      </c>
      <c r="U895" s="59">
        <v>14.446540873930726</v>
      </c>
      <c r="V895" s="78">
        <v>828.66513306707077</v>
      </c>
      <c r="X895" s="134">
        <f t="shared" si="84"/>
        <v>1440332.2413422989</v>
      </c>
      <c r="Y895" s="134">
        <f t="shared" si="85"/>
        <v>1443535.7111658463</v>
      </c>
      <c r="Z895" s="134">
        <f t="shared" si="86"/>
        <v>1443825.4222600055</v>
      </c>
      <c r="AB895" s="127">
        <f t="shared" si="87"/>
        <v>0</v>
      </c>
      <c r="AC895" s="127">
        <f t="shared" si="88"/>
        <v>0</v>
      </c>
      <c r="AD895" s="127">
        <f t="shared" si="89"/>
        <v>1</v>
      </c>
    </row>
    <row r="896" spans="1:30" x14ac:dyDescent="0.25">
      <c r="A896">
        <v>891</v>
      </c>
      <c r="C896" s="11">
        <v>3.3399760723114014E-2</v>
      </c>
      <c r="D896" s="11">
        <v>2.9517918825149536E-2</v>
      </c>
      <c r="E896" s="11">
        <v>0.21566492397427203</v>
      </c>
      <c r="F896" s="11">
        <v>0.18359908853912288</v>
      </c>
      <c r="G896" s="11">
        <v>4.4180124998092651E-2</v>
      </c>
      <c r="H896" s="40">
        <v>4.4754848082460103E-4</v>
      </c>
      <c r="I896" s="40">
        <v>1.4229445500334186</v>
      </c>
      <c r="J896" s="59">
        <v>0</v>
      </c>
      <c r="K896" s="59">
        <v>6019.70124989748</v>
      </c>
      <c r="L896" s="59">
        <v>0</v>
      </c>
      <c r="M896" s="11">
        <v>0.86716735363006592</v>
      </c>
      <c r="N896" s="11">
        <v>0.76697021722793579</v>
      </c>
      <c r="O896" s="11">
        <v>0.28931397199630737</v>
      </c>
      <c r="Q896" s="59">
        <v>14.747552058428772</v>
      </c>
      <c r="R896" s="78">
        <v>515.69416153523014</v>
      </c>
      <c r="S896" s="78">
        <v>14.792963207345991</v>
      </c>
      <c r="T896" s="78">
        <v>605.5757197830643</v>
      </c>
      <c r="U896" s="59">
        <v>14.794848175936155</v>
      </c>
      <c r="V896" s="78">
        <v>810.63599062989363</v>
      </c>
      <c r="X896" s="134">
        <f t="shared" si="84"/>
        <v>1474239.511681342</v>
      </c>
      <c r="Y896" s="134">
        <f t="shared" si="85"/>
        <v>1478690.7450148161</v>
      </c>
      <c r="Z896" s="134">
        <f t="shared" si="86"/>
        <v>1478674.1816029856</v>
      </c>
      <c r="AB896" s="127">
        <f t="shared" si="87"/>
        <v>0</v>
      </c>
      <c r="AC896" s="127">
        <f t="shared" si="88"/>
        <v>1</v>
      </c>
      <c r="AD896" s="127">
        <f t="shared" si="89"/>
        <v>0</v>
      </c>
    </row>
    <row r="897" spans="1:30" x14ac:dyDescent="0.25">
      <c r="A897">
        <v>892</v>
      </c>
      <c r="C897" s="11">
        <v>7.7198594808578491E-3</v>
      </c>
      <c r="D897" s="11">
        <v>2.14882493019104E-2</v>
      </c>
      <c r="E897" s="11">
        <v>0.27144453164624521</v>
      </c>
      <c r="F897" s="11">
        <v>9.5527044491822644E-2</v>
      </c>
      <c r="G897" s="11">
        <v>1.1855065822601318E-2</v>
      </c>
      <c r="H897" s="40">
        <v>4.0807275746959003E-4</v>
      </c>
      <c r="I897" s="40">
        <v>1.5002218867039672</v>
      </c>
      <c r="J897" s="59">
        <v>0</v>
      </c>
      <c r="K897" s="59">
        <v>4411.4864431321621</v>
      </c>
      <c r="L897" s="59">
        <v>0</v>
      </c>
      <c r="M897" s="11">
        <v>0.84969568252563477</v>
      </c>
      <c r="N897" s="11">
        <v>0.70267796516418457</v>
      </c>
      <c r="O897" s="11">
        <v>0.34732067584991455</v>
      </c>
      <c r="Q897" s="59">
        <v>14.820995373326424</v>
      </c>
      <c r="R897" s="78">
        <v>481.53764487128893</v>
      </c>
      <c r="S897" s="78">
        <v>14.872994875029136</v>
      </c>
      <c r="T897" s="78">
        <v>603.10599547733398</v>
      </c>
      <c r="U897" s="59">
        <v>14.885803589262851</v>
      </c>
      <c r="V897" s="78">
        <v>796.51316147096099</v>
      </c>
      <c r="X897" s="134">
        <f t="shared" si="84"/>
        <v>1481617.9996877711</v>
      </c>
      <c r="Y897" s="134">
        <f t="shared" si="85"/>
        <v>1486696.381507436</v>
      </c>
      <c r="Z897" s="134">
        <f t="shared" si="86"/>
        <v>1487783.8457648142</v>
      </c>
      <c r="AB897" s="127">
        <f t="shared" si="87"/>
        <v>0</v>
      </c>
      <c r="AC897" s="127">
        <f t="shared" si="88"/>
        <v>0</v>
      </c>
      <c r="AD897" s="127">
        <f t="shared" si="89"/>
        <v>1</v>
      </c>
    </row>
    <row r="898" spans="1:30" x14ac:dyDescent="0.25">
      <c r="A898">
        <v>893</v>
      </c>
      <c r="C898" s="11">
        <v>9.774133563041687E-3</v>
      </c>
      <c r="D898" s="11">
        <v>9.201735258102417E-3</v>
      </c>
      <c r="E898" s="11">
        <v>0.5827093529549604</v>
      </c>
      <c r="F898" s="11">
        <v>0.19315776174368898</v>
      </c>
      <c r="G898" s="11">
        <v>4.2113900184631348E-2</v>
      </c>
      <c r="H898" s="40">
        <v>3.5763983325969923E-4</v>
      </c>
      <c r="I898" s="40">
        <v>1.5721397957483678</v>
      </c>
      <c r="J898" s="59">
        <v>0</v>
      </c>
      <c r="K898" s="59">
        <v>6608.3343699574471</v>
      </c>
      <c r="L898" s="59">
        <v>0</v>
      </c>
      <c r="M898" s="11">
        <v>0.83576816320419312</v>
      </c>
      <c r="N898" s="11">
        <v>0.72810232639312744</v>
      </c>
      <c r="O898" s="11">
        <v>0.24244308471679688</v>
      </c>
      <c r="Q898" s="59">
        <v>14.54839253725304</v>
      </c>
      <c r="R898" s="78">
        <v>561.8099128530713</v>
      </c>
      <c r="S898" s="78">
        <v>14.577155134261208</v>
      </c>
      <c r="T898" s="78">
        <v>677.66200863072163</v>
      </c>
      <c r="U898" s="59">
        <v>14.604566347317942</v>
      </c>
      <c r="V898" s="78">
        <v>820.98083210612083</v>
      </c>
      <c r="X898" s="134">
        <f t="shared" si="84"/>
        <v>1454277.4438124509</v>
      </c>
      <c r="Y898" s="134">
        <f t="shared" si="85"/>
        <v>1457037.85141749</v>
      </c>
      <c r="Z898" s="134">
        <f t="shared" si="86"/>
        <v>1459635.653899688</v>
      </c>
      <c r="AB898" s="127">
        <f t="shared" si="87"/>
        <v>0</v>
      </c>
      <c r="AC898" s="127">
        <f t="shared" si="88"/>
        <v>0</v>
      </c>
      <c r="AD898" s="127">
        <f t="shared" si="89"/>
        <v>1</v>
      </c>
    </row>
    <row r="899" spans="1:30" x14ac:dyDescent="0.25">
      <c r="A899">
        <v>894</v>
      </c>
      <c r="C899" s="11">
        <v>1.9758701324462891E-2</v>
      </c>
      <c r="D899" s="11">
        <v>7.8522861003875732E-3</v>
      </c>
      <c r="E899" s="11">
        <v>5.2925048169867629E-2</v>
      </c>
      <c r="F899" s="11">
        <v>0.16590950011865888</v>
      </c>
      <c r="G899" s="11">
        <v>2.8858304023742676E-2</v>
      </c>
      <c r="H899" s="40">
        <v>5.9821475778487436E-4</v>
      </c>
      <c r="I899" s="40">
        <v>1.3532889463987059</v>
      </c>
      <c r="J899" s="59">
        <v>0</v>
      </c>
      <c r="K899" s="59">
        <v>6486.2240105867386</v>
      </c>
      <c r="L899" s="59">
        <v>0</v>
      </c>
      <c r="M899" s="11">
        <v>0.85882872343063354</v>
      </c>
      <c r="N899" s="11">
        <v>0.76769578456878662</v>
      </c>
      <c r="O899" s="11">
        <v>0.31205907464027405</v>
      </c>
      <c r="Q899" s="59">
        <v>14.819313914496391</v>
      </c>
      <c r="R899" s="78">
        <v>528.3259643877268</v>
      </c>
      <c r="S899" s="78">
        <v>14.867502093673618</v>
      </c>
      <c r="T899" s="78">
        <v>586.22445131535653</v>
      </c>
      <c r="U899" s="59">
        <v>14.861657776003897</v>
      </c>
      <c r="V899" s="78">
        <v>810.6035648720233</v>
      </c>
      <c r="X899" s="134">
        <f t="shared" si="84"/>
        <v>1481403.0654852514</v>
      </c>
      <c r="Y899" s="134">
        <f t="shared" si="85"/>
        <v>1486163.9849160465</v>
      </c>
      <c r="Z899" s="134">
        <f t="shared" si="86"/>
        <v>1485355.1740355177</v>
      </c>
      <c r="AB899" s="127">
        <f t="shared" si="87"/>
        <v>0</v>
      </c>
      <c r="AC899" s="127">
        <f t="shared" si="88"/>
        <v>1</v>
      </c>
      <c r="AD899" s="127">
        <f t="shared" si="89"/>
        <v>0</v>
      </c>
    </row>
    <row r="900" spans="1:30" x14ac:dyDescent="0.25">
      <c r="A900">
        <v>895</v>
      </c>
      <c r="C900" s="11">
        <v>1.5706807374954224E-2</v>
      </c>
      <c r="D900" s="11">
        <v>1.3109400868415833E-2</v>
      </c>
      <c r="E900" s="11">
        <v>0.23385042223001867</v>
      </c>
      <c r="F900" s="11">
        <v>0.31498265318898161</v>
      </c>
      <c r="G900" s="11">
        <v>3.4715592861175537E-2</v>
      </c>
      <c r="H900" s="40">
        <v>4.294838181747765E-4</v>
      </c>
      <c r="I900" s="40">
        <v>1.4745494743888901</v>
      </c>
      <c r="J900" s="59">
        <v>0</v>
      </c>
      <c r="K900" s="59">
        <v>9175.6135225296021</v>
      </c>
      <c r="L900" s="59">
        <v>0</v>
      </c>
      <c r="M900" s="11">
        <v>0.85741257667541504</v>
      </c>
      <c r="N900" s="11">
        <v>0.75957047939300537</v>
      </c>
      <c r="O900" s="11">
        <v>0.28954529762268066</v>
      </c>
      <c r="Q900" s="59">
        <v>14.848726119781311</v>
      </c>
      <c r="R900" s="78">
        <v>595.380127647309</v>
      </c>
      <c r="S900" s="78">
        <v>14.893216112987741</v>
      </c>
      <c r="T900" s="78">
        <v>626.76434206475597</v>
      </c>
      <c r="U900" s="59">
        <v>14.888434209125515</v>
      </c>
      <c r="V900" s="78">
        <v>852.23881623669774</v>
      </c>
      <c r="X900" s="134">
        <f t="shared" si="84"/>
        <v>1484277.2318504839</v>
      </c>
      <c r="Y900" s="134">
        <f t="shared" si="85"/>
        <v>1488694.8469567094</v>
      </c>
      <c r="Z900" s="134">
        <f t="shared" si="86"/>
        <v>1487991.1820963148</v>
      </c>
      <c r="AB900" s="127">
        <f t="shared" si="87"/>
        <v>0</v>
      </c>
      <c r="AC900" s="127">
        <f t="shared" si="88"/>
        <v>1</v>
      </c>
      <c r="AD900" s="127">
        <f t="shared" si="89"/>
        <v>0</v>
      </c>
    </row>
    <row r="901" spans="1:30" x14ac:dyDescent="0.25">
      <c r="A901">
        <v>896</v>
      </c>
      <c r="C901" s="11">
        <v>6.4888894557952881E-3</v>
      </c>
      <c r="D901" s="11">
        <v>2.0293503999710083E-2</v>
      </c>
      <c r="E901" s="11">
        <v>0.22480880952479726</v>
      </c>
      <c r="F901" s="11">
        <v>0.25159079347660623</v>
      </c>
      <c r="G901" s="11">
        <v>2.4339050054550171E-2</v>
      </c>
      <c r="H901" s="40">
        <v>2.9052933263165766E-4</v>
      </c>
      <c r="I901" s="40">
        <v>1.5729982902979642</v>
      </c>
      <c r="J901" s="59">
        <v>0</v>
      </c>
      <c r="K901" s="59">
        <v>5092.4904644489288</v>
      </c>
      <c r="L901" s="59">
        <v>0</v>
      </c>
      <c r="M901" s="11">
        <v>0.87533527612686157</v>
      </c>
      <c r="N901" s="11">
        <v>0.67367076873779297</v>
      </c>
      <c r="O901" s="11">
        <v>0.26710605621337891</v>
      </c>
      <c r="Q901" s="59">
        <v>15.27690580739433</v>
      </c>
      <c r="R901" s="78">
        <v>490.35421114946251</v>
      </c>
      <c r="S901" s="78">
        <v>15.341969592018602</v>
      </c>
      <c r="T901" s="78">
        <v>600.96396650136387</v>
      </c>
      <c r="U901" s="59">
        <v>15.339687453954285</v>
      </c>
      <c r="V901" s="78">
        <v>812.56872990802754</v>
      </c>
      <c r="X901" s="134">
        <f t="shared" si="84"/>
        <v>1527200.2265282834</v>
      </c>
      <c r="Y901" s="134">
        <f t="shared" si="85"/>
        <v>1533595.9952353588</v>
      </c>
      <c r="Z901" s="134">
        <f t="shared" si="86"/>
        <v>1533156.1766655205</v>
      </c>
      <c r="AB901" s="127">
        <f t="shared" si="87"/>
        <v>0</v>
      </c>
      <c r="AC901" s="127">
        <f t="shared" si="88"/>
        <v>1</v>
      </c>
      <c r="AD901" s="127">
        <f t="shared" si="89"/>
        <v>0</v>
      </c>
    </row>
    <row r="902" spans="1:30" x14ac:dyDescent="0.25">
      <c r="A902">
        <v>897</v>
      </c>
      <c r="C902" s="11">
        <v>2.3976415395736694E-2</v>
      </c>
      <c r="D902" s="11">
        <v>1.1904940009117126E-2</v>
      </c>
      <c r="E902" s="11">
        <v>0.37545689034895297</v>
      </c>
      <c r="F902" s="11">
        <v>0.16777170109380748</v>
      </c>
      <c r="G902" s="11">
        <v>2.3164927959442139E-2</v>
      </c>
      <c r="H902" s="40">
        <v>3.5234512596937252E-4</v>
      </c>
      <c r="I902" s="40">
        <v>1.5265344410975143</v>
      </c>
      <c r="J902" s="59">
        <v>0</v>
      </c>
      <c r="K902" s="59">
        <v>4841.384943574667</v>
      </c>
      <c r="L902" s="59">
        <v>0</v>
      </c>
      <c r="M902" s="11">
        <v>0.84002792835235596</v>
      </c>
      <c r="N902" s="11">
        <v>0.74843692779541016</v>
      </c>
      <c r="O902" s="11">
        <v>0.382232666015625</v>
      </c>
      <c r="Q902" s="59">
        <v>14.434634530702297</v>
      </c>
      <c r="R902" s="78">
        <v>488.57931952405153</v>
      </c>
      <c r="S902" s="78">
        <v>14.464063913741807</v>
      </c>
      <c r="T902" s="78">
        <v>614.92139749944045</v>
      </c>
      <c r="U902" s="59">
        <v>14.474026111354579</v>
      </c>
      <c r="V902" s="78">
        <v>804.11331317126962</v>
      </c>
      <c r="X902" s="134">
        <f t="shared" si="84"/>
        <v>1442974.8737507055</v>
      </c>
      <c r="Y902" s="134">
        <f t="shared" si="85"/>
        <v>1445791.4699766813</v>
      </c>
      <c r="Z902" s="134">
        <f t="shared" si="86"/>
        <v>1446598.4978222866</v>
      </c>
      <c r="AB902" s="127">
        <f t="shared" si="87"/>
        <v>0</v>
      </c>
      <c r="AC902" s="127">
        <f t="shared" si="88"/>
        <v>0</v>
      </c>
      <c r="AD902" s="127">
        <f t="shared" si="89"/>
        <v>1</v>
      </c>
    </row>
    <row r="903" spans="1:30" x14ac:dyDescent="0.25">
      <c r="A903">
        <v>898</v>
      </c>
      <c r="C903" s="11">
        <v>2.6825368404388428E-2</v>
      </c>
      <c r="D903" s="11">
        <v>8.1494748592376709E-3</v>
      </c>
      <c r="E903" s="11">
        <v>0.28706925306372749</v>
      </c>
      <c r="F903" s="11">
        <v>0.20138728929520217</v>
      </c>
      <c r="G903" s="11">
        <v>2.5924116373062134E-2</v>
      </c>
      <c r="H903" s="40">
        <v>4.2015968544855721E-4</v>
      </c>
      <c r="I903" s="40">
        <v>1.5149651078311406</v>
      </c>
      <c r="J903" s="59">
        <v>0</v>
      </c>
      <c r="K903" s="59">
        <v>4112.7763688564301</v>
      </c>
      <c r="L903" s="59">
        <v>0</v>
      </c>
      <c r="M903" s="11">
        <v>0.86842235922813416</v>
      </c>
      <c r="N903" s="11">
        <v>0.77025556564331055</v>
      </c>
      <c r="O903" s="11">
        <v>0.30996555089950562</v>
      </c>
      <c r="Q903" s="59">
        <v>14.867623673994668</v>
      </c>
      <c r="R903" s="78">
        <v>487.59664560534111</v>
      </c>
      <c r="S903" s="78">
        <v>14.910332219357302</v>
      </c>
      <c r="T903" s="78">
        <v>606.27406628926121</v>
      </c>
      <c r="U903" s="59">
        <v>14.91556716004032</v>
      </c>
      <c r="V903" s="78">
        <v>807.16825633841358</v>
      </c>
      <c r="X903" s="134">
        <f t="shared" si="84"/>
        <v>1486274.7707538616</v>
      </c>
      <c r="Y903" s="134">
        <f t="shared" si="85"/>
        <v>1490426.947869441</v>
      </c>
      <c r="Z903" s="134">
        <f t="shared" si="86"/>
        <v>1490749.5477476935</v>
      </c>
      <c r="AB903" s="127">
        <f t="shared" si="87"/>
        <v>0</v>
      </c>
      <c r="AC903" s="127">
        <f t="shared" si="88"/>
        <v>0</v>
      </c>
      <c r="AD903" s="127">
        <f t="shared" si="89"/>
        <v>1</v>
      </c>
    </row>
    <row r="904" spans="1:30" x14ac:dyDescent="0.25">
      <c r="A904">
        <v>899</v>
      </c>
      <c r="C904" s="11">
        <v>8.8564306497573853E-3</v>
      </c>
      <c r="D904" s="11">
        <v>1.1653274297714233E-2</v>
      </c>
      <c r="E904" s="11">
        <v>0.31100002551597772</v>
      </c>
      <c r="F904" s="11">
        <v>0.32382915705471671</v>
      </c>
      <c r="G904" s="11">
        <v>4.8291265964508057E-2</v>
      </c>
      <c r="H904" s="40">
        <v>4.1197802920714947E-4</v>
      </c>
      <c r="I904" s="40">
        <v>1.3968700661214752</v>
      </c>
      <c r="J904" s="59">
        <v>0</v>
      </c>
      <c r="K904" s="59">
        <v>4655.9609472751617</v>
      </c>
      <c r="L904" s="59">
        <v>0</v>
      </c>
      <c r="M904" s="11">
        <v>0.7666168212890625</v>
      </c>
      <c r="N904" s="11">
        <v>0.75848990678787231</v>
      </c>
      <c r="O904" s="11">
        <v>0.2915157675743103</v>
      </c>
      <c r="Q904" s="59">
        <v>13.399349326798202</v>
      </c>
      <c r="R904" s="78">
        <v>478.67475801210452</v>
      </c>
      <c r="S904" s="78">
        <v>13.414371802226423</v>
      </c>
      <c r="T904" s="78">
        <v>605.57729192995077</v>
      </c>
      <c r="U904" s="59">
        <v>13.414088847132671</v>
      </c>
      <c r="V904" s="78">
        <v>815.66887851439697</v>
      </c>
      <c r="X904" s="134">
        <f t="shared" si="84"/>
        <v>1339456.2579218079</v>
      </c>
      <c r="Y904" s="134">
        <f t="shared" si="85"/>
        <v>1340831.6029307125</v>
      </c>
      <c r="Z904" s="134">
        <f t="shared" si="86"/>
        <v>1340593.2158347529</v>
      </c>
      <c r="AB904" s="127">
        <f t="shared" si="87"/>
        <v>0</v>
      </c>
      <c r="AC904" s="127">
        <f t="shared" si="88"/>
        <v>1</v>
      </c>
      <c r="AD904" s="127">
        <f t="shared" si="89"/>
        <v>0</v>
      </c>
    </row>
    <row r="905" spans="1:30" x14ac:dyDescent="0.25">
      <c r="A905">
        <v>900</v>
      </c>
      <c r="C905" s="11">
        <v>8.9848786592483521E-3</v>
      </c>
      <c r="D905" s="11">
        <v>1.0541319847106934E-2</v>
      </c>
      <c r="E905" s="11">
        <v>0.34818983738216869</v>
      </c>
      <c r="F905" s="11">
        <v>0.47279292545994311</v>
      </c>
      <c r="G905" s="11">
        <v>4.0171176195144653E-2</v>
      </c>
      <c r="H905" s="40">
        <v>6.3090403982869997E-4</v>
      </c>
      <c r="I905" s="40">
        <v>1.3335403963278067</v>
      </c>
      <c r="J905" s="59">
        <v>0</v>
      </c>
      <c r="K905" s="59">
        <v>3743.9330480992794</v>
      </c>
      <c r="L905" s="59">
        <v>0</v>
      </c>
      <c r="M905" s="11">
        <v>0.83788669109344482</v>
      </c>
      <c r="N905" s="11">
        <v>0.68775582313537598</v>
      </c>
      <c r="O905" s="11">
        <v>0.32657146453857422</v>
      </c>
      <c r="Q905" s="59">
        <v>14.597957390509462</v>
      </c>
      <c r="R905" s="78">
        <v>476.94114110822096</v>
      </c>
      <c r="S905" s="78">
        <v>14.642729686475779</v>
      </c>
      <c r="T905" s="78">
        <v>608.19134692393993</v>
      </c>
      <c r="U905" s="59">
        <v>14.634085955629089</v>
      </c>
      <c r="V905" s="78">
        <v>827.55610371190187</v>
      </c>
      <c r="X905" s="134">
        <f t="shared" si="84"/>
        <v>1459318.7979098379</v>
      </c>
      <c r="Y905" s="134">
        <f t="shared" si="85"/>
        <v>1463664.7773006537</v>
      </c>
      <c r="Z905" s="134">
        <f t="shared" si="86"/>
        <v>1462581.0394591971</v>
      </c>
      <c r="AB905" s="127">
        <f t="shared" si="87"/>
        <v>0</v>
      </c>
      <c r="AC905" s="127">
        <f t="shared" si="88"/>
        <v>1</v>
      </c>
      <c r="AD905" s="127">
        <f t="shared" si="89"/>
        <v>0</v>
      </c>
    </row>
    <row r="906" spans="1:30" x14ac:dyDescent="0.25">
      <c r="A906">
        <v>901</v>
      </c>
      <c r="C906" s="11">
        <v>5.9984028339385986E-3</v>
      </c>
      <c r="D906" s="11">
        <v>4.5937895774841309E-3</v>
      </c>
      <c r="E906" s="11">
        <v>0.26812718845398237</v>
      </c>
      <c r="F906" s="11">
        <v>0.35260359876702646</v>
      </c>
      <c r="G906" s="11">
        <v>1.3977468013763428E-2</v>
      </c>
      <c r="H906" s="40">
        <v>3.9760627088558491E-4</v>
      </c>
      <c r="I906" s="40">
        <v>1.4458329990218897</v>
      </c>
      <c r="J906" s="59">
        <v>0</v>
      </c>
      <c r="K906" s="59">
        <v>5438.0274377763271</v>
      </c>
      <c r="L906" s="59">
        <v>0</v>
      </c>
      <c r="M906" s="11">
        <v>0.87028971314430237</v>
      </c>
      <c r="N906" s="11">
        <v>0.73204082250595093</v>
      </c>
      <c r="O906" s="11">
        <v>0.29428938031196594</v>
      </c>
      <c r="Q906" s="59">
        <v>15.223860895062419</v>
      </c>
      <c r="R906" s="78">
        <v>485.36094313435092</v>
      </c>
      <c r="S906" s="78">
        <v>15.264908531577492</v>
      </c>
      <c r="T906" s="78">
        <v>603.78267816768334</v>
      </c>
      <c r="U906" s="59">
        <v>15.260115160613328</v>
      </c>
      <c r="V906" s="78">
        <v>820.54685918343773</v>
      </c>
      <c r="X906" s="134">
        <f t="shared" si="84"/>
        <v>1521900.7285631076</v>
      </c>
      <c r="Y906" s="134">
        <f t="shared" si="85"/>
        <v>1525887.0704795816</v>
      </c>
      <c r="Z906" s="134">
        <f t="shared" si="86"/>
        <v>1525190.9692021494</v>
      </c>
      <c r="AB906" s="127">
        <f t="shared" si="87"/>
        <v>0</v>
      </c>
      <c r="AC906" s="127">
        <f t="shared" si="88"/>
        <v>1</v>
      </c>
      <c r="AD906" s="127">
        <f t="shared" si="89"/>
        <v>0</v>
      </c>
    </row>
    <row r="907" spans="1:30" x14ac:dyDescent="0.25">
      <c r="A907">
        <v>902</v>
      </c>
      <c r="C907" s="11">
        <v>2.4795413017272949E-2</v>
      </c>
      <c r="D907" s="11">
        <v>2.3844212293624878E-2</v>
      </c>
      <c r="E907" s="11">
        <v>0.28897524108853279</v>
      </c>
      <c r="F907" s="11">
        <v>0.1154899644557084</v>
      </c>
      <c r="G907" s="11">
        <v>4.2834460735321045E-2</v>
      </c>
      <c r="H907" s="40">
        <v>4.946929289363002E-4</v>
      </c>
      <c r="I907" s="40">
        <v>1.4816170463217422</v>
      </c>
      <c r="J907" s="59">
        <v>0</v>
      </c>
      <c r="K907" s="59">
        <v>8433.5915744304657</v>
      </c>
      <c r="L907" s="59">
        <v>0</v>
      </c>
      <c r="M907" s="11">
        <v>0.85457414388656616</v>
      </c>
      <c r="N907" s="11">
        <v>0.77610039710998535</v>
      </c>
      <c r="O907" s="11">
        <v>0.32974284887313843</v>
      </c>
      <c r="Q907" s="59">
        <v>14.656270852984905</v>
      </c>
      <c r="R907" s="78">
        <v>617.4215453733882</v>
      </c>
      <c r="S907" s="78">
        <v>14.701638055143086</v>
      </c>
      <c r="T907" s="78">
        <v>644.56275868359046</v>
      </c>
      <c r="U907" s="59">
        <v>14.712960468546781</v>
      </c>
      <c r="V907" s="78">
        <v>814.30161282520453</v>
      </c>
      <c r="X907" s="134">
        <f t="shared" si="84"/>
        <v>1465009.6637531172</v>
      </c>
      <c r="Y907" s="134">
        <f t="shared" si="85"/>
        <v>1469519.2427556249</v>
      </c>
      <c r="Z907" s="134">
        <f t="shared" si="86"/>
        <v>1470481.7452418529</v>
      </c>
      <c r="AB907" s="127">
        <f t="shared" si="87"/>
        <v>0</v>
      </c>
      <c r="AC907" s="127">
        <f t="shared" si="88"/>
        <v>0</v>
      </c>
      <c r="AD907" s="127">
        <f t="shared" si="89"/>
        <v>1</v>
      </c>
    </row>
    <row r="908" spans="1:30" x14ac:dyDescent="0.25">
      <c r="A908">
        <v>903</v>
      </c>
      <c r="C908" s="11">
        <v>2.9973119497299194E-2</v>
      </c>
      <c r="D908" s="11">
        <v>1.0195329785346985E-2</v>
      </c>
      <c r="E908" s="11">
        <v>0.40302323920999616</v>
      </c>
      <c r="F908" s="11">
        <v>0.2842613093240659</v>
      </c>
      <c r="G908" s="11">
        <v>2.3402661085128784E-2</v>
      </c>
      <c r="H908" s="40">
        <v>5.8402233076921618E-4</v>
      </c>
      <c r="I908" s="40">
        <v>1.412618745415823</v>
      </c>
      <c r="J908" s="59">
        <v>0</v>
      </c>
      <c r="K908" s="59">
        <v>5520.1794020831585</v>
      </c>
      <c r="L908" s="59">
        <v>0</v>
      </c>
      <c r="M908" s="11">
        <v>0.82320457696914673</v>
      </c>
      <c r="N908" s="11">
        <v>0.73754936456680298</v>
      </c>
      <c r="O908" s="11">
        <v>0.32084554433822632</v>
      </c>
      <c r="Q908" s="59">
        <v>14.050295433271486</v>
      </c>
      <c r="R908" s="78">
        <v>520.92469584879723</v>
      </c>
      <c r="S908" s="78">
        <v>14.082583268334567</v>
      </c>
      <c r="T908" s="78">
        <v>630.7815063578887</v>
      </c>
      <c r="U908" s="59">
        <v>14.089116796143848</v>
      </c>
      <c r="V908" s="78">
        <v>824.61194918001718</v>
      </c>
      <c r="X908" s="134">
        <f t="shared" si="84"/>
        <v>1404508.6186312998</v>
      </c>
      <c r="Y908" s="134">
        <f t="shared" si="85"/>
        <v>1407627.5453270988</v>
      </c>
      <c r="Z908" s="134">
        <f t="shared" si="86"/>
        <v>1408087.0676652049</v>
      </c>
      <c r="AB908" s="127">
        <f t="shared" si="87"/>
        <v>0</v>
      </c>
      <c r="AC908" s="127">
        <f t="shared" si="88"/>
        <v>0</v>
      </c>
      <c r="AD908" s="127">
        <f t="shared" si="89"/>
        <v>1</v>
      </c>
    </row>
    <row r="909" spans="1:30" x14ac:dyDescent="0.25">
      <c r="A909">
        <v>904</v>
      </c>
      <c r="C909" s="11">
        <v>2.9105991125106812E-2</v>
      </c>
      <c r="D909" s="11">
        <v>3.5545825958251953E-2</v>
      </c>
      <c r="E909" s="11">
        <v>0.21224062977638941</v>
      </c>
      <c r="F909" s="11">
        <v>0.2704592922807873</v>
      </c>
      <c r="G909" s="11">
        <v>3.6127090454101563E-2</v>
      </c>
      <c r="H909" s="40">
        <v>6.0702861519841675E-4</v>
      </c>
      <c r="I909" s="40">
        <v>1.3808979259676686</v>
      </c>
      <c r="J909" s="59">
        <v>0</v>
      </c>
      <c r="K909" s="59">
        <v>4895.147867500782</v>
      </c>
      <c r="L909" s="59">
        <v>0</v>
      </c>
      <c r="M909" s="11">
        <v>0.88759982585906982</v>
      </c>
      <c r="N909" s="11">
        <v>0.71543508768081665</v>
      </c>
      <c r="O909" s="11">
        <v>0.31128379702568054</v>
      </c>
      <c r="Q909" s="59">
        <v>15.129686849519128</v>
      </c>
      <c r="R909" s="78">
        <v>507.96987959340294</v>
      </c>
      <c r="S909" s="78">
        <v>15.20196770141933</v>
      </c>
      <c r="T909" s="78">
        <v>603.55015659399032</v>
      </c>
      <c r="U909" s="59">
        <v>15.19654272297778</v>
      </c>
      <c r="V909" s="78">
        <v>819.24994971546732</v>
      </c>
      <c r="X909" s="134">
        <f t="shared" si="84"/>
        <v>1512460.7150723194</v>
      </c>
      <c r="Y909" s="134">
        <f t="shared" si="85"/>
        <v>1519593.2199853389</v>
      </c>
      <c r="Z909" s="134">
        <f t="shared" si="86"/>
        <v>1518835.0223480624</v>
      </c>
      <c r="AB909" s="127">
        <f t="shared" si="87"/>
        <v>0</v>
      </c>
      <c r="AC909" s="127">
        <f t="shared" si="88"/>
        <v>1</v>
      </c>
      <c r="AD909" s="127">
        <f t="shared" si="89"/>
        <v>0</v>
      </c>
    </row>
    <row r="910" spans="1:30" x14ac:dyDescent="0.25">
      <c r="A910">
        <v>905</v>
      </c>
      <c r="C910" s="11">
        <v>1.4794930815696716E-2</v>
      </c>
      <c r="D910" s="11">
        <v>1.3480454683303833E-2</v>
      </c>
      <c r="E910" s="11">
        <v>0.43667451316948186</v>
      </c>
      <c r="F910" s="11">
        <v>0.26592087668369935</v>
      </c>
      <c r="G910" s="11">
        <v>5.3074359893798828E-2</v>
      </c>
      <c r="H910" s="40">
        <v>7.0728319043794282E-4</v>
      </c>
      <c r="I910" s="40">
        <v>1.4562227868303947</v>
      </c>
      <c r="J910" s="59">
        <v>0</v>
      </c>
      <c r="K910" s="59">
        <v>5537.1900089085102</v>
      </c>
      <c r="L910" s="59">
        <v>0</v>
      </c>
      <c r="M910" s="11">
        <v>0.84878313541412354</v>
      </c>
      <c r="N910" s="11">
        <v>0.77477765083312988</v>
      </c>
      <c r="O910" s="11">
        <v>0.31032779812812805</v>
      </c>
      <c r="Q910" s="59">
        <v>14.689331666813535</v>
      </c>
      <c r="R910" s="78">
        <v>599.94890381234507</v>
      </c>
      <c r="S910" s="78">
        <v>14.734513807831746</v>
      </c>
      <c r="T910" s="78">
        <v>670.35348460059572</v>
      </c>
      <c r="U910" s="59">
        <v>14.748549603071419</v>
      </c>
      <c r="V910" s="78">
        <v>843.89871291590669</v>
      </c>
      <c r="X910" s="134">
        <f t="shared" si="84"/>
        <v>1468333.2177775411</v>
      </c>
      <c r="Y910" s="134">
        <f t="shared" si="85"/>
        <v>1472781.0272985741</v>
      </c>
      <c r="Z910" s="134">
        <f t="shared" si="86"/>
        <v>1474011.0615942262</v>
      </c>
      <c r="AB910" s="127">
        <f t="shared" si="87"/>
        <v>0</v>
      </c>
      <c r="AC910" s="127">
        <f t="shared" si="88"/>
        <v>0</v>
      </c>
      <c r="AD910" s="127">
        <f t="shared" si="89"/>
        <v>1</v>
      </c>
    </row>
    <row r="911" spans="1:30" x14ac:dyDescent="0.25">
      <c r="A911">
        <v>906</v>
      </c>
      <c r="C911" s="11">
        <v>4.0229111909866333E-3</v>
      </c>
      <c r="D911" s="11">
        <v>1.045738160610199E-2</v>
      </c>
      <c r="E911" s="11">
        <v>0.30686354263341409</v>
      </c>
      <c r="F911" s="11">
        <v>0.16152666360626772</v>
      </c>
      <c r="G911" s="11">
        <v>3.2594889402389526E-2</v>
      </c>
      <c r="H911" s="40">
        <v>4.7142195392826014E-4</v>
      </c>
      <c r="I911" s="40">
        <v>1.4289437547679116</v>
      </c>
      <c r="J911" s="59">
        <v>0</v>
      </c>
      <c r="K911" s="59">
        <v>8223.4945148229599</v>
      </c>
      <c r="L911" s="59">
        <v>0</v>
      </c>
      <c r="M911" s="11">
        <v>0.84926915168762207</v>
      </c>
      <c r="N911" s="11">
        <v>0.75085532665252686</v>
      </c>
      <c r="O911" s="11">
        <v>0.33384263515472412</v>
      </c>
      <c r="Q911" s="59">
        <v>14.887386871130214</v>
      </c>
      <c r="R911" s="78">
        <v>567.65584191860876</v>
      </c>
      <c r="S911" s="78">
        <v>14.924167542734335</v>
      </c>
      <c r="T911" s="78">
        <v>632.93248736337591</v>
      </c>
      <c r="U911" s="59">
        <v>14.93201140040342</v>
      </c>
      <c r="V911" s="78">
        <v>816.46097468967037</v>
      </c>
      <c r="X911" s="134">
        <f t="shared" si="84"/>
        <v>1488171.0312711028</v>
      </c>
      <c r="Y911" s="134">
        <f t="shared" si="85"/>
        <v>1491783.82178607</v>
      </c>
      <c r="Z911" s="134">
        <f t="shared" si="86"/>
        <v>1492384.6790656524</v>
      </c>
      <c r="AB911" s="127">
        <f t="shared" si="87"/>
        <v>0</v>
      </c>
      <c r="AC911" s="127">
        <f t="shared" si="88"/>
        <v>0</v>
      </c>
      <c r="AD911" s="127">
        <f t="shared" si="89"/>
        <v>1</v>
      </c>
    </row>
    <row r="912" spans="1:30" x14ac:dyDescent="0.25">
      <c r="A912">
        <v>907</v>
      </c>
      <c r="C912" s="11">
        <v>8.8755339384078979E-3</v>
      </c>
      <c r="D912" s="11">
        <v>1.6068786382675171E-2</v>
      </c>
      <c r="E912" s="11">
        <v>0.2777840189985113</v>
      </c>
      <c r="F912" s="11">
        <v>0.41467047327330109</v>
      </c>
      <c r="G912" s="11">
        <v>6.470876932144165E-2</v>
      </c>
      <c r="H912" s="40">
        <v>4.1647649733131723E-4</v>
      </c>
      <c r="I912" s="40">
        <v>1.4892727231299403</v>
      </c>
      <c r="J912" s="59">
        <v>0</v>
      </c>
      <c r="K912" s="59">
        <v>3866.1714643239975</v>
      </c>
      <c r="L912" s="59">
        <v>0</v>
      </c>
      <c r="M912" s="11">
        <v>0.85507255792617798</v>
      </c>
      <c r="N912" s="11">
        <v>0.81872296333312988</v>
      </c>
      <c r="O912" s="11">
        <v>0.3311232328414917</v>
      </c>
      <c r="Q912" s="59">
        <v>14.924768562882942</v>
      </c>
      <c r="R912" s="78">
        <v>493.67878872177431</v>
      </c>
      <c r="S912" s="78">
        <v>14.956932029086705</v>
      </c>
      <c r="T912" s="78">
        <v>607.05877042511429</v>
      </c>
      <c r="U912" s="59">
        <v>14.950754425651491</v>
      </c>
      <c r="V912" s="78">
        <v>829.77993472245032</v>
      </c>
      <c r="X912" s="134">
        <f t="shared" si="84"/>
        <v>1491983.1774995725</v>
      </c>
      <c r="Y912" s="134">
        <f t="shared" si="85"/>
        <v>1495086.1441382454</v>
      </c>
      <c r="Z912" s="134">
        <f t="shared" si="86"/>
        <v>1494245.6626304267</v>
      </c>
      <c r="AB912" s="127">
        <f t="shared" si="87"/>
        <v>0</v>
      </c>
      <c r="AC912" s="127">
        <f t="shared" si="88"/>
        <v>1</v>
      </c>
      <c r="AD912" s="127">
        <f t="shared" si="89"/>
        <v>0</v>
      </c>
    </row>
    <row r="913" spans="1:30" x14ac:dyDescent="0.25">
      <c r="A913">
        <v>908</v>
      </c>
      <c r="C913" s="11">
        <v>1.6895592212677002E-2</v>
      </c>
      <c r="D913" s="11">
        <v>1.4162927865982056E-2</v>
      </c>
      <c r="E913" s="11">
        <v>0.395260205183741</v>
      </c>
      <c r="F913" s="11">
        <v>0.46931839029658723</v>
      </c>
      <c r="G913" s="11">
        <v>5.0806373357772827E-2</v>
      </c>
      <c r="H913" s="40">
        <v>5.7089905675648063E-4</v>
      </c>
      <c r="I913" s="40">
        <v>1.3926087087671741</v>
      </c>
      <c r="J913" s="59">
        <v>0</v>
      </c>
      <c r="K913" s="59">
        <v>7077.0224556326866</v>
      </c>
      <c r="L913" s="59">
        <v>0</v>
      </c>
      <c r="M913" s="11">
        <v>0.85641419887542725</v>
      </c>
      <c r="N913" s="11">
        <v>0.75459647178649902</v>
      </c>
      <c r="O913" s="11">
        <v>0.28529053926467896</v>
      </c>
      <c r="Q913" s="59">
        <v>14.807050313458969</v>
      </c>
      <c r="R913" s="78">
        <v>569.84955901542071</v>
      </c>
      <c r="S913" s="78">
        <v>14.845846902050633</v>
      </c>
      <c r="T913" s="78">
        <v>649.27283921376431</v>
      </c>
      <c r="U913" s="59">
        <v>14.841041669197372</v>
      </c>
      <c r="V913" s="78">
        <v>871.32710760682551</v>
      </c>
      <c r="X913" s="134">
        <f t="shared" si="84"/>
        <v>1480135.1817868815</v>
      </c>
      <c r="Y913" s="134">
        <f t="shared" si="85"/>
        <v>1483935.4173658495</v>
      </c>
      <c r="Z913" s="134">
        <f t="shared" si="86"/>
        <v>1483232.8398121302</v>
      </c>
      <c r="AB913" s="127">
        <f t="shared" si="87"/>
        <v>0</v>
      </c>
      <c r="AC913" s="127">
        <f t="shared" si="88"/>
        <v>1</v>
      </c>
      <c r="AD913" s="127">
        <f t="shared" si="89"/>
        <v>0</v>
      </c>
    </row>
    <row r="914" spans="1:30" x14ac:dyDescent="0.25">
      <c r="A914">
        <v>909</v>
      </c>
      <c r="C914" s="11">
        <v>6.3272565603256226E-3</v>
      </c>
      <c r="D914" s="11">
        <v>9.0880393981933594E-3</v>
      </c>
      <c r="E914" s="11">
        <v>0.24435993215000784</v>
      </c>
      <c r="F914" s="11">
        <v>0.14570176384100569</v>
      </c>
      <c r="G914" s="11">
        <v>8.1960678100585938E-2</v>
      </c>
      <c r="H914" s="40">
        <v>4.9077308640794461E-4</v>
      </c>
      <c r="I914" s="40">
        <v>1.3995025307613076</v>
      </c>
      <c r="J914" s="59">
        <v>0</v>
      </c>
      <c r="K914" s="59">
        <v>5457.4524983763695</v>
      </c>
      <c r="L914" s="59">
        <v>0</v>
      </c>
      <c r="M914" s="11">
        <v>0.81102907657623291</v>
      </c>
      <c r="N914" s="11">
        <v>0.69935965538024902</v>
      </c>
      <c r="O914" s="11">
        <v>0.33790755271911621</v>
      </c>
      <c r="Q914" s="59">
        <v>14.177585568996433</v>
      </c>
      <c r="R914" s="78">
        <v>532.25154597526762</v>
      </c>
      <c r="S914" s="78">
        <v>14.220797551257057</v>
      </c>
      <c r="T914" s="78">
        <v>613.18454025778146</v>
      </c>
      <c r="U914" s="59">
        <v>14.226529396237682</v>
      </c>
      <c r="V914" s="78">
        <v>808.41447290496228</v>
      </c>
      <c r="X914" s="134">
        <f t="shared" si="84"/>
        <v>1417226.3053536681</v>
      </c>
      <c r="Y914" s="134">
        <f t="shared" si="85"/>
        <v>1421466.5705854478</v>
      </c>
      <c r="Z914" s="134">
        <f t="shared" si="86"/>
        <v>1421844.5251508632</v>
      </c>
      <c r="AB914" s="127">
        <f t="shared" si="87"/>
        <v>0</v>
      </c>
      <c r="AC914" s="127">
        <f t="shared" si="88"/>
        <v>0</v>
      </c>
      <c r="AD914" s="127">
        <f t="shared" si="89"/>
        <v>1</v>
      </c>
    </row>
    <row r="915" spans="1:30" x14ac:dyDescent="0.25">
      <c r="A915">
        <v>910</v>
      </c>
      <c r="C915" s="11">
        <v>7.6701641082763672E-3</v>
      </c>
      <c r="D915" s="11">
        <v>1.3285398483276367E-2</v>
      </c>
      <c r="E915" s="11">
        <v>0.21347128564733728</v>
      </c>
      <c r="F915" s="11">
        <v>0.2258907508464362</v>
      </c>
      <c r="G915" s="11">
        <v>3.4766018390655518E-2</v>
      </c>
      <c r="H915" s="40">
        <v>6.4619481961429614E-4</v>
      </c>
      <c r="I915" s="40">
        <v>1.3932876911383696</v>
      </c>
      <c r="J915" s="59">
        <v>0</v>
      </c>
      <c r="K915" s="59">
        <v>3281.7153260111809</v>
      </c>
      <c r="L915" s="59">
        <v>0</v>
      </c>
      <c r="M915" s="11">
        <v>0.82498258352279663</v>
      </c>
      <c r="N915" s="11">
        <v>0.82631444931030273</v>
      </c>
      <c r="O915" s="11">
        <v>0.25700652599334717</v>
      </c>
      <c r="Q915" s="59">
        <v>14.426752475015366</v>
      </c>
      <c r="R915" s="78">
        <v>479.88098198389633</v>
      </c>
      <c r="S915" s="78">
        <v>14.453041211878146</v>
      </c>
      <c r="T915" s="78">
        <v>597.63691592949033</v>
      </c>
      <c r="U915" s="59">
        <v>14.452617275145696</v>
      </c>
      <c r="V915" s="78">
        <v>807.71603427141281</v>
      </c>
      <c r="X915" s="134">
        <f t="shared" si="84"/>
        <v>1442195.3665195527</v>
      </c>
      <c r="Y915" s="134">
        <f t="shared" si="85"/>
        <v>1444706.4842718851</v>
      </c>
      <c r="Z915" s="134">
        <f t="shared" si="86"/>
        <v>1444454.0114802981</v>
      </c>
      <c r="AB915" s="127">
        <f t="shared" si="87"/>
        <v>0</v>
      </c>
      <c r="AC915" s="127">
        <f t="shared" si="88"/>
        <v>1</v>
      </c>
      <c r="AD915" s="127">
        <f t="shared" si="89"/>
        <v>0</v>
      </c>
    </row>
    <row r="916" spans="1:30" x14ac:dyDescent="0.25">
      <c r="A916">
        <v>911</v>
      </c>
      <c r="C916" s="11">
        <v>5.1858901977539063E-2</v>
      </c>
      <c r="D916" s="11">
        <v>1.7946973443031311E-2</v>
      </c>
      <c r="E916" s="11">
        <v>0.25643558708867947</v>
      </c>
      <c r="F916" s="11">
        <v>0.29462946672818774</v>
      </c>
      <c r="G916" s="11">
        <v>2.1680861711502075E-2</v>
      </c>
      <c r="H916" s="40">
        <v>4.3176342649823548E-4</v>
      </c>
      <c r="I916" s="40">
        <v>1.5177877045316992</v>
      </c>
      <c r="J916" s="59">
        <v>0</v>
      </c>
      <c r="K916" s="59">
        <v>6426.1956140398979</v>
      </c>
      <c r="L916" s="59">
        <v>0</v>
      </c>
      <c r="M916" s="11">
        <v>0.86603295803070068</v>
      </c>
      <c r="N916" s="11">
        <v>0.79493498802185059</v>
      </c>
      <c r="O916" s="11">
        <v>0.28098863363265991</v>
      </c>
      <c r="Q916" s="59">
        <v>14.448462669707718</v>
      </c>
      <c r="R916" s="78">
        <v>537.75663509813444</v>
      </c>
      <c r="S916" s="78">
        <v>14.48943734451789</v>
      </c>
      <c r="T916" s="78">
        <v>616.46993990284989</v>
      </c>
      <c r="U916" s="59">
        <v>14.487293626156076</v>
      </c>
      <c r="V916" s="78">
        <v>831.01450206804759</v>
      </c>
      <c r="X916" s="134">
        <f t="shared" ref="X916:X979" si="90">Q916*cRatio-R916</f>
        <v>1444308.5103356738</v>
      </c>
      <c r="Y916" s="134">
        <f t="shared" ref="Y916:Y979" si="91">S916*cRatio-T916</f>
        <v>1448327.2645118861</v>
      </c>
      <c r="Z916" s="134">
        <f t="shared" ref="Z916:Z979" si="92">U916*cRatio-V916</f>
        <v>1447898.3481135396</v>
      </c>
      <c r="AB916" s="127">
        <f t="shared" ref="AB916:AB979" si="93">IF(X916=MAX($X916:$Z916),1,0)</f>
        <v>0</v>
      </c>
      <c r="AC916" s="127">
        <f t="shared" ref="AC916:AC979" si="94">IF(Y916=MAX($X916:$Z916),1,0)</f>
        <v>1</v>
      </c>
      <c r="AD916" s="127">
        <f t="shared" ref="AD916:AD979" si="95">IF(Z916=MAX($X916:$Z916),1,0)</f>
        <v>0</v>
      </c>
    </row>
    <row r="917" spans="1:30" x14ac:dyDescent="0.25">
      <c r="A917">
        <v>912</v>
      </c>
      <c r="C917" s="11">
        <v>3.0371248722076416E-3</v>
      </c>
      <c r="D917" s="11">
        <v>3.2607913017272949E-3</v>
      </c>
      <c r="E917" s="11">
        <v>0.20350864995856405</v>
      </c>
      <c r="F917" s="11">
        <v>0.30866070609486479</v>
      </c>
      <c r="G917" s="11">
        <v>3.7972360849380493E-2</v>
      </c>
      <c r="H917" s="40">
        <v>2.887426438858114E-4</v>
      </c>
      <c r="I917" s="40">
        <v>1.6771985368902991</v>
      </c>
      <c r="J917" s="59">
        <v>0</v>
      </c>
      <c r="K917" s="59">
        <v>3544.5764660835266</v>
      </c>
      <c r="L917" s="59">
        <v>0</v>
      </c>
      <c r="M917" s="11">
        <v>0.86463350057601929</v>
      </c>
      <c r="N917" s="11">
        <v>0.74414545297622681</v>
      </c>
      <c r="O917" s="11">
        <v>0.31755012273788452</v>
      </c>
      <c r="Q917" s="59">
        <v>15.148787697140895</v>
      </c>
      <c r="R917" s="78">
        <v>491.51985988938998</v>
      </c>
      <c r="S917" s="78">
        <v>15.210015769759229</v>
      </c>
      <c r="T917" s="78">
        <v>599.24863709817464</v>
      </c>
      <c r="U917" s="59">
        <v>15.20176379767936</v>
      </c>
      <c r="V917" s="78">
        <v>818.62903291548491</v>
      </c>
      <c r="X917" s="134">
        <f t="shared" si="90"/>
        <v>1514387.2498542003</v>
      </c>
      <c r="Y917" s="134">
        <f t="shared" si="91"/>
        <v>1520402.3283388247</v>
      </c>
      <c r="Z917" s="134">
        <f t="shared" si="92"/>
        <v>1519357.7507350205</v>
      </c>
      <c r="AB917" s="127">
        <f t="shared" si="93"/>
        <v>0</v>
      </c>
      <c r="AC917" s="127">
        <f t="shared" si="94"/>
        <v>1</v>
      </c>
      <c r="AD917" s="127">
        <f t="shared" si="95"/>
        <v>0</v>
      </c>
    </row>
    <row r="918" spans="1:30" x14ac:dyDescent="0.25">
      <c r="A918">
        <v>913</v>
      </c>
      <c r="C918" s="11">
        <v>5.0306797027587891E-2</v>
      </c>
      <c r="D918" s="11">
        <v>3.8203150033950806E-3</v>
      </c>
      <c r="E918" s="11">
        <v>0.25414691740979967</v>
      </c>
      <c r="F918" s="11">
        <v>0.12596979227791388</v>
      </c>
      <c r="G918" s="11">
        <v>2.5906115770339966E-2</v>
      </c>
      <c r="H918" s="40">
        <v>4.7779495809040278E-4</v>
      </c>
      <c r="I918" s="40">
        <v>1.4951912308409321</v>
      </c>
      <c r="J918" s="59">
        <v>0</v>
      </c>
      <c r="K918" s="59">
        <v>3193.1605190038681</v>
      </c>
      <c r="L918" s="59">
        <v>0</v>
      </c>
      <c r="M918" s="11">
        <v>0.84062770009040833</v>
      </c>
      <c r="N918" s="11">
        <v>0.82222175598144531</v>
      </c>
      <c r="O918" s="11">
        <v>0.24551248550415039</v>
      </c>
      <c r="Q918" s="59">
        <v>14.066000831416332</v>
      </c>
      <c r="R918" s="78">
        <v>470.02967303415028</v>
      </c>
      <c r="S918" s="78">
        <v>14.092291799614349</v>
      </c>
      <c r="T918" s="78">
        <v>598.64631285915925</v>
      </c>
      <c r="U918" s="59">
        <v>14.096925264089958</v>
      </c>
      <c r="V918" s="78">
        <v>797.76591158946576</v>
      </c>
      <c r="X918" s="134">
        <f t="shared" si="90"/>
        <v>1406130.0534685992</v>
      </c>
      <c r="Y918" s="134">
        <f t="shared" si="91"/>
        <v>1408630.5336485759</v>
      </c>
      <c r="Z918" s="134">
        <f t="shared" si="92"/>
        <v>1408894.7604974064</v>
      </c>
      <c r="AB918" s="127">
        <f t="shared" si="93"/>
        <v>0</v>
      </c>
      <c r="AC918" s="127">
        <f t="shared" si="94"/>
        <v>0</v>
      </c>
      <c r="AD918" s="127">
        <f t="shared" si="95"/>
        <v>1</v>
      </c>
    </row>
    <row r="919" spans="1:30" x14ac:dyDescent="0.25">
      <c r="A919">
        <v>914</v>
      </c>
      <c r="C919" s="11">
        <v>2.4143606424331665E-2</v>
      </c>
      <c r="D919" s="11">
        <v>2.7854114770889282E-2</v>
      </c>
      <c r="E919" s="11">
        <v>0.11741517385387143</v>
      </c>
      <c r="F919" s="11">
        <v>8.8926275259393381E-2</v>
      </c>
      <c r="G919" s="11">
        <v>3.0487000942230225E-2</v>
      </c>
      <c r="H919" s="40">
        <v>6.320571782199426E-4</v>
      </c>
      <c r="I919" s="40">
        <v>1.4322402579415019</v>
      </c>
      <c r="J919" s="59">
        <v>0</v>
      </c>
      <c r="K919" s="59">
        <v>5230.9758029878139</v>
      </c>
      <c r="L919" s="59">
        <v>0</v>
      </c>
      <c r="M919" s="11">
        <v>0.89745569229125977</v>
      </c>
      <c r="N919" s="11">
        <v>0.75131601095199585</v>
      </c>
      <c r="O919" s="11">
        <v>0.32246744632720947</v>
      </c>
      <c r="Q919" s="59">
        <v>15.371213722606651</v>
      </c>
      <c r="R919" s="78">
        <v>537.42296500992768</v>
      </c>
      <c r="S919" s="78">
        <v>15.457725949853003</v>
      </c>
      <c r="T919" s="78">
        <v>596.19349971650797</v>
      </c>
      <c r="U919" s="59">
        <v>15.460587332973191</v>
      </c>
      <c r="V919" s="78">
        <v>801.03058810581297</v>
      </c>
      <c r="X919" s="134">
        <f t="shared" si="90"/>
        <v>1536583.9492956551</v>
      </c>
      <c r="Y919" s="134">
        <f t="shared" si="91"/>
        <v>1545176.401485584</v>
      </c>
      <c r="Z919" s="134">
        <f t="shared" si="92"/>
        <v>1545257.7027092134</v>
      </c>
      <c r="AB919" s="127">
        <f t="shared" si="93"/>
        <v>0</v>
      </c>
      <c r="AC919" s="127">
        <f t="shared" si="94"/>
        <v>0</v>
      </c>
      <c r="AD919" s="127">
        <f t="shared" si="95"/>
        <v>1</v>
      </c>
    </row>
    <row r="920" spans="1:30" x14ac:dyDescent="0.25">
      <c r="A920">
        <v>915</v>
      </c>
      <c r="C920" s="11">
        <v>3.1286239624023438E-2</v>
      </c>
      <c r="D920" s="11">
        <v>4.2593479156494141E-3</v>
      </c>
      <c r="E920" s="11">
        <v>0.19877268952831914</v>
      </c>
      <c r="F920" s="11">
        <v>0.11104289562422517</v>
      </c>
      <c r="G920" s="11">
        <v>2.9419600963592529E-2</v>
      </c>
      <c r="H920" s="40">
        <v>3.9640421284964448E-4</v>
      </c>
      <c r="I920" s="40">
        <v>1.4119143478113154</v>
      </c>
      <c r="J920" s="59">
        <v>0</v>
      </c>
      <c r="K920" s="59">
        <v>3669.2619323730469</v>
      </c>
      <c r="L920" s="59">
        <v>0</v>
      </c>
      <c r="M920" s="11">
        <v>0.87178489565849304</v>
      </c>
      <c r="N920" s="11">
        <v>0.72145402431488037</v>
      </c>
      <c r="O920" s="11">
        <v>0.28250086307525635</v>
      </c>
      <c r="Q920" s="59">
        <v>14.862827603112866</v>
      </c>
      <c r="R920" s="78">
        <v>453.52414326642509</v>
      </c>
      <c r="S920" s="78">
        <v>14.906149720344883</v>
      </c>
      <c r="T920" s="78">
        <v>590.96338793526832</v>
      </c>
      <c r="U920" s="59">
        <v>14.910960345879671</v>
      </c>
      <c r="V920" s="78">
        <v>794.69140014645939</v>
      </c>
      <c r="X920" s="134">
        <f t="shared" si="90"/>
        <v>1485829.2361680202</v>
      </c>
      <c r="Y920" s="134">
        <f t="shared" si="91"/>
        <v>1490024.0086465531</v>
      </c>
      <c r="Z920" s="134">
        <f t="shared" si="92"/>
        <v>1490301.3431878206</v>
      </c>
      <c r="AB920" s="127">
        <f t="shared" si="93"/>
        <v>0</v>
      </c>
      <c r="AC920" s="127">
        <f t="shared" si="94"/>
        <v>0</v>
      </c>
      <c r="AD920" s="127">
        <f t="shared" si="95"/>
        <v>1</v>
      </c>
    </row>
    <row r="921" spans="1:30" x14ac:dyDescent="0.25">
      <c r="A921">
        <v>916</v>
      </c>
      <c r="C921" s="11">
        <v>2.7977943420410156E-2</v>
      </c>
      <c r="D921" s="11">
        <v>2.980765700340271E-2</v>
      </c>
      <c r="E921" s="11">
        <v>0.24800025354687255</v>
      </c>
      <c r="F921" s="11">
        <v>0.13986797034501666</v>
      </c>
      <c r="G921" s="11">
        <v>5.2774250507354736E-2</v>
      </c>
      <c r="H921" s="40">
        <v>4.1727726366961714E-4</v>
      </c>
      <c r="I921" s="40">
        <v>1.4243076167432893</v>
      </c>
      <c r="J921" s="59">
        <v>0</v>
      </c>
      <c r="K921" s="59">
        <v>5130.106583237648</v>
      </c>
      <c r="L921" s="59">
        <v>0</v>
      </c>
      <c r="M921" s="11">
        <v>0.88738977909088135</v>
      </c>
      <c r="N921" s="11">
        <v>0.72050976753234863</v>
      </c>
      <c r="O921" s="11">
        <v>0.3036041259765625</v>
      </c>
      <c r="Q921" s="59">
        <v>15.163533025031937</v>
      </c>
      <c r="R921" s="78">
        <v>495.77809079864642</v>
      </c>
      <c r="S921" s="78">
        <v>15.217750835642647</v>
      </c>
      <c r="T921" s="78">
        <v>604.52428375639886</v>
      </c>
      <c r="U921" s="59">
        <v>15.225662083553596</v>
      </c>
      <c r="V921" s="78">
        <v>802.41851455930259</v>
      </c>
      <c r="X921" s="134">
        <f t="shared" si="90"/>
        <v>1515857.524412395</v>
      </c>
      <c r="Y921" s="134">
        <f t="shared" si="91"/>
        <v>1521170.5592805082</v>
      </c>
      <c r="Z921" s="134">
        <f t="shared" si="92"/>
        <v>1521763.7898408002</v>
      </c>
      <c r="AB921" s="127">
        <f t="shared" si="93"/>
        <v>0</v>
      </c>
      <c r="AC921" s="127">
        <f t="shared" si="94"/>
        <v>0</v>
      </c>
      <c r="AD921" s="127">
        <f t="shared" si="95"/>
        <v>1</v>
      </c>
    </row>
    <row r="922" spans="1:30" x14ac:dyDescent="0.25">
      <c r="A922">
        <v>917</v>
      </c>
      <c r="C922" s="11">
        <v>2.3993372917175293E-2</v>
      </c>
      <c r="D922" s="11">
        <v>1.7249643802642822E-2</v>
      </c>
      <c r="E922" s="11">
        <v>0.20866384804481536</v>
      </c>
      <c r="F922" s="11">
        <v>0.18379972895109606</v>
      </c>
      <c r="G922" s="11">
        <v>2.6244610548019409E-2</v>
      </c>
      <c r="H922" s="40">
        <v>4.1219919590247147E-4</v>
      </c>
      <c r="I922" s="40">
        <v>1.5125297289762496</v>
      </c>
      <c r="J922" s="59">
        <v>0</v>
      </c>
      <c r="K922" s="59">
        <v>3441.7025744915009</v>
      </c>
      <c r="L922" s="59">
        <v>0</v>
      </c>
      <c r="M922" s="11">
        <v>0.84957593679428101</v>
      </c>
      <c r="N922" s="11">
        <v>0.75132358074188232</v>
      </c>
      <c r="O922" s="11">
        <v>0.3005375862121582</v>
      </c>
      <c r="Q922" s="59">
        <v>14.585147056740897</v>
      </c>
      <c r="R922" s="78">
        <v>470.56794651080014</v>
      </c>
      <c r="S922" s="78">
        <v>14.633448508558025</v>
      </c>
      <c r="T922" s="78">
        <v>595.23760828890863</v>
      </c>
      <c r="U922" s="59">
        <v>14.634995997540166</v>
      </c>
      <c r="V922" s="78">
        <v>802.31008326256449</v>
      </c>
      <c r="X922" s="134">
        <f t="shared" si="90"/>
        <v>1458044.1377275789</v>
      </c>
      <c r="Y922" s="134">
        <f t="shared" si="91"/>
        <v>1462749.6132475138</v>
      </c>
      <c r="Z922" s="134">
        <f t="shared" si="92"/>
        <v>1462697.289670754</v>
      </c>
      <c r="AB922" s="127">
        <f t="shared" si="93"/>
        <v>0</v>
      </c>
      <c r="AC922" s="127">
        <f t="shared" si="94"/>
        <v>1</v>
      </c>
      <c r="AD922" s="127">
        <f t="shared" si="95"/>
        <v>0</v>
      </c>
    </row>
    <row r="923" spans="1:30" x14ac:dyDescent="0.25">
      <c r="A923">
        <v>918</v>
      </c>
      <c r="C923" s="11">
        <v>5.9595704078674316E-3</v>
      </c>
      <c r="D923" s="11">
        <v>5.0029516220092773E-2</v>
      </c>
      <c r="E923" s="11">
        <v>0.1833840570632207</v>
      </c>
      <c r="F923" s="11">
        <v>9.5086933222117948E-2</v>
      </c>
      <c r="G923" s="11">
        <v>1.5021681785583496E-2</v>
      </c>
      <c r="H923" s="40">
        <v>3.9837822510364776E-4</v>
      </c>
      <c r="I923" s="40">
        <v>1.4528162234148094</v>
      </c>
      <c r="J923" s="59">
        <v>0</v>
      </c>
      <c r="K923" s="59">
        <v>4048.4452620148659</v>
      </c>
      <c r="L923" s="59">
        <v>0</v>
      </c>
      <c r="M923" s="11">
        <v>0.83355683088302612</v>
      </c>
      <c r="N923" s="11">
        <v>0.73411381244659424</v>
      </c>
      <c r="O923" s="11">
        <v>0.30682981014251709</v>
      </c>
      <c r="Q923" s="59">
        <v>14.579731246722716</v>
      </c>
      <c r="R923" s="78">
        <v>463.65778319734386</v>
      </c>
      <c r="S923" s="78">
        <v>14.625402379580921</v>
      </c>
      <c r="T923" s="78">
        <v>591.94532037959993</v>
      </c>
      <c r="U923" s="59">
        <v>14.630423748890687</v>
      </c>
      <c r="V923" s="78">
        <v>794.72204000814645</v>
      </c>
      <c r="X923" s="134">
        <f t="shared" si="90"/>
        <v>1457509.4668890743</v>
      </c>
      <c r="Y923" s="134">
        <f t="shared" si="91"/>
        <v>1461948.2926377123</v>
      </c>
      <c r="Z923" s="134">
        <f t="shared" si="92"/>
        <v>1462247.6528490607</v>
      </c>
      <c r="AB923" s="127">
        <f t="shared" si="93"/>
        <v>0</v>
      </c>
      <c r="AC923" s="127">
        <f t="shared" si="94"/>
        <v>0</v>
      </c>
      <c r="AD923" s="127">
        <f t="shared" si="95"/>
        <v>1</v>
      </c>
    </row>
    <row r="924" spans="1:30" x14ac:dyDescent="0.25">
      <c r="A924">
        <v>919</v>
      </c>
      <c r="C924" s="11">
        <v>1.452191174030304E-2</v>
      </c>
      <c r="D924" s="11">
        <v>4.0267705917358398E-2</v>
      </c>
      <c r="E924" s="11">
        <v>9.1774573470337198E-2</v>
      </c>
      <c r="F924" s="11">
        <v>0.19235462781862703</v>
      </c>
      <c r="G924" s="11">
        <v>7.9751849174499512E-2</v>
      </c>
      <c r="H924" s="40">
        <v>5.1531435150488532E-4</v>
      </c>
      <c r="I924" s="40">
        <v>1.3908409712526213</v>
      </c>
      <c r="J924" s="59">
        <v>0</v>
      </c>
      <c r="K924" s="59">
        <v>5401.0702297091484</v>
      </c>
      <c r="L924" s="59">
        <v>0</v>
      </c>
      <c r="M924" s="11">
        <v>0.85553824901580811</v>
      </c>
      <c r="N924" s="11">
        <v>0.80853796005249023</v>
      </c>
      <c r="O924" s="11">
        <v>0.27387785911560059</v>
      </c>
      <c r="Q924" s="59">
        <v>14.834865246306878</v>
      </c>
      <c r="R924" s="78">
        <v>529.49367069251014</v>
      </c>
      <c r="S924" s="78">
        <v>14.887039174760872</v>
      </c>
      <c r="T924" s="78">
        <v>591.61699019730293</v>
      </c>
      <c r="U924" s="59">
        <v>14.881171223671853</v>
      </c>
      <c r="V924" s="78">
        <v>814.40176054047492</v>
      </c>
      <c r="X924" s="134">
        <f t="shared" si="90"/>
        <v>1482957.0309599952</v>
      </c>
      <c r="Y924" s="134">
        <f t="shared" si="91"/>
        <v>1488112.3004858899</v>
      </c>
      <c r="Z924" s="134">
        <f t="shared" si="92"/>
        <v>1487302.7206066449</v>
      </c>
      <c r="AB924" s="127">
        <f t="shared" si="93"/>
        <v>0</v>
      </c>
      <c r="AC924" s="127">
        <f t="shared" si="94"/>
        <v>1</v>
      </c>
      <c r="AD924" s="127">
        <f t="shared" si="95"/>
        <v>0</v>
      </c>
    </row>
    <row r="925" spans="1:30" x14ac:dyDescent="0.25">
      <c r="A925">
        <v>920</v>
      </c>
      <c r="C925" s="11">
        <v>4.1008710861206055E-2</v>
      </c>
      <c r="D925" s="11">
        <v>3.3750474452972412E-2</v>
      </c>
      <c r="E925" s="11">
        <v>0.14779098294399542</v>
      </c>
      <c r="F925" s="11">
        <v>0.22794727006427809</v>
      </c>
      <c r="G925" s="11">
        <v>4.0749073028564453E-2</v>
      </c>
      <c r="H925" s="40">
        <v>3.2908445095636583E-4</v>
      </c>
      <c r="I925" s="40">
        <v>1.5078156479789029</v>
      </c>
      <c r="J925" s="59">
        <v>0</v>
      </c>
      <c r="K925" s="59">
        <v>4277.8812348842621</v>
      </c>
      <c r="L925" s="59">
        <v>0</v>
      </c>
      <c r="M925" s="11">
        <v>0.85408103466033936</v>
      </c>
      <c r="N925" s="11">
        <v>0.78693521022796631</v>
      </c>
      <c r="O925" s="11">
        <v>0.28048557043075562</v>
      </c>
      <c r="Q925" s="59">
        <v>14.420201572570441</v>
      </c>
      <c r="R925" s="78">
        <v>473.48742801054772</v>
      </c>
      <c r="S925" s="78">
        <v>14.460366067626325</v>
      </c>
      <c r="T925" s="78">
        <v>590.90744570739957</v>
      </c>
      <c r="U925" s="59">
        <v>14.456532917124862</v>
      </c>
      <c r="V925" s="78">
        <v>806.34212845773811</v>
      </c>
      <c r="X925" s="134">
        <f t="shared" si="90"/>
        <v>1441546.6698290338</v>
      </c>
      <c r="Y925" s="134">
        <f t="shared" si="91"/>
        <v>1445445.6993169251</v>
      </c>
      <c r="Z925" s="134">
        <f t="shared" si="92"/>
        <v>1444846.9495840285</v>
      </c>
      <c r="AB925" s="127">
        <f t="shared" si="93"/>
        <v>0</v>
      </c>
      <c r="AC925" s="127">
        <f t="shared" si="94"/>
        <v>1</v>
      </c>
      <c r="AD925" s="127">
        <f t="shared" si="95"/>
        <v>0</v>
      </c>
    </row>
    <row r="926" spans="1:30" x14ac:dyDescent="0.25">
      <c r="A926">
        <v>921</v>
      </c>
      <c r="C926" s="11">
        <v>8.3238333463668823E-3</v>
      </c>
      <c r="D926" s="11">
        <v>4.5404434204101563E-2</v>
      </c>
      <c r="E926" s="11">
        <v>0.21405842377638681</v>
      </c>
      <c r="F926" s="11">
        <v>0.44260278679783499</v>
      </c>
      <c r="G926" s="11">
        <v>5.4780066013336182E-2</v>
      </c>
      <c r="H926" s="40">
        <v>6.6468184825375736E-4</v>
      </c>
      <c r="I926" s="40">
        <v>1.4274423373023977</v>
      </c>
      <c r="J926" s="59">
        <v>0</v>
      </c>
      <c r="K926" s="59">
        <v>5552.4241179227829</v>
      </c>
      <c r="L926" s="59">
        <v>0</v>
      </c>
      <c r="M926" s="11">
        <v>0.90742707252502441</v>
      </c>
      <c r="N926" s="11">
        <v>0.75378793478012085</v>
      </c>
      <c r="O926" s="11">
        <v>0.27900969982147217</v>
      </c>
      <c r="Q926" s="59">
        <v>15.772080112799966</v>
      </c>
      <c r="R926" s="78">
        <v>573.67442926433205</v>
      </c>
      <c r="S926" s="78">
        <v>15.868109864001781</v>
      </c>
      <c r="T926" s="78">
        <v>618.18643488480257</v>
      </c>
      <c r="U926" s="59">
        <v>15.839757874140741</v>
      </c>
      <c r="V926" s="78">
        <v>868.58305341365849</v>
      </c>
      <c r="X926" s="134">
        <f t="shared" si="90"/>
        <v>1576634.3368507321</v>
      </c>
      <c r="Y926" s="134">
        <f t="shared" si="91"/>
        <v>1586192.7999652934</v>
      </c>
      <c r="Z926" s="134">
        <f t="shared" si="92"/>
        <v>1583107.2043606606</v>
      </c>
      <c r="AB926" s="127">
        <f t="shared" si="93"/>
        <v>0</v>
      </c>
      <c r="AC926" s="127">
        <f t="shared" si="94"/>
        <v>1</v>
      </c>
      <c r="AD926" s="127">
        <f t="shared" si="95"/>
        <v>0</v>
      </c>
    </row>
    <row r="927" spans="1:30" x14ac:dyDescent="0.25">
      <c r="A927">
        <v>922</v>
      </c>
      <c r="C927" s="11">
        <v>1.9824177026748657E-2</v>
      </c>
      <c r="D927" s="11">
        <v>3.3521056175231934E-2</v>
      </c>
      <c r="E927" s="11">
        <v>0.50516263254563232</v>
      </c>
      <c r="F927" s="11">
        <v>0.17707659840470671</v>
      </c>
      <c r="G927" s="11">
        <v>7.9934835433959961E-2</v>
      </c>
      <c r="H927" s="40">
        <v>4.1033638638413039E-4</v>
      </c>
      <c r="I927" s="40">
        <v>1.4689242308747579</v>
      </c>
      <c r="J927" s="59">
        <v>0</v>
      </c>
      <c r="K927" s="59">
        <v>5378.4414194524288</v>
      </c>
      <c r="L927" s="59">
        <v>0</v>
      </c>
      <c r="M927" s="11">
        <v>0.86058524250984192</v>
      </c>
      <c r="N927" s="11">
        <v>0.84914970397949219</v>
      </c>
      <c r="O927" s="11">
        <v>0.29807412624359131</v>
      </c>
      <c r="Q927" s="59">
        <v>14.854407607958059</v>
      </c>
      <c r="R927" s="78">
        <v>528.56537727581895</v>
      </c>
      <c r="S927" s="78">
        <v>14.876569367492804</v>
      </c>
      <c r="T927" s="78">
        <v>647.54067226009613</v>
      </c>
      <c r="U927" s="59">
        <v>14.891515108252863</v>
      </c>
      <c r="V927" s="78">
        <v>812.15844934328743</v>
      </c>
      <c r="X927" s="134">
        <f t="shared" si="90"/>
        <v>1484912.1954185299</v>
      </c>
      <c r="Y927" s="134">
        <f t="shared" si="91"/>
        <v>1487009.3960770203</v>
      </c>
      <c r="Z927" s="134">
        <f t="shared" si="92"/>
        <v>1488339.3523759432</v>
      </c>
      <c r="AB927" s="127">
        <f t="shared" si="93"/>
        <v>0</v>
      </c>
      <c r="AC927" s="127">
        <f t="shared" si="94"/>
        <v>0</v>
      </c>
      <c r="AD927" s="127">
        <f t="shared" si="95"/>
        <v>1</v>
      </c>
    </row>
    <row r="928" spans="1:30" x14ac:dyDescent="0.25">
      <c r="A928">
        <v>923</v>
      </c>
      <c r="C928" s="11">
        <v>3.8082003593444824E-2</v>
      </c>
      <c r="D928" s="11">
        <v>4.061579704284668E-2</v>
      </c>
      <c r="E928" s="11">
        <v>0.26572182242126186</v>
      </c>
      <c r="F928" s="11">
        <v>0.44161583501796792</v>
      </c>
      <c r="G928" s="11">
        <v>3.3467292785644531E-2</v>
      </c>
      <c r="H928" s="40">
        <v>3.0037006127920431E-4</v>
      </c>
      <c r="I928" s="40">
        <v>1.5310164661023435</v>
      </c>
      <c r="J928" s="59">
        <v>0</v>
      </c>
      <c r="K928" s="59">
        <v>5978.001281619072</v>
      </c>
      <c r="L928" s="59">
        <v>0</v>
      </c>
      <c r="M928" s="11">
        <v>0.81997489929199219</v>
      </c>
      <c r="N928" s="11">
        <v>0.80138492584228516</v>
      </c>
      <c r="O928" s="11">
        <v>0.32826882600784302</v>
      </c>
      <c r="Q928" s="59">
        <v>13.899758120891542</v>
      </c>
      <c r="R928" s="78">
        <v>498.80838332340755</v>
      </c>
      <c r="S928" s="78">
        <v>13.92340024346422</v>
      </c>
      <c r="T928" s="78">
        <v>607.17533657550246</v>
      </c>
      <c r="U928" s="59">
        <v>13.917675741824116</v>
      </c>
      <c r="V928" s="78">
        <v>834.69528483158547</v>
      </c>
      <c r="X928" s="134">
        <f t="shared" si="90"/>
        <v>1389477.0037058308</v>
      </c>
      <c r="Y928" s="134">
        <f t="shared" si="91"/>
        <v>1391732.8490098463</v>
      </c>
      <c r="Z928" s="134">
        <f t="shared" si="92"/>
        <v>1390932.8788975801</v>
      </c>
      <c r="AB928" s="127">
        <f t="shared" si="93"/>
        <v>0</v>
      </c>
      <c r="AC928" s="127">
        <f t="shared" si="94"/>
        <v>1</v>
      </c>
      <c r="AD928" s="127">
        <f t="shared" si="95"/>
        <v>0</v>
      </c>
    </row>
    <row r="929" spans="1:30" x14ac:dyDescent="0.25">
      <c r="A929">
        <v>924</v>
      </c>
      <c r="C929" s="11">
        <v>2.9852449893951416E-2</v>
      </c>
      <c r="D929" s="11">
        <v>4.5212388038635254E-2</v>
      </c>
      <c r="E929" s="11">
        <v>0.22135467083291546</v>
      </c>
      <c r="F929" s="11">
        <v>0.18904590352402173</v>
      </c>
      <c r="G929" s="11">
        <v>4.0315389633178711E-2</v>
      </c>
      <c r="H929" s="40">
        <v>5.4779718184297149E-4</v>
      </c>
      <c r="I929" s="40">
        <v>1.5551548686921028</v>
      </c>
      <c r="J929" s="59">
        <v>0</v>
      </c>
      <c r="K929" s="59">
        <v>5221.9792269170284</v>
      </c>
      <c r="L929" s="59">
        <v>0</v>
      </c>
      <c r="M929" s="11">
        <v>0.8491741418838501</v>
      </c>
      <c r="N929" s="11">
        <v>0.70176231861114502</v>
      </c>
      <c r="O929" s="11">
        <v>0.30068373680114746</v>
      </c>
      <c r="Q929" s="59">
        <v>14.421791361009408</v>
      </c>
      <c r="R929" s="78">
        <v>578.02229250670439</v>
      </c>
      <c r="S929" s="78">
        <v>14.522127226761324</v>
      </c>
      <c r="T929" s="78">
        <v>620.72788364214466</v>
      </c>
      <c r="U929" s="59">
        <v>14.526411898459683</v>
      </c>
      <c r="V929" s="78">
        <v>823.67338035201089</v>
      </c>
      <c r="X929" s="134">
        <f t="shared" si="90"/>
        <v>1441601.1138084342</v>
      </c>
      <c r="Y929" s="134">
        <f t="shared" si="91"/>
        <v>1451591.9947924903</v>
      </c>
      <c r="Z929" s="134">
        <f t="shared" si="92"/>
        <v>1451817.5164656162</v>
      </c>
      <c r="AB929" s="127">
        <f t="shared" si="93"/>
        <v>0</v>
      </c>
      <c r="AC929" s="127">
        <f t="shared" si="94"/>
        <v>0</v>
      </c>
      <c r="AD929" s="127">
        <f t="shared" si="95"/>
        <v>1</v>
      </c>
    </row>
    <row r="930" spans="1:30" x14ac:dyDescent="0.25">
      <c r="A930">
        <v>925</v>
      </c>
      <c r="C930" s="11">
        <v>2.2671401500701904E-2</v>
      </c>
      <c r="D930" s="11">
        <v>2.6642978191375732E-2</v>
      </c>
      <c r="E930" s="11">
        <v>0.23922152977756303</v>
      </c>
      <c r="F930" s="11">
        <v>0.13873809066868228</v>
      </c>
      <c r="G930" s="11">
        <v>4.6646624803543091E-2</v>
      </c>
      <c r="H930" s="40">
        <v>5.4489473836367563E-4</v>
      </c>
      <c r="I930" s="40">
        <v>1.4585908724984027</v>
      </c>
      <c r="J930" s="59">
        <v>0</v>
      </c>
      <c r="K930" s="59">
        <v>5015.2791664004326</v>
      </c>
      <c r="L930" s="59">
        <v>0</v>
      </c>
      <c r="M930" s="11">
        <v>0.80695366859436035</v>
      </c>
      <c r="N930" s="11">
        <v>0.73241513967514038</v>
      </c>
      <c r="O930" s="11">
        <v>0.25838619470596313</v>
      </c>
      <c r="Q930" s="59">
        <v>13.863283773469723</v>
      </c>
      <c r="R930" s="78">
        <v>533.49370284327949</v>
      </c>
      <c r="S930" s="78">
        <v>13.914128657537994</v>
      </c>
      <c r="T930" s="78">
        <v>612.93012143920089</v>
      </c>
      <c r="U930" s="59">
        <v>13.920996168615156</v>
      </c>
      <c r="V930" s="78">
        <v>807.72167246388733</v>
      </c>
      <c r="X930" s="134">
        <f t="shared" si="90"/>
        <v>1385794.8836441289</v>
      </c>
      <c r="Y930" s="134">
        <f t="shared" si="91"/>
        <v>1390799.9356323602</v>
      </c>
      <c r="Z930" s="134">
        <f t="shared" si="92"/>
        <v>1391291.8951890517</v>
      </c>
      <c r="AB930" s="127">
        <f t="shared" si="93"/>
        <v>0</v>
      </c>
      <c r="AC930" s="127">
        <f t="shared" si="94"/>
        <v>0</v>
      </c>
      <c r="AD930" s="127">
        <f t="shared" si="95"/>
        <v>1</v>
      </c>
    </row>
    <row r="931" spans="1:30" x14ac:dyDescent="0.25">
      <c r="A931">
        <v>926</v>
      </c>
      <c r="C931" s="11">
        <v>2.7061283588409424E-2</v>
      </c>
      <c r="D931" s="11">
        <v>1.5060663223266602E-2</v>
      </c>
      <c r="E931" s="11">
        <v>0.4316570021764784</v>
      </c>
      <c r="F931" s="11">
        <v>0.30207258624121081</v>
      </c>
      <c r="G931" s="11">
        <v>3.5755753517150879E-2</v>
      </c>
      <c r="H931" s="40">
        <v>3.0510373514955265E-4</v>
      </c>
      <c r="I931" s="40">
        <v>1.5002693116992045</v>
      </c>
      <c r="J931" s="59">
        <v>0</v>
      </c>
      <c r="K931" s="59">
        <v>2934.3180358409882</v>
      </c>
      <c r="L931" s="59">
        <v>0</v>
      </c>
      <c r="M931" s="11">
        <v>0.84929776191711426</v>
      </c>
      <c r="N931" s="11">
        <v>0.70412492752075195</v>
      </c>
      <c r="O931" s="11">
        <v>0.30846512317657471</v>
      </c>
      <c r="Q931" s="59">
        <v>14.54078652683109</v>
      </c>
      <c r="R931" s="78">
        <v>443.21929106791225</v>
      </c>
      <c r="S931" s="78">
        <v>14.571757872872793</v>
      </c>
      <c r="T931" s="78">
        <v>600.42006498744593</v>
      </c>
      <c r="U931" s="59">
        <v>14.578901403974108</v>
      </c>
      <c r="V931" s="78">
        <v>803.0177731828586</v>
      </c>
      <c r="X931" s="134">
        <f t="shared" si="90"/>
        <v>1453635.4333920411</v>
      </c>
      <c r="Y931" s="134">
        <f t="shared" si="91"/>
        <v>1456575.3672222919</v>
      </c>
      <c r="Z931" s="134">
        <f t="shared" si="92"/>
        <v>1457087.122624228</v>
      </c>
      <c r="AB931" s="127">
        <f t="shared" si="93"/>
        <v>0</v>
      </c>
      <c r="AC931" s="127">
        <f t="shared" si="94"/>
        <v>0</v>
      </c>
      <c r="AD931" s="127">
        <f t="shared" si="95"/>
        <v>1</v>
      </c>
    </row>
    <row r="932" spans="1:30" x14ac:dyDescent="0.25">
      <c r="A932">
        <v>927</v>
      </c>
      <c r="C932" s="11">
        <v>2.087131142616272E-2</v>
      </c>
      <c r="D932" s="11">
        <v>2.4211466312408447E-2</v>
      </c>
      <c r="E932" s="11">
        <v>0.24166566219237398</v>
      </c>
      <c r="F932" s="11">
        <v>9.5236957238910139E-2</v>
      </c>
      <c r="G932" s="11">
        <v>1.6077160835266113E-2</v>
      </c>
      <c r="H932" s="40">
        <v>4.6953037561968343E-4</v>
      </c>
      <c r="I932" s="40">
        <v>1.5027092682939909</v>
      </c>
      <c r="J932" s="59">
        <v>0</v>
      </c>
      <c r="K932" s="59">
        <v>7889.1497105360031</v>
      </c>
      <c r="L932" s="59">
        <v>0</v>
      </c>
      <c r="M932" s="11">
        <v>0.90300238132476807</v>
      </c>
      <c r="N932" s="11">
        <v>0.78444993495941162</v>
      </c>
      <c r="O932" s="11">
        <v>0.25313925743103027</v>
      </c>
      <c r="Q932" s="59">
        <v>15.536910092259868</v>
      </c>
      <c r="R932" s="78">
        <v>577.11555678638865</v>
      </c>
      <c r="S932" s="78">
        <v>15.597520550592698</v>
      </c>
      <c r="T932" s="78">
        <v>624.02321870205878</v>
      </c>
      <c r="U932" s="59">
        <v>15.609505273355907</v>
      </c>
      <c r="V932" s="78">
        <v>805.80276930968819</v>
      </c>
      <c r="X932" s="134">
        <f t="shared" si="90"/>
        <v>1553113.8936692006</v>
      </c>
      <c r="Y932" s="134">
        <f t="shared" si="91"/>
        <v>1559128.0318405677</v>
      </c>
      <c r="Z932" s="134">
        <f t="shared" si="92"/>
        <v>1560144.7245662811</v>
      </c>
      <c r="AB932" s="127">
        <f t="shared" si="93"/>
        <v>0</v>
      </c>
      <c r="AC932" s="127">
        <f t="shared" si="94"/>
        <v>0</v>
      </c>
      <c r="AD932" s="127">
        <f t="shared" si="95"/>
        <v>1</v>
      </c>
    </row>
    <row r="933" spans="1:30" x14ac:dyDescent="0.25">
      <c r="A933">
        <v>928</v>
      </c>
      <c r="C933" s="11">
        <v>1.0946407914161682E-2</v>
      </c>
      <c r="D933" s="11">
        <v>1.7829477787017822E-2</v>
      </c>
      <c r="E933" s="11">
        <v>0.25561323313221918</v>
      </c>
      <c r="F933" s="11">
        <v>0.5632895880821942</v>
      </c>
      <c r="G933" s="11">
        <v>3.2410383224487305E-2</v>
      </c>
      <c r="H933" s="40">
        <v>3.096420727856395E-4</v>
      </c>
      <c r="I933" s="40">
        <v>1.4655470100899763</v>
      </c>
      <c r="J933" s="59">
        <v>0</v>
      </c>
      <c r="K933" s="59">
        <v>10363.906621932983</v>
      </c>
      <c r="L933" s="59">
        <v>0</v>
      </c>
      <c r="M933" s="11">
        <v>0.87620657682418823</v>
      </c>
      <c r="N933" s="11">
        <v>0.81752967834472656</v>
      </c>
      <c r="O933" s="11">
        <v>0.27293181419372559</v>
      </c>
      <c r="Q933" s="59">
        <v>15.27246821297147</v>
      </c>
      <c r="R933" s="78">
        <v>553.23088176546514</v>
      </c>
      <c r="S933" s="78">
        <v>15.298459906964435</v>
      </c>
      <c r="T933" s="78">
        <v>620.0967180923144</v>
      </c>
      <c r="U933" s="59">
        <v>15.287643251878745</v>
      </c>
      <c r="V933" s="78">
        <v>878.20212209624663</v>
      </c>
      <c r="X933" s="134">
        <f t="shared" si="90"/>
        <v>1526693.5904153816</v>
      </c>
      <c r="Y933" s="134">
        <f t="shared" si="91"/>
        <v>1529225.8939783513</v>
      </c>
      <c r="Z933" s="134">
        <f t="shared" si="92"/>
        <v>1527886.1230657783</v>
      </c>
      <c r="AB933" s="127">
        <f t="shared" si="93"/>
        <v>0</v>
      </c>
      <c r="AC933" s="127">
        <f t="shared" si="94"/>
        <v>1</v>
      </c>
      <c r="AD933" s="127">
        <f t="shared" si="95"/>
        <v>0</v>
      </c>
    </row>
    <row r="934" spans="1:30" x14ac:dyDescent="0.25">
      <c r="A934">
        <v>929</v>
      </c>
      <c r="C934" s="11">
        <v>1.7582625150680542E-2</v>
      </c>
      <c r="D934" s="11">
        <v>3.8246631622314453E-2</v>
      </c>
      <c r="E934" s="11">
        <v>0.2836996102729698</v>
      </c>
      <c r="F934" s="11">
        <v>7.4130682438670589E-2</v>
      </c>
      <c r="G934" s="11">
        <v>3.4456327557563782E-2</v>
      </c>
      <c r="H934" s="40">
        <v>5.4373709848966583E-4</v>
      </c>
      <c r="I934" s="40">
        <v>1.3707782215779218</v>
      </c>
      <c r="J934" s="59">
        <v>0</v>
      </c>
      <c r="K934" s="59">
        <v>6375.7272437214851</v>
      </c>
      <c r="L934" s="59">
        <v>0</v>
      </c>
      <c r="M934" s="11">
        <v>0.89768421649932861</v>
      </c>
      <c r="N934" s="11">
        <v>0.76364314556121826</v>
      </c>
      <c r="O934" s="11">
        <v>0.25508773326873779</v>
      </c>
      <c r="Q934" s="59">
        <v>15.503316913504237</v>
      </c>
      <c r="R934" s="78">
        <v>523.72355212508307</v>
      </c>
      <c r="S934" s="78">
        <v>15.556185609954166</v>
      </c>
      <c r="T934" s="78">
        <v>616.23492067654229</v>
      </c>
      <c r="U934" s="59">
        <v>15.571922966015205</v>
      </c>
      <c r="V934" s="78">
        <v>797.76299564146643</v>
      </c>
      <c r="X934" s="134">
        <f t="shared" si="90"/>
        <v>1549807.9677982987</v>
      </c>
      <c r="Y934" s="134">
        <f t="shared" si="91"/>
        <v>1555002.3260747402</v>
      </c>
      <c r="Z934" s="134">
        <f t="shared" si="92"/>
        <v>1556394.5336058789</v>
      </c>
      <c r="AB934" s="127">
        <f t="shared" si="93"/>
        <v>0</v>
      </c>
      <c r="AC934" s="127">
        <f t="shared" si="94"/>
        <v>0</v>
      </c>
      <c r="AD934" s="127">
        <f t="shared" si="95"/>
        <v>1</v>
      </c>
    </row>
    <row r="935" spans="1:30" x14ac:dyDescent="0.25">
      <c r="A935">
        <v>930</v>
      </c>
      <c r="C935" s="11">
        <v>2.0375460386276245E-2</v>
      </c>
      <c r="D935" s="11">
        <v>3.4670233726501465E-3</v>
      </c>
      <c r="E935" s="11">
        <v>0.28411210555970984</v>
      </c>
      <c r="F935" s="11">
        <v>0.17581534612301591</v>
      </c>
      <c r="G935" s="11">
        <v>2.2980660200119019E-2</v>
      </c>
      <c r="H935" s="40">
        <v>3.7941303311710958E-4</v>
      </c>
      <c r="I935" s="40">
        <v>1.5753603785596944</v>
      </c>
      <c r="J935" s="59">
        <v>0</v>
      </c>
      <c r="K935" s="59">
        <v>6978.1485944986343</v>
      </c>
      <c r="L935" s="59">
        <v>0</v>
      </c>
      <c r="M935" s="11">
        <v>0.85194301605224609</v>
      </c>
      <c r="N935" s="11">
        <v>0.70572781562805176</v>
      </c>
      <c r="O935" s="11">
        <v>0.32563483715057373</v>
      </c>
      <c r="Q935" s="59">
        <v>14.662332197866746</v>
      </c>
      <c r="R935" s="78">
        <v>563.40594564021171</v>
      </c>
      <c r="S935" s="78">
        <v>14.718744062577823</v>
      </c>
      <c r="T935" s="78">
        <v>627.94723589845842</v>
      </c>
      <c r="U935" s="59">
        <v>14.727469350363981</v>
      </c>
      <c r="V935" s="78">
        <v>818.36762188919488</v>
      </c>
      <c r="X935" s="134">
        <f t="shared" si="90"/>
        <v>1465669.8138410344</v>
      </c>
      <c r="Y935" s="134">
        <f t="shared" si="91"/>
        <v>1471246.459021884</v>
      </c>
      <c r="Z935" s="134">
        <f t="shared" si="92"/>
        <v>1471928.5674145089</v>
      </c>
      <c r="AB935" s="127">
        <f t="shared" si="93"/>
        <v>0</v>
      </c>
      <c r="AC935" s="127">
        <f t="shared" si="94"/>
        <v>0</v>
      </c>
      <c r="AD935" s="127">
        <f t="shared" si="95"/>
        <v>1</v>
      </c>
    </row>
    <row r="936" spans="1:30" x14ac:dyDescent="0.25">
      <c r="A936">
        <v>931</v>
      </c>
      <c r="C936" s="11">
        <v>1.7121270298957825E-2</v>
      </c>
      <c r="D936" s="11">
        <v>1.1803820729255676E-2</v>
      </c>
      <c r="E936" s="11">
        <v>0.39840168480221561</v>
      </c>
      <c r="F936" s="11">
        <v>0.12845389260688525</v>
      </c>
      <c r="G936" s="11">
        <v>2.6999235153198242E-2</v>
      </c>
      <c r="H936" s="40">
        <v>4.0808100624611259E-4</v>
      </c>
      <c r="I936" s="40">
        <v>1.43125095708231</v>
      </c>
      <c r="J936" s="59">
        <v>0</v>
      </c>
      <c r="K936" s="59">
        <v>3738.0796857178211</v>
      </c>
      <c r="L936" s="59">
        <v>0</v>
      </c>
      <c r="M936" s="11">
        <v>0.90083527565002441</v>
      </c>
      <c r="N936" s="11">
        <v>0.82783031463623047</v>
      </c>
      <c r="O936" s="11">
        <v>0.33412086963653564</v>
      </c>
      <c r="Q936" s="59">
        <v>15.598273432394087</v>
      </c>
      <c r="R936" s="78">
        <v>459.94473926529105</v>
      </c>
      <c r="S936" s="78">
        <v>15.622920439073546</v>
      </c>
      <c r="T936" s="78">
        <v>605.51424817194993</v>
      </c>
      <c r="U936" s="59">
        <v>15.634155717333014</v>
      </c>
      <c r="V936" s="78">
        <v>796.58421204784747</v>
      </c>
      <c r="X936" s="134">
        <f t="shared" si="90"/>
        <v>1559367.3985001433</v>
      </c>
      <c r="Y936" s="134">
        <f t="shared" si="91"/>
        <v>1561686.5296591825</v>
      </c>
      <c r="Z936" s="134">
        <f t="shared" si="92"/>
        <v>1562618.9875212538</v>
      </c>
      <c r="AB936" s="127">
        <f t="shared" si="93"/>
        <v>0</v>
      </c>
      <c r="AC936" s="127">
        <f t="shared" si="94"/>
        <v>0</v>
      </c>
      <c r="AD936" s="127">
        <f t="shared" si="95"/>
        <v>1</v>
      </c>
    </row>
    <row r="937" spans="1:30" x14ac:dyDescent="0.25">
      <c r="A937">
        <v>932</v>
      </c>
      <c r="C937" s="11">
        <v>9.6589028835296631E-3</v>
      </c>
      <c r="D937" s="11">
        <v>2.8080105781555176E-2</v>
      </c>
      <c r="E937" s="11">
        <v>0.33156710586292631</v>
      </c>
      <c r="F937" s="11">
        <v>0.38631060576258941</v>
      </c>
      <c r="G937" s="11">
        <v>5.5206269025802612E-2</v>
      </c>
      <c r="H937" s="40">
        <v>3.1210398235058368E-4</v>
      </c>
      <c r="I937" s="40">
        <v>1.4903306694646605</v>
      </c>
      <c r="J937" s="59">
        <v>0</v>
      </c>
      <c r="K937" s="59">
        <v>4953.1110562384129</v>
      </c>
      <c r="L937" s="59">
        <v>0</v>
      </c>
      <c r="M937" s="11">
        <v>0.85842764377593994</v>
      </c>
      <c r="N937" s="11">
        <v>0.76999932527542114</v>
      </c>
      <c r="O937" s="11">
        <v>0.29713010787963867</v>
      </c>
      <c r="Q937" s="59">
        <v>14.967569513788433</v>
      </c>
      <c r="R937" s="78">
        <v>485.97756293996804</v>
      </c>
      <c r="S937" s="78">
        <v>15.000060399227033</v>
      </c>
      <c r="T937" s="78">
        <v>609.78262771555774</v>
      </c>
      <c r="U937" s="59">
        <v>14.997372312982911</v>
      </c>
      <c r="V937" s="78">
        <v>823.83750241735015</v>
      </c>
      <c r="X937" s="134">
        <f t="shared" si="90"/>
        <v>1496270.9738159033</v>
      </c>
      <c r="Y937" s="134">
        <f t="shared" si="91"/>
        <v>1499396.2572949878</v>
      </c>
      <c r="Z937" s="134">
        <f t="shared" si="92"/>
        <v>1498913.3937958737</v>
      </c>
      <c r="AB937" s="127">
        <f t="shared" si="93"/>
        <v>0</v>
      </c>
      <c r="AC937" s="127">
        <f t="shared" si="94"/>
        <v>1</v>
      </c>
      <c r="AD937" s="127">
        <f t="shared" si="95"/>
        <v>0</v>
      </c>
    </row>
    <row r="938" spans="1:30" x14ac:dyDescent="0.25">
      <c r="A938">
        <v>933</v>
      </c>
      <c r="C938" s="11">
        <v>1.9884020090103149E-2</v>
      </c>
      <c r="D938" s="11">
        <v>2.7721256017684937E-2</v>
      </c>
      <c r="E938" s="11">
        <v>0.42091983645177744</v>
      </c>
      <c r="F938" s="11">
        <v>0.18048911039787507</v>
      </c>
      <c r="G938" s="11">
        <v>3.6801129579544067E-2</v>
      </c>
      <c r="H938" s="40">
        <v>4.7318784403983224E-4</v>
      </c>
      <c r="I938" s="40">
        <v>1.3969895818575853</v>
      </c>
      <c r="J938" s="59">
        <v>0</v>
      </c>
      <c r="K938" s="59">
        <v>6182.2705902159214</v>
      </c>
      <c r="L938" s="59">
        <v>0</v>
      </c>
      <c r="M938" s="11">
        <v>0.86950457096099854</v>
      </c>
      <c r="N938" s="11">
        <v>0.73041921854019165</v>
      </c>
      <c r="O938" s="11">
        <v>0.26319444179534912</v>
      </c>
      <c r="Q938" s="59">
        <v>14.986123651355056</v>
      </c>
      <c r="R938" s="78">
        <v>513.77932097853568</v>
      </c>
      <c r="S938" s="78">
        <v>15.024658363338089</v>
      </c>
      <c r="T938" s="78">
        <v>629.87206605900224</v>
      </c>
      <c r="U938" s="59">
        <v>15.040892707907521</v>
      </c>
      <c r="V938" s="78">
        <v>809.8956619100228</v>
      </c>
      <c r="X938" s="134">
        <f t="shared" si="90"/>
        <v>1498098.585814527</v>
      </c>
      <c r="Y938" s="134">
        <f t="shared" si="91"/>
        <v>1501835.96426775</v>
      </c>
      <c r="Z938" s="134">
        <f t="shared" si="92"/>
        <v>1503279.375128842</v>
      </c>
      <c r="AB938" s="127">
        <f t="shared" si="93"/>
        <v>0</v>
      </c>
      <c r="AC938" s="127">
        <f t="shared" si="94"/>
        <v>0</v>
      </c>
      <c r="AD938" s="127">
        <f t="shared" si="95"/>
        <v>1</v>
      </c>
    </row>
    <row r="939" spans="1:30" x14ac:dyDescent="0.25">
      <c r="A939">
        <v>934</v>
      </c>
      <c r="C939" s="11">
        <v>7.92388916015625E-2</v>
      </c>
      <c r="D939" s="11">
        <v>5.9647560119628906E-3</v>
      </c>
      <c r="E939" s="11">
        <v>0.4681512205436808</v>
      </c>
      <c r="F939" s="11">
        <v>7.016918099343325E-2</v>
      </c>
      <c r="G939" s="11">
        <v>6.0939311981201172E-2</v>
      </c>
      <c r="H939" s="40">
        <v>4.6949262983582072E-4</v>
      </c>
      <c r="I939" s="40">
        <v>1.4172010871921108</v>
      </c>
      <c r="J939" s="59">
        <v>0</v>
      </c>
      <c r="K939" s="59">
        <v>6659.114733338356</v>
      </c>
      <c r="L939" s="59">
        <v>0</v>
      </c>
      <c r="M939" s="11">
        <v>0.89158469438552856</v>
      </c>
      <c r="N939" s="11">
        <v>0.73530721664428711</v>
      </c>
      <c r="O939" s="11">
        <v>0.30828231573104858</v>
      </c>
      <c r="Q939" s="59">
        <v>14.433499965563579</v>
      </c>
      <c r="R939" s="78">
        <v>538.23116578250381</v>
      </c>
      <c r="S939" s="78">
        <v>14.46891122109724</v>
      </c>
      <c r="T939" s="78">
        <v>647.10323621810471</v>
      </c>
      <c r="U939" s="59">
        <v>14.495878877971595</v>
      </c>
      <c r="V939" s="78">
        <v>798.27381064103474</v>
      </c>
      <c r="X939" s="134">
        <f t="shared" si="90"/>
        <v>1442811.7653905754</v>
      </c>
      <c r="Y939" s="134">
        <f t="shared" si="91"/>
        <v>1446244.0188735058</v>
      </c>
      <c r="Z939" s="134">
        <f t="shared" si="92"/>
        <v>1448789.6139865185</v>
      </c>
      <c r="AB939" s="127">
        <f t="shared" si="93"/>
        <v>0</v>
      </c>
      <c r="AC939" s="127">
        <f t="shared" si="94"/>
        <v>0</v>
      </c>
      <c r="AD939" s="127">
        <f t="shared" si="95"/>
        <v>1</v>
      </c>
    </row>
    <row r="940" spans="1:30" x14ac:dyDescent="0.25">
      <c r="A940">
        <v>935</v>
      </c>
      <c r="C940" s="11">
        <v>1.0697454214096069E-2</v>
      </c>
      <c r="D940" s="11">
        <v>9.4507336616516113E-3</v>
      </c>
      <c r="E940" s="11">
        <v>0.16671366309596447</v>
      </c>
      <c r="F940" s="11">
        <v>0.22331256772809943</v>
      </c>
      <c r="G940" s="11">
        <v>5.1937133073806763E-2</v>
      </c>
      <c r="H940" s="40">
        <v>5.1923265347809456E-4</v>
      </c>
      <c r="I940" s="40">
        <v>1.3466887296953598</v>
      </c>
      <c r="J940" s="59">
        <v>0</v>
      </c>
      <c r="K940" s="59">
        <v>5757.4780657887459</v>
      </c>
      <c r="L940" s="59">
        <v>0</v>
      </c>
      <c r="M940" s="11">
        <v>0.79746294021606445</v>
      </c>
      <c r="N940" s="11">
        <v>0.79798495769500732</v>
      </c>
      <c r="O940" s="11">
        <v>0.3267330527305603</v>
      </c>
      <c r="Q940" s="59">
        <v>13.914121837106757</v>
      </c>
      <c r="R940" s="78">
        <v>509.79594211979497</v>
      </c>
      <c r="S940" s="78">
        <v>13.931768395794263</v>
      </c>
      <c r="T940" s="78">
        <v>598.53272063617339</v>
      </c>
      <c r="U940" s="59">
        <v>13.930552717789796</v>
      </c>
      <c r="V940" s="78">
        <v>814.14308697922911</v>
      </c>
      <c r="X940" s="134">
        <f t="shared" si="90"/>
        <v>1390902.3877685559</v>
      </c>
      <c r="Y940" s="134">
        <f t="shared" si="91"/>
        <v>1392578.3068587901</v>
      </c>
      <c r="Z940" s="134">
        <f t="shared" si="92"/>
        <v>1392241.1286920004</v>
      </c>
      <c r="AB940" s="127">
        <f t="shared" si="93"/>
        <v>0</v>
      </c>
      <c r="AC940" s="127">
        <f t="shared" si="94"/>
        <v>1</v>
      </c>
      <c r="AD940" s="127">
        <f t="shared" si="95"/>
        <v>0</v>
      </c>
    </row>
    <row r="941" spans="1:30" x14ac:dyDescent="0.25">
      <c r="A941">
        <v>936</v>
      </c>
      <c r="C941" s="11">
        <v>9.7268819808959961E-3</v>
      </c>
      <c r="D941" s="11">
        <v>8.3776563405990601E-3</v>
      </c>
      <c r="E941" s="11">
        <v>0.34660912054925302</v>
      </c>
      <c r="F941" s="11">
        <v>0.46166240695994976</v>
      </c>
      <c r="G941" s="11">
        <v>4.1466504335403442E-2</v>
      </c>
      <c r="H941" s="40">
        <v>3.1505451216454655E-4</v>
      </c>
      <c r="I941" s="40">
        <v>1.4404221230598875</v>
      </c>
      <c r="J941" s="59">
        <v>0</v>
      </c>
      <c r="K941" s="59">
        <v>6818.0961534380913</v>
      </c>
      <c r="L941" s="59">
        <v>0</v>
      </c>
      <c r="M941" s="11">
        <v>0.83348071575164795</v>
      </c>
      <c r="N941" s="11">
        <v>0.80900168418884277</v>
      </c>
      <c r="O941" s="11">
        <v>0.29870826005935669</v>
      </c>
      <c r="Q941" s="59">
        <v>14.555979323103086</v>
      </c>
      <c r="R941" s="78">
        <v>498.27402671702538</v>
      </c>
      <c r="S941" s="78">
        <v>14.570974325497794</v>
      </c>
      <c r="T941" s="78">
        <v>615.42625626144832</v>
      </c>
      <c r="U941" s="59">
        <v>14.568312403131944</v>
      </c>
      <c r="V941" s="78">
        <v>836.4505815033051</v>
      </c>
      <c r="X941" s="134">
        <f t="shared" si="90"/>
        <v>1455099.6582835915</v>
      </c>
      <c r="Y941" s="134">
        <f t="shared" si="91"/>
        <v>1456482.0062935178</v>
      </c>
      <c r="Z941" s="134">
        <f t="shared" si="92"/>
        <v>1455994.7897316911</v>
      </c>
      <c r="AB941" s="127">
        <f t="shared" si="93"/>
        <v>0</v>
      </c>
      <c r="AC941" s="127">
        <f t="shared" si="94"/>
        <v>1</v>
      </c>
      <c r="AD941" s="127">
        <f t="shared" si="95"/>
        <v>0</v>
      </c>
    </row>
    <row r="942" spans="1:30" x14ac:dyDescent="0.25">
      <c r="A942">
        <v>937</v>
      </c>
      <c r="C942" s="11">
        <v>3.3459305763244629E-2</v>
      </c>
      <c r="D942" s="11">
        <v>1.5846326947212219E-2</v>
      </c>
      <c r="E942" s="11">
        <v>0.11950587774309977</v>
      </c>
      <c r="F942" s="11">
        <v>0.23116543990211871</v>
      </c>
      <c r="G942" s="11">
        <v>5.8410704135894775E-2</v>
      </c>
      <c r="H942" s="40">
        <v>2.5839640635977459E-4</v>
      </c>
      <c r="I942" s="40">
        <v>1.6457595169528147</v>
      </c>
      <c r="J942" s="59">
        <v>0</v>
      </c>
      <c r="K942" s="59">
        <v>6060.6258921325207</v>
      </c>
      <c r="L942" s="59">
        <v>0</v>
      </c>
      <c r="M942" s="11">
        <v>0.86472836136817932</v>
      </c>
      <c r="N942" s="11">
        <v>0.76127099990844727</v>
      </c>
      <c r="O942" s="11">
        <v>0.32378780841827393</v>
      </c>
      <c r="Q942" s="59">
        <v>14.700407775213701</v>
      </c>
      <c r="R942" s="78">
        <v>539.35725654493865</v>
      </c>
      <c r="S942" s="78">
        <v>14.755477427175814</v>
      </c>
      <c r="T942" s="78">
        <v>596.67785177898929</v>
      </c>
      <c r="U942" s="59">
        <v>14.748364521130075</v>
      </c>
      <c r="V942" s="78">
        <v>822.1186395479059</v>
      </c>
      <c r="X942" s="134">
        <f t="shared" si="90"/>
        <v>1469501.4202648252</v>
      </c>
      <c r="Y942" s="134">
        <f t="shared" si="91"/>
        <v>1474951.0648658024</v>
      </c>
      <c r="Z942" s="134">
        <f t="shared" si="92"/>
        <v>1474014.3334734596</v>
      </c>
      <c r="AB942" s="127">
        <f t="shared" si="93"/>
        <v>0</v>
      </c>
      <c r="AC942" s="127">
        <f t="shared" si="94"/>
        <v>1</v>
      </c>
      <c r="AD942" s="127">
        <f t="shared" si="95"/>
        <v>0</v>
      </c>
    </row>
    <row r="943" spans="1:30" x14ac:dyDescent="0.25">
      <c r="A943">
        <v>938</v>
      </c>
      <c r="C943" s="11">
        <v>1.3664960861206055E-2</v>
      </c>
      <c r="D943" s="11">
        <v>6.5034866333007813E-2</v>
      </c>
      <c r="E943" s="11">
        <v>0.4705581577591717</v>
      </c>
      <c r="F943" s="11">
        <v>0.34259812594758698</v>
      </c>
      <c r="G943" s="11">
        <v>4.9232840538024902E-2</v>
      </c>
      <c r="H943" s="40">
        <v>4.7909698252098908E-4</v>
      </c>
      <c r="I943" s="40">
        <v>1.3326239437778429</v>
      </c>
      <c r="J943" s="59">
        <v>0</v>
      </c>
      <c r="K943" s="59">
        <v>3848.1550291180611</v>
      </c>
      <c r="L943" s="59">
        <v>0</v>
      </c>
      <c r="M943" s="11">
        <v>0.86607730388641357</v>
      </c>
      <c r="N943" s="11">
        <v>0.77869868278503418</v>
      </c>
      <c r="O943" s="11">
        <v>0.24511885643005371</v>
      </c>
      <c r="Q943" s="59">
        <v>15.032591746087734</v>
      </c>
      <c r="R943" s="78">
        <v>460.31479724769054</v>
      </c>
      <c r="S943" s="78">
        <v>15.062242775483821</v>
      </c>
      <c r="T943" s="78">
        <v>610.41117127763891</v>
      </c>
      <c r="U943" s="59">
        <v>15.069476889132932</v>
      </c>
      <c r="V943" s="78">
        <v>810.90600888008612</v>
      </c>
      <c r="X943" s="134">
        <f t="shared" si="90"/>
        <v>1502798.8598115256</v>
      </c>
      <c r="Y943" s="134">
        <f t="shared" si="91"/>
        <v>1505613.8663771043</v>
      </c>
      <c r="Z943" s="134">
        <f t="shared" si="92"/>
        <v>1506136.7829044131</v>
      </c>
      <c r="AB943" s="127">
        <f t="shared" si="93"/>
        <v>0</v>
      </c>
      <c r="AC943" s="127">
        <f t="shared" si="94"/>
        <v>0</v>
      </c>
      <c r="AD943" s="127">
        <f t="shared" si="95"/>
        <v>1</v>
      </c>
    </row>
    <row r="944" spans="1:30" x14ac:dyDescent="0.25">
      <c r="A944">
        <v>939</v>
      </c>
      <c r="C944" s="11">
        <v>5.7406127452850342E-3</v>
      </c>
      <c r="D944" s="11">
        <v>6.775665283203125E-2</v>
      </c>
      <c r="E944" s="11">
        <v>0.25156582523321591</v>
      </c>
      <c r="F944" s="11">
        <v>0.18499810039291828</v>
      </c>
      <c r="G944" s="11">
        <v>5.0359010696411133E-2</v>
      </c>
      <c r="H944" s="40">
        <v>4.3203126673024074E-4</v>
      </c>
      <c r="I944" s="40">
        <v>1.519881414933751</v>
      </c>
      <c r="J944" s="59">
        <v>0</v>
      </c>
      <c r="K944" s="59">
        <v>3672.6007238030434</v>
      </c>
      <c r="L944" s="59">
        <v>0</v>
      </c>
      <c r="M944" s="11">
        <v>0.85743281245231628</v>
      </c>
      <c r="N944" s="11">
        <v>0.74888277053833008</v>
      </c>
      <c r="O944" s="11">
        <v>0.27077031135559082</v>
      </c>
      <c r="Q944" s="59">
        <v>14.963283747339458</v>
      </c>
      <c r="R944" s="78">
        <v>493.02532371523876</v>
      </c>
      <c r="S944" s="78">
        <v>15.034013820591206</v>
      </c>
      <c r="T944" s="78">
        <v>604.31551813179271</v>
      </c>
      <c r="U944" s="59">
        <v>15.040433554544592</v>
      </c>
      <c r="V944" s="78">
        <v>806.64356584168729</v>
      </c>
      <c r="X944" s="134">
        <f t="shared" si="90"/>
        <v>1495835.3494102305</v>
      </c>
      <c r="Y944" s="134">
        <f t="shared" si="91"/>
        <v>1502797.0665409889</v>
      </c>
      <c r="Z944" s="134">
        <f t="shared" si="92"/>
        <v>1503236.7118886174</v>
      </c>
      <c r="AB944" s="127">
        <f t="shared" si="93"/>
        <v>0</v>
      </c>
      <c r="AC944" s="127">
        <f t="shared" si="94"/>
        <v>0</v>
      </c>
      <c r="AD944" s="127">
        <f t="shared" si="95"/>
        <v>1</v>
      </c>
    </row>
    <row r="945" spans="1:30" x14ac:dyDescent="0.25">
      <c r="A945">
        <v>940</v>
      </c>
      <c r="C945" s="11">
        <v>6.1533749103546143E-3</v>
      </c>
      <c r="D945" s="11">
        <v>1.1605426669120789E-2</v>
      </c>
      <c r="E945" s="11">
        <v>0.2634884896289183</v>
      </c>
      <c r="F945" s="11">
        <v>0.20269322631115008</v>
      </c>
      <c r="G945" s="11">
        <v>4.5378327369689941E-2</v>
      </c>
      <c r="H945" s="40">
        <v>4.2125886812069272E-4</v>
      </c>
      <c r="I945" s="40">
        <v>1.4375331560634186</v>
      </c>
      <c r="J945" s="59">
        <v>0</v>
      </c>
      <c r="K945" s="59">
        <v>4230.4443195462227</v>
      </c>
      <c r="L945" s="59">
        <v>0</v>
      </c>
      <c r="M945" s="11">
        <v>0.82451081275939941</v>
      </c>
      <c r="N945" s="11">
        <v>0.81120860576629639</v>
      </c>
      <c r="O945" s="11">
        <v>0.35334265232086182</v>
      </c>
      <c r="Q945" s="59">
        <v>14.447722596131607</v>
      </c>
      <c r="R945" s="78">
        <v>481.37687177571064</v>
      </c>
      <c r="S945" s="78">
        <v>14.467116148268207</v>
      </c>
      <c r="T945" s="78">
        <v>602.29175441436928</v>
      </c>
      <c r="U945" s="59">
        <v>14.468742674824448</v>
      </c>
      <c r="V945" s="78">
        <v>805.93487720583198</v>
      </c>
      <c r="X945" s="134">
        <f t="shared" si="90"/>
        <v>1444290.8827413851</v>
      </c>
      <c r="Y945" s="134">
        <f t="shared" si="91"/>
        <v>1446109.3230724065</v>
      </c>
      <c r="Z945" s="134">
        <f t="shared" si="92"/>
        <v>1446068.332605239</v>
      </c>
      <c r="AB945" s="127">
        <f t="shared" si="93"/>
        <v>0</v>
      </c>
      <c r="AC945" s="127">
        <f t="shared" si="94"/>
        <v>1</v>
      </c>
      <c r="AD945" s="127">
        <f t="shared" si="95"/>
        <v>0</v>
      </c>
    </row>
    <row r="946" spans="1:30" x14ac:dyDescent="0.25">
      <c r="A946">
        <v>941</v>
      </c>
      <c r="C946" s="11">
        <v>1.0679557919502258E-2</v>
      </c>
      <c r="D946" s="11">
        <v>3.2135844230651855E-3</v>
      </c>
      <c r="E946" s="11">
        <v>0.23062734935509843</v>
      </c>
      <c r="F946" s="11">
        <v>0.12763252678311918</v>
      </c>
      <c r="G946" s="11">
        <v>6.4889192581176758E-2</v>
      </c>
      <c r="H946" s="40">
        <v>4.3765005164689389E-4</v>
      </c>
      <c r="I946" s="40">
        <v>1.4773525564802108</v>
      </c>
      <c r="J946" s="59">
        <v>0</v>
      </c>
      <c r="K946" s="59">
        <v>4142.6531970500946</v>
      </c>
      <c r="L946" s="59">
        <v>0</v>
      </c>
      <c r="M946" s="11">
        <v>0.82439088821411133</v>
      </c>
      <c r="N946" s="11">
        <v>0.7967686653137207</v>
      </c>
      <c r="O946" s="11">
        <v>0.36359214782714844</v>
      </c>
      <c r="Q946" s="59">
        <v>14.37184130705463</v>
      </c>
      <c r="R946" s="78">
        <v>502.8619130384314</v>
      </c>
      <c r="S946" s="78">
        <v>14.398116939801547</v>
      </c>
      <c r="T946" s="78">
        <v>604.46619800390317</v>
      </c>
      <c r="U946" s="59">
        <v>14.401707034463517</v>
      </c>
      <c r="V946" s="78">
        <v>802.12041920676552</v>
      </c>
      <c r="X946" s="134">
        <f t="shared" si="90"/>
        <v>1436681.2687924246</v>
      </c>
      <c r="Y946" s="134">
        <f t="shared" si="91"/>
        <v>1439207.2277821507</v>
      </c>
      <c r="Z946" s="134">
        <f t="shared" si="92"/>
        <v>1439368.5830271449</v>
      </c>
      <c r="AB946" s="127">
        <f t="shared" si="93"/>
        <v>0</v>
      </c>
      <c r="AC946" s="127">
        <f t="shared" si="94"/>
        <v>0</v>
      </c>
      <c r="AD946" s="127">
        <f t="shared" si="95"/>
        <v>1</v>
      </c>
    </row>
    <row r="947" spans="1:30" x14ac:dyDescent="0.25">
      <c r="A947">
        <v>942</v>
      </c>
      <c r="C947" s="11">
        <v>1.4765039086341858E-2</v>
      </c>
      <c r="D947" s="11">
        <v>1.9826769828796387E-2</v>
      </c>
      <c r="E947" s="11">
        <v>0.38341299788642447</v>
      </c>
      <c r="F947" s="11">
        <v>0.12632481459512257</v>
      </c>
      <c r="G947" s="11">
        <v>2.6188388466835022E-2</v>
      </c>
      <c r="H947" s="40">
        <v>4.2259776036624705E-4</v>
      </c>
      <c r="I947" s="40">
        <v>1.4864075732654285</v>
      </c>
      <c r="J947" s="59">
        <v>0</v>
      </c>
      <c r="K947" s="59">
        <v>5835.315678268671</v>
      </c>
      <c r="L947" s="59">
        <v>0</v>
      </c>
      <c r="M947" s="11">
        <v>0.90318608283996582</v>
      </c>
      <c r="N947" s="11">
        <v>0.71589004993438721</v>
      </c>
      <c r="O947" s="11">
        <v>0.30004167556762695</v>
      </c>
      <c r="Q947" s="59">
        <v>15.62867959169319</v>
      </c>
      <c r="R947" s="78">
        <v>518.45836637577452</v>
      </c>
      <c r="S947" s="78">
        <v>15.683260984160995</v>
      </c>
      <c r="T947" s="78">
        <v>627.28467873843476</v>
      </c>
      <c r="U947" s="59">
        <v>15.70645262221068</v>
      </c>
      <c r="V947" s="78">
        <v>803.98751135606278</v>
      </c>
      <c r="X947" s="134">
        <f t="shared" si="90"/>
        <v>1562349.5008029433</v>
      </c>
      <c r="Y947" s="134">
        <f t="shared" si="91"/>
        <v>1567698.8137373612</v>
      </c>
      <c r="Z947" s="134">
        <f t="shared" si="92"/>
        <v>1569841.2747097118</v>
      </c>
      <c r="AB947" s="127">
        <f t="shared" si="93"/>
        <v>0</v>
      </c>
      <c r="AC947" s="127">
        <f t="shared" si="94"/>
        <v>0</v>
      </c>
      <c r="AD947" s="127">
        <f t="shared" si="95"/>
        <v>1</v>
      </c>
    </row>
    <row r="948" spans="1:30" x14ac:dyDescent="0.25">
      <c r="A948">
        <v>943</v>
      </c>
      <c r="C948" s="11">
        <v>1.9511044025421143E-2</v>
      </c>
      <c r="D948" s="11">
        <v>5.1966428756713867E-2</v>
      </c>
      <c r="E948" s="11">
        <v>0.15076206448601673</v>
      </c>
      <c r="F948" s="11">
        <v>0.27972327479393072</v>
      </c>
      <c r="G948" s="11">
        <v>5.6134939193725586E-2</v>
      </c>
      <c r="H948" s="40">
        <v>4.2243407868570716E-4</v>
      </c>
      <c r="I948" s="40">
        <v>1.4513527468216465</v>
      </c>
      <c r="J948" s="59">
        <v>0</v>
      </c>
      <c r="K948" s="59">
        <v>3565.6383261084557</v>
      </c>
      <c r="L948" s="59">
        <v>0</v>
      </c>
      <c r="M948" s="11">
        <v>0.86388656497001648</v>
      </c>
      <c r="N948" s="11">
        <v>0.76849430799484253</v>
      </c>
      <c r="O948" s="11">
        <v>0.27928954362869263</v>
      </c>
      <c r="Q948" s="59">
        <v>14.893308423305461</v>
      </c>
      <c r="R948" s="78">
        <v>472.6010541495769</v>
      </c>
      <c r="S948" s="78">
        <v>14.951136791083959</v>
      </c>
      <c r="T948" s="78">
        <v>591.01720418656305</v>
      </c>
      <c r="U948" s="59">
        <v>14.942233035512734</v>
      </c>
      <c r="V948" s="78">
        <v>810.24904885108208</v>
      </c>
      <c r="X948" s="134">
        <f t="shared" si="90"/>
        <v>1488858.2412763964</v>
      </c>
      <c r="Y948" s="134">
        <f t="shared" si="91"/>
        <v>1494522.6619042093</v>
      </c>
      <c r="Z948" s="134">
        <f t="shared" si="92"/>
        <v>1493413.0545024222</v>
      </c>
      <c r="AB948" s="127">
        <f t="shared" si="93"/>
        <v>0</v>
      </c>
      <c r="AC948" s="127">
        <f t="shared" si="94"/>
        <v>1</v>
      </c>
      <c r="AD948" s="127">
        <f t="shared" si="95"/>
        <v>0</v>
      </c>
    </row>
    <row r="949" spans="1:30" x14ac:dyDescent="0.25">
      <c r="A949">
        <v>944</v>
      </c>
      <c r="C949" s="11">
        <v>3.0834853649139404E-2</v>
      </c>
      <c r="D949" s="11">
        <v>4.7079563140869141E-2</v>
      </c>
      <c r="E949" s="11">
        <v>0.39038151938087468</v>
      </c>
      <c r="F949" s="11">
        <v>0.26377212313362541</v>
      </c>
      <c r="G949" s="11">
        <v>4.2085230350494385E-2</v>
      </c>
      <c r="H949" s="40">
        <v>3.7720704395428846E-4</v>
      </c>
      <c r="I949" s="40">
        <v>1.5307163636561987</v>
      </c>
      <c r="J949" s="59">
        <v>0</v>
      </c>
      <c r="K949" s="59">
        <v>5268.1867964565754</v>
      </c>
      <c r="L949" s="59">
        <v>0</v>
      </c>
      <c r="M949" s="11">
        <v>0.90320062637329102</v>
      </c>
      <c r="N949" s="11">
        <v>0.80269086360931396</v>
      </c>
      <c r="O949" s="11">
        <v>0.32355284690856934</v>
      </c>
      <c r="Q949" s="59">
        <v>15.387899563026087</v>
      </c>
      <c r="R949" s="78">
        <v>515.16327973662749</v>
      </c>
      <c r="S949" s="78">
        <v>15.432560390253997</v>
      </c>
      <c r="T949" s="78">
        <v>626.86904623774944</v>
      </c>
      <c r="U949" s="59">
        <v>15.441993233131427</v>
      </c>
      <c r="V949" s="78">
        <v>820.42502283222052</v>
      </c>
      <c r="X949" s="134">
        <f t="shared" si="90"/>
        <v>1538274.7930228719</v>
      </c>
      <c r="Y949" s="134">
        <f t="shared" si="91"/>
        <v>1542629.1699791618</v>
      </c>
      <c r="Z949" s="134">
        <f t="shared" si="92"/>
        <v>1543378.8982903105</v>
      </c>
      <c r="AB949" s="127">
        <f t="shared" si="93"/>
        <v>0</v>
      </c>
      <c r="AC949" s="127">
        <f t="shared" si="94"/>
        <v>0</v>
      </c>
      <c r="AD949" s="127">
        <f t="shared" si="95"/>
        <v>1</v>
      </c>
    </row>
    <row r="950" spans="1:30" x14ac:dyDescent="0.25">
      <c r="A950">
        <v>945</v>
      </c>
      <c r="C950" s="11">
        <v>2.287524938583374E-2</v>
      </c>
      <c r="D950" s="11">
        <v>2.0905137062072754E-3</v>
      </c>
      <c r="E950" s="11">
        <v>0.2727559259325168</v>
      </c>
      <c r="F950" s="11">
        <v>0.33029544838323988</v>
      </c>
      <c r="G950" s="11">
        <v>2.7103006839752197E-2</v>
      </c>
      <c r="H950" s="40">
        <v>3.4468180758538762E-4</v>
      </c>
      <c r="I950" s="40">
        <v>1.5012934421021924</v>
      </c>
      <c r="J950" s="59">
        <v>0</v>
      </c>
      <c r="K950" s="59">
        <v>6551.1651337146759</v>
      </c>
      <c r="L950" s="59">
        <v>0</v>
      </c>
      <c r="M950" s="11">
        <v>0.82634174823760986</v>
      </c>
      <c r="N950" s="11">
        <v>0.76127117872238159</v>
      </c>
      <c r="O950" s="11">
        <v>0.32523363828659058</v>
      </c>
      <c r="Q950" s="59">
        <v>14.226554664969868</v>
      </c>
      <c r="R950" s="78">
        <v>513.41436453551978</v>
      </c>
      <c r="S950" s="78">
        <v>14.252381141485902</v>
      </c>
      <c r="T950" s="78">
        <v>611.96269355657739</v>
      </c>
      <c r="U950" s="59">
        <v>14.250310545415267</v>
      </c>
      <c r="V950" s="78">
        <v>827.87845444805544</v>
      </c>
      <c r="X950" s="134">
        <f t="shared" si="90"/>
        <v>1422142.0521324512</v>
      </c>
      <c r="Y950" s="134">
        <f t="shared" si="91"/>
        <v>1424626.1514550336</v>
      </c>
      <c r="Z950" s="134">
        <f t="shared" si="92"/>
        <v>1424203.1760870789</v>
      </c>
      <c r="AB950" s="127">
        <f t="shared" si="93"/>
        <v>0</v>
      </c>
      <c r="AC950" s="127">
        <f t="shared" si="94"/>
        <v>1</v>
      </c>
      <c r="AD950" s="127">
        <f t="shared" si="95"/>
        <v>0</v>
      </c>
    </row>
    <row r="951" spans="1:30" x14ac:dyDescent="0.25">
      <c r="A951">
        <v>946</v>
      </c>
      <c r="C951" s="11">
        <v>1.6130656003952026E-2</v>
      </c>
      <c r="D951" s="11">
        <v>2.7894258499145508E-2</v>
      </c>
      <c r="E951" s="11">
        <v>0.31163744972106477</v>
      </c>
      <c r="F951" s="11">
        <v>0.29626160573686172</v>
      </c>
      <c r="G951" s="11">
        <v>2.4584561586380005E-2</v>
      </c>
      <c r="H951" s="40">
        <v>5.3408791751814266E-4</v>
      </c>
      <c r="I951" s="40">
        <v>1.3819774369757671</v>
      </c>
      <c r="J951" s="59">
        <v>0</v>
      </c>
      <c r="K951" s="59">
        <v>5335.0743837654591</v>
      </c>
      <c r="L951" s="59">
        <v>0</v>
      </c>
      <c r="M951" s="11">
        <v>0.81646192073822021</v>
      </c>
      <c r="N951" s="11">
        <v>0.72646695375442505</v>
      </c>
      <c r="O951" s="11">
        <v>0.27002352476119995</v>
      </c>
      <c r="Q951" s="59">
        <v>14.135031839767635</v>
      </c>
      <c r="R951" s="78">
        <v>498.75179551567305</v>
      </c>
      <c r="S951" s="78">
        <v>14.171961357326541</v>
      </c>
      <c r="T951" s="78">
        <v>612.02480527133207</v>
      </c>
      <c r="U951" s="59">
        <v>14.172797576459914</v>
      </c>
      <c r="V951" s="78">
        <v>819.40355951443837</v>
      </c>
      <c r="X951" s="134">
        <f t="shared" si="90"/>
        <v>1413004.4321812477</v>
      </c>
      <c r="Y951" s="134">
        <f t="shared" si="91"/>
        <v>1416584.1109273827</v>
      </c>
      <c r="Z951" s="134">
        <f t="shared" si="92"/>
        <v>1416460.3540864768</v>
      </c>
      <c r="AB951" s="127">
        <f t="shared" si="93"/>
        <v>0</v>
      </c>
      <c r="AC951" s="127">
        <f t="shared" si="94"/>
        <v>1</v>
      </c>
      <c r="AD951" s="127">
        <f t="shared" si="95"/>
        <v>0</v>
      </c>
    </row>
    <row r="952" spans="1:30" x14ac:dyDescent="0.25">
      <c r="A952">
        <v>947</v>
      </c>
      <c r="C952" s="11">
        <v>6.4126014709472656E-2</v>
      </c>
      <c r="D952" s="11">
        <v>9.1909170150756836E-3</v>
      </c>
      <c r="E952" s="11">
        <v>0.39465031303936771</v>
      </c>
      <c r="F952" s="11">
        <v>0.20152858778982305</v>
      </c>
      <c r="G952" s="11">
        <v>4.970124363899231E-2</v>
      </c>
      <c r="H952" s="40">
        <v>3.7193525542026816E-4</v>
      </c>
      <c r="I952" s="40">
        <v>1.4350900214525777</v>
      </c>
      <c r="J952" s="59">
        <v>0</v>
      </c>
      <c r="K952" s="59">
        <v>3538.4111106395721</v>
      </c>
      <c r="L952" s="59">
        <v>0</v>
      </c>
      <c r="M952" s="11">
        <v>0.85744714736938477</v>
      </c>
      <c r="N952" s="11">
        <v>0.66294431686401367</v>
      </c>
      <c r="O952" s="11">
        <v>0.30174058675765991</v>
      </c>
      <c r="Q952" s="59">
        <v>14.110144486634494</v>
      </c>
      <c r="R952" s="78">
        <v>455.78459859035894</v>
      </c>
      <c r="S952" s="78">
        <v>14.148774121455114</v>
      </c>
      <c r="T952" s="78">
        <v>603.58714254866402</v>
      </c>
      <c r="U952" s="59">
        <v>14.161253873352502</v>
      </c>
      <c r="V952" s="78">
        <v>800.58899713765595</v>
      </c>
      <c r="X952" s="134">
        <f t="shared" si="90"/>
        <v>1410558.664064859</v>
      </c>
      <c r="Y952" s="134">
        <f t="shared" si="91"/>
        <v>1414273.8250029627</v>
      </c>
      <c r="Z952" s="134">
        <f t="shared" si="92"/>
        <v>1415324.7983381124</v>
      </c>
      <c r="AB952" s="127">
        <f t="shared" si="93"/>
        <v>0</v>
      </c>
      <c r="AC952" s="127">
        <f t="shared" si="94"/>
        <v>0</v>
      </c>
      <c r="AD952" s="127">
        <f t="shared" si="95"/>
        <v>1</v>
      </c>
    </row>
    <row r="953" spans="1:30" x14ac:dyDescent="0.25">
      <c r="A953">
        <v>948</v>
      </c>
      <c r="C953" s="11">
        <v>3.7866473197937012E-2</v>
      </c>
      <c r="D953" s="11">
        <v>2.0626664161682129E-2</v>
      </c>
      <c r="E953" s="11">
        <v>0.26736697498150497</v>
      </c>
      <c r="F953" s="11">
        <v>0.26780867822993637</v>
      </c>
      <c r="G953" s="11">
        <v>4.5621275901794434E-2</v>
      </c>
      <c r="H953" s="40">
        <v>4.9203526558275169E-4</v>
      </c>
      <c r="I953" s="40">
        <v>1.4515775420670021</v>
      </c>
      <c r="J953" s="59">
        <v>0</v>
      </c>
      <c r="K953" s="59">
        <v>5007.1231089532375</v>
      </c>
      <c r="L953" s="59">
        <v>0</v>
      </c>
      <c r="M953" s="11">
        <v>0.90528607368469238</v>
      </c>
      <c r="N953" s="11">
        <v>0.65235519409179688</v>
      </c>
      <c r="O953" s="11">
        <v>0.29119259119033813</v>
      </c>
      <c r="Q953" s="59">
        <v>15.269953391659019</v>
      </c>
      <c r="R953" s="78">
        <v>515.22377952511908</v>
      </c>
      <c r="S953" s="78">
        <v>15.353806318961642</v>
      </c>
      <c r="T953" s="78">
        <v>611.87314500607954</v>
      </c>
      <c r="U953" s="59">
        <v>15.353754950776571</v>
      </c>
      <c r="V953" s="78">
        <v>820.92717039303852</v>
      </c>
      <c r="X953" s="134">
        <f t="shared" si="90"/>
        <v>1526480.1153863769</v>
      </c>
      <c r="Y953" s="134">
        <f t="shared" si="91"/>
        <v>1534768.7587511581</v>
      </c>
      <c r="Z953" s="134">
        <f t="shared" si="92"/>
        <v>1534554.567907264</v>
      </c>
      <c r="AB953" s="127">
        <f t="shared" si="93"/>
        <v>0</v>
      </c>
      <c r="AC953" s="127">
        <f t="shared" si="94"/>
        <v>1</v>
      </c>
      <c r="AD953" s="127">
        <f t="shared" si="95"/>
        <v>0</v>
      </c>
    </row>
    <row r="954" spans="1:30" x14ac:dyDescent="0.25">
      <c r="A954">
        <v>949</v>
      </c>
      <c r="C954" s="11">
        <v>2.8199344873428345E-2</v>
      </c>
      <c r="D954" s="11">
        <v>1.0922998189926147E-2</v>
      </c>
      <c r="E954" s="11">
        <v>0.34617043066933123</v>
      </c>
      <c r="F954" s="11">
        <v>0.24291171707031861</v>
      </c>
      <c r="G954" s="11">
        <v>4.188990592956543E-2</v>
      </c>
      <c r="H954" s="40">
        <v>4.7075811844459592E-4</v>
      </c>
      <c r="I954" s="40">
        <v>1.396624134005864</v>
      </c>
      <c r="J954" s="59">
        <v>0</v>
      </c>
      <c r="K954" s="59">
        <v>6917.9991260170937</v>
      </c>
      <c r="L954" s="59">
        <v>0</v>
      </c>
      <c r="M954" s="11">
        <v>0.83450084924697876</v>
      </c>
      <c r="N954" s="11">
        <v>0.69919204711914063</v>
      </c>
      <c r="O954" s="11">
        <v>0.34694337844848633</v>
      </c>
      <c r="Q954" s="59">
        <v>14.267803615998687</v>
      </c>
      <c r="R954" s="78">
        <v>530.20508972737616</v>
      </c>
      <c r="S954" s="78">
        <v>14.304715126870748</v>
      </c>
      <c r="T954" s="78">
        <v>626.62480067708759</v>
      </c>
      <c r="U954" s="59">
        <v>14.310622543368401</v>
      </c>
      <c r="V954" s="78">
        <v>821.47202488327162</v>
      </c>
      <c r="X954" s="134">
        <f t="shared" si="90"/>
        <v>1426250.1565101412</v>
      </c>
      <c r="Y954" s="134">
        <f t="shared" si="91"/>
        <v>1429844.8878863978</v>
      </c>
      <c r="Z954" s="134">
        <f t="shared" si="92"/>
        <v>1430240.7823119569</v>
      </c>
      <c r="AB954" s="127">
        <f t="shared" si="93"/>
        <v>0</v>
      </c>
      <c r="AC954" s="127">
        <f t="shared" si="94"/>
        <v>0</v>
      </c>
      <c r="AD954" s="127">
        <f t="shared" si="95"/>
        <v>1</v>
      </c>
    </row>
    <row r="955" spans="1:30" x14ac:dyDescent="0.25">
      <c r="A955">
        <v>950</v>
      </c>
      <c r="C955" s="11">
        <v>8.462756872177124E-3</v>
      </c>
      <c r="D955" s="11">
        <v>4.0586590766906738E-2</v>
      </c>
      <c r="E955" s="11">
        <v>0.30225516058567437</v>
      </c>
      <c r="F955" s="11">
        <v>0.29656949174151387</v>
      </c>
      <c r="G955" s="11">
        <v>3.2163828611373901E-2</v>
      </c>
      <c r="H955" s="40">
        <v>5.6762755408557367E-4</v>
      </c>
      <c r="I955" s="40">
        <v>1.4399978501429</v>
      </c>
      <c r="J955" s="59">
        <v>0</v>
      </c>
      <c r="K955" s="59">
        <v>5757.7714323997498</v>
      </c>
      <c r="L955" s="59">
        <v>0</v>
      </c>
      <c r="M955" s="11">
        <v>0.83498579263687134</v>
      </c>
      <c r="N955" s="11">
        <v>0.7642819881439209</v>
      </c>
      <c r="O955" s="11">
        <v>0.32159936428070068</v>
      </c>
      <c r="Q955" s="59">
        <v>14.557571632188946</v>
      </c>
      <c r="R955" s="78">
        <v>542.55322993567711</v>
      </c>
      <c r="S955" s="78">
        <v>14.603580399872236</v>
      </c>
      <c r="T955" s="78">
        <v>624.58514977626248</v>
      </c>
      <c r="U955" s="59">
        <v>14.603962008316769</v>
      </c>
      <c r="V955" s="78">
        <v>832.7332033570068</v>
      </c>
      <c r="X955" s="134">
        <f t="shared" si="90"/>
        <v>1455214.6099889588</v>
      </c>
      <c r="Y955" s="134">
        <f t="shared" si="91"/>
        <v>1459733.4548374475</v>
      </c>
      <c r="Z955" s="134">
        <f t="shared" si="92"/>
        <v>1459563.4676283197</v>
      </c>
      <c r="AB955" s="127">
        <f t="shared" si="93"/>
        <v>0</v>
      </c>
      <c r="AC955" s="127">
        <f t="shared" si="94"/>
        <v>1</v>
      </c>
      <c r="AD955" s="127">
        <f t="shared" si="95"/>
        <v>0</v>
      </c>
    </row>
    <row r="956" spans="1:30" x14ac:dyDescent="0.25">
      <c r="A956">
        <v>951</v>
      </c>
      <c r="C956" s="11">
        <v>1.9938558340072632E-2</v>
      </c>
      <c r="D956" s="11">
        <v>4.0580630302429199E-3</v>
      </c>
      <c r="E956" s="11">
        <v>0.24380228028985892</v>
      </c>
      <c r="F956" s="11">
        <v>0.28004595843434471</v>
      </c>
      <c r="G956" s="11">
        <v>1.7776727676391602E-2</v>
      </c>
      <c r="H956" s="40">
        <v>3.4806044994980579E-4</v>
      </c>
      <c r="I956" s="40">
        <v>1.5135805180694331</v>
      </c>
      <c r="J956" s="59">
        <v>0</v>
      </c>
      <c r="K956" s="59">
        <v>4985.2021038532257</v>
      </c>
      <c r="L956" s="59">
        <v>0</v>
      </c>
      <c r="M956" s="11">
        <v>0.85263055562973022</v>
      </c>
      <c r="N956" s="11">
        <v>0.69113481044769287</v>
      </c>
      <c r="O956" s="11">
        <v>0.35870909690856934</v>
      </c>
      <c r="Q956" s="59">
        <v>14.696673866164923</v>
      </c>
      <c r="R956" s="78">
        <v>484.26226599846768</v>
      </c>
      <c r="S956" s="78">
        <v>14.744496507508009</v>
      </c>
      <c r="T956" s="78">
        <v>601.29983973307287</v>
      </c>
      <c r="U956" s="59">
        <v>14.742171775733757</v>
      </c>
      <c r="V956" s="78">
        <v>813.59857576648824</v>
      </c>
      <c r="X956" s="134">
        <f t="shared" si="90"/>
        <v>1469183.124350494</v>
      </c>
      <c r="Y956" s="134">
        <f t="shared" si="91"/>
        <v>1473848.3509110678</v>
      </c>
      <c r="Z956" s="134">
        <f t="shared" si="92"/>
        <v>1473403.5789976092</v>
      </c>
      <c r="AB956" s="127">
        <f t="shared" si="93"/>
        <v>0</v>
      </c>
      <c r="AC956" s="127">
        <f t="shared" si="94"/>
        <v>1</v>
      </c>
      <c r="AD956" s="127">
        <f t="shared" si="95"/>
        <v>0</v>
      </c>
    </row>
    <row r="957" spans="1:30" x14ac:dyDescent="0.25">
      <c r="A957">
        <v>952</v>
      </c>
      <c r="C957" s="11">
        <v>2.448660135269165E-2</v>
      </c>
      <c r="D957" s="11">
        <v>2.5904864072799683E-2</v>
      </c>
      <c r="E957" s="11">
        <v>0.2985516883413652</v>
      </c>
      <c r="F957" s="11">
        <v>0.40097685338254424</v>
      </c>
      <c r="G957" s="11">
        <v>1.0876059532165527E-2</v>
      </c>
      <c r="H957" s="40">
        <v>5.3396437503818546E-4</v>
      </c>
      <c r="I957" s="40">
        <v>1.4055722051538428</v>
      </c>
      <c r="J957" s="59">
        <v>0</v>
      </c>
      <c r="K957" s="59">
        <v>5169.290816411376</v>
      </c>
      <c r="L957" s="59">
        <v>0</v>
      </c>
      <c r="M957" s="11">
        <v>0.84472334384918213</v>
      </c>
      <c r="N957" s="11">
        <v>0.78837966918945313</v>
      </c>
      <c r="O957" s="11">
        <v>0.28789740800857544</v>
      </c>
      <c r="Q957" s="59">
        <v>14.510618715844782</v>
      </c>
      <c r="R957" s="78">
        <v>493.19346474622006</v>
      </c>
      <c r="S957" s="78">
        <v>14.541877480304892</v>
      </c>
      <c r="T957" s="78">
        <v>609.00273225183764</v>
      </c>
      <c r="U957" s="59">
        <v>14.537253127821007</v>
      </c>
      <c r="V957" s="78">
        <v>828.21893908222432</v>
      </c>
      <c r="X957" s="134">
        <f t="shared" si="90"/>
        <v>1450568.6781197318</v>
      </c>
      <c r="Y957" s="134">
        <f t="shared" si="91"/>
        <v>1453578.7452982375</v>
      </c>
      <c r="Z957" s="134">
        <f t="shared" si="92"/>
        <v>1452897.0938430184</v>
      </c>
      <c r="AB957" s="127">
        <f t="shared" si="93"/>
        <v>0</v>
      </c>
      <c r="AC957" s="127">
        <f t="shared" si="94"/>
        <v>1</v>
      </c>
      <c r="AD957" s="127">
        <f t="shared" si="95"/>
        <v>0</v>
      </c>
    </row>
    <row r="958" spans="1:30" x14ac:dyDescent="0.25">
      <c r="A958">
        <v>953</v>
      </c>
      <c r="C958" s="11">
        <v>4.5533418655395508E-2</v>
      </c>
      <c r="D958" s="11">
        <v>1.4388978481292725E-2</v>
      </c>
      <c r="E958" s="11">
        <v>0.32197277269025454</v>
      </c>
      <c r="F958" s="11">
        <v>0.18957942985480067</v>
      </c>
      <c r="G958" s="11">
        <v>8.2560062408447266E-2</v>
      </c>
      <c r="H958" s="40">
        <v>4.7043806785768128E-4</v>
      </c>
      <c r="I958" s="40">
        <v>1.3916036173053139</v>
      </c>
      <c r="J958" s="59">
        <v>0</v>
      </c>
      <c r="K958" s="59">
        <v>7533.244788646698</v>
      </c>
      <c r="L958" s="59">
        <v>0</v>
      </c>
      <c r="M958" s="11">
        <v>0.91117525100708008</v>
      </c>
      <c r="N958" s="11">
        <v>0.75734442472457886</v>
      </c>
      <c r="O958" s="11">
        <v>0.32586979866027832</v>
      </c>
      <c r="Q958" s="59">
        <v>15.292719860368699</v>
      </c>
      <c r="R958" s="78">
        <v>565.8318946359492</v>
      </c>
      <c r="S958" s="78">
        <v>15.339279545176808</v>
      </c>
      <c r="T958" s="78">
        <v>634.8748153937164</v>
      </c>
      <c r="U958" s="59">
        <v>15.348498146933991</v>
      </c>
      <c r="V958" s="78">
        <v>820.96330269284908</v>
      </c>
      <c r="X958" s="134">
        <f t="shared" si="90"/>
        <v>1528706.154142234</v>
      </c>
      <c r="Y958" s="134">
        <f t="shared" si="91"/>
        <v>1533293.0797022872</v>
      </c>
      <c r="Z958" s="134">
        <f t="shared" si="92"/>
        <v>1534028.8513907064</v>
      </c>
      <c r="AB958" s="127">
        <f t="shared" si="93"/>
        <v>0</v>
      </c>
      <c r="AC958" s="127">
        <f t="shared" si="94"/>
        <v>0</v>
      </c>
      <c r="AD958" s="127">
        <f t="shared" si="95"/>
        <v>1</v>
      </c>
    </row>
    <row r="959" spans="1:30" x14ac:dyDescent="0.25">
      <c r="A959">
        <v>954</v>
      </c>
      <c r="C959" s="11">
        <v>1.9262790679931641E-2</v>
      </c>
      <c r="D959" s="11">
        <v>3.2127320766448975E-2</v>
      </c>
      <c r="E959" s="11">
        <v>0.20832340760890067</v>
      </c>
      <c r="F959" s="11">
        <v>0.19895813643643373</v>
      </c>
      <c r="G959" s="11">
        <v>5.0379633903503418E-2</v>
      </c>
      <c r="H959" s="40">
        <v>5.8217548683341862E-4</v>
      </c>
      <c r="I959" s="40">
        <v>1.4301574900222549</v>
      </c>
      <c r="J959" s="59">
        <v>0</v>
      </c>
      <c r="K959" s="59">
        <v>4972.9808233678341</v>
      </c>
      <c r="L959" s="59">
        <v>0</v>
      </c>
      <c r="M959" s="11">
        <v>0.8360474705696106</v>
      </c>
      <c r="N959" s="11">
        <v>0.78245490789413452</v>
      </c>
      <c r="O959" s="11">
        <v>0.37359428405761719</v>
      </c>
      <c r="Q959" s="59">
        <v>14.425530148910248</v>
      </c>
      <c r="R959" s="78">
        <v>532.73795701734457</v>
      </c>
      <c r="S959" s="78">
        <v>14.470887207079155</v>
      </c>
      <c r="T959" s="78">
        <v>608.38962893314294</v>
      </c>
      <c r="U959" s="59">
        <v>14.471434593688414</v>
      </c>
      <c r="V959" s="78">
        <v>816.07399735208412</v>
      </c>
      <c r="X959" s="134">
        <f t="shared" si="90"/>
        <v>1442020.2769340074</v>
      </c>
      <c r="Y959" s="134">
        <f t="shared" si="91"/>
        <v>1446480.3310789824</v>
      </c>
      <c r="Z959" s="134">
        <f t="shared" si="92"/>
        <v>1446327.3853714895</v>
      </c>
      <c r="AB959" s="127">
        <f t="shared" si="93"/>
        <v>0</v>
      </c>
      <c r="AC959" s="127">
        <f t="shared" si="94"/>
        <v>1</v>
      </c>
      <c r="AD959" s="127">
        <f t="shared" si="95"/>
        <v>0</v>
      </c>
    </row>
    <row r="960" spans="1:30" x14ac:dyDescent="0.25">
      <c r="A960">
        <v>955</v>
      </c>
      <c r="C960" s="11">
        <v>1.2118950486183167E-2</v>
      </c>
      <c r="D960" s="11">
        <v>3.5096168518066406E-2</v>
      </c>
      <c r="E960" s="11">
        <v>0.1962364219300862</v>
      </c>
      <c r="F960" s="11">
        <v>7.744933375604425E-2</v>
      </c>
      <c r="G960" s="11">
        <v>2.4978727102279663E-2</v>
      </c>
      <c r="H960" s="40">
        <v>5.8774869643035742E-4</v>
      </c>
      <c r="I960" s="40">
        <v>1.4147699169687562</v>
      </c>
      <c r="J960" s="59">
        <v>0</v>
      </c>
      <c r="K960" s="59">
        <v>3152.6479870080948</v>
      </c>
      <c r="L960" s="59">
        <v>0</v>
      </c>
      <c r="M960" s="11">
        <v>0.86217164993286133</v>
      </c>
      <c r="N960" s="11">
        <v>0.72895103693008423</v>
      </c>
      <c r="O960" s="11">
        <v>0.27306246757507324</v>
      </c>
      <c r="Q960" s="59">
        <v>14.959324815861855</v>
      </c>
      <c r="R960" s="78">
        <v>469.10123814163984</v>
      </c>
      <c r="S960" s="78">
        <v>15.027447702557399</v>
      </c>
      <c r="T960" s="78">
        <v>593.98527241786849</v>
      </c>
      <c r="U960" s="59">
        <v>15.037736516893794</v>
      </c>
      <c r="V960" s="78">
        <v>793.92899333532887</v>
      </c>
      <c r="X960" s="134">
        <f t="shared" si="90"/>
        <v>1495463.380348044</v>
      </c>
      <c r="Y960" s="134">
        <f t="shared" si="91"/>
        <v>1502150.7849833223</v>
      </c>
      <c r="Z960" s="134">
        <f t="shared" si="92"/>
        <v>1502979.7226960442</v>
      </c>
      <c r="AB960" s="127">
        <f t="shared" si="93"/>
        <v>0</v>
      </c>
      <c r="AC960" s="127">
        <f t="shared" si="94"/>
        <v>0</v>
      </c>
      <c r="AD960" s="127">
        <f t="shared" si="95"/>
        <v>1</v>
      </c>
    </row>
    <row r="961" spans="1:30" x14ac:dyDescent="0.25">
      <c r="A961">
        <v>956</v>
      </c>
      <c r="C961" s="11">
        <v>2.8917610645294189E-2</v>
      </c>
      <c r="D961" s="11">
        <v>9.2157870531082153E-3</v>
      </c>
      <c r="E961" s="11">
        <v>0.23196189004349441</v>
      </c>
      <c r="F961" s="11">
        <v>0.11271967986916372</v>
      </c>
      <c r="G961" s="11">
        <v>4.3316066265106201E-2</v>
      </c>
      <c r="H961" s="40">
        <v>5.5013944679671654E-4</v>
      </c>
      <c r="I961" s="40">
        <v>1.3886722467454033</v>
      </c>
      <c r="J961" s="59">
        <v>0</v>
      </c>
      <c r="K961" s="59">
        <v>5070.8604976534843</v>
      </c>
      <c r="L961" s="59">
        <v>0</v>
      </c>
      <c r="M961" s="11">
        <v>0.86654758453369141</v>
      </c>
      <c r="N961" s="11">
        <v>0.74672341346740723</v>
      </c>
      <c r="O961" s="11">
        <v>0.32158291339874268</v>
      </c>
      <c r="Q961" s="59">
        <v>14.801289718391809</v>
      </c>
      <c r="R961" s="78">
        <v>508.55337484885155</v>
      </c>
      <c r="S961" s="78">
        <v>14.849003405826354</v>
      </c>
      <c r="T961" s="78">
        <v>605.92909608088985</v>
      </c>
      <c r="U961" s="59">
        <v>14.856545227905087</v>
      </c>
      <c r="V961" s="78">
        <v>801.11326268909249</v>
      </c>
      <c r="X961" s="134">
        <f t="shared" si="90"/>
        <v>1479620.4184643321</v>
      </c>
      <c r="Y961" s="134">
        <f t="shared" si="91"/>
        <v>1484294.4114865544</v>
      </c>
      <c r="Z961" s="134">
        <f t="shared" si="92"/>
        <v>1484853.4095278196</v>
      </c>
      <c r="AB961" s="127">
        <f t="shared" si="93"/>
        <v>0</v>
      </c>
      <c r="AC961" s="127">
        <f t="shared" si="94"/>
        <v>0</v>
      </c>
      <c r="AD961" s="127">
        <f t="shared" si="95"/>
        <v>1</v>
      </c>
    </row>
    <row r="962" spans="1:30" x14ac:dyDescent="0.25">
      <c r="A962">
        <v>957</v>
      </c>
      <c r="C962" s="11">
        <v>1.3215601444244385E-2</v>
      </c>
      <c r="D962" s="11">
        <v>1.063220202922821E-2</v>
      </c>
      <c r="E962" s="11">
        <v>0.36417621493483637</v>
      </c>
      <c r="F962" s="11">
        <v>0.17504923805943109</v>
      </c>
      <c r="G962" s="11">
        <v>2.4279117584228516E-2</v>
      </c>
      <c r="H962" s="40">
        <v>4.7415324419298587E-4</v>
      </c>
      <c r="I962" s="40">
        <v>1.368493127347193</v>
      </c>
      <c r="J962" s="59">
        <v>0</v>
      </c>
      <c r="K962" s="59">
        <v>4386.8133798241615</v>
      </c>
      <c r="L962" s="59">
        <v>0</v>
      </c>
      <c r="M962" s="11">
        <v>0.8566037118434906</v>
      </c>
      <c r="N962" s="11">
        <v>0.83232021331787109</v>
      </c>
      <c r="O962" s="11">
        <v>0.35071492195129395</v>
      </c>
      <c r="Q962" s="59">
        <v>14.905676211524552</v>
      </c>
      <c r="R962" s="78">
        <v>467.99415453836326</v>
      </c>
      <c r="S962" s="78">
        <v>14.921500112174318</v>
      </c>
      <c r="T962" s="78">
        <v>606.19233466141861</v>
      </c>
      <c r="U962" s="59">
        <v>14.926276096972542</v>
      </c>
      <c r="V962" s="78">
        <v>801.10605468576739</v>
      </c>
      <c r="X962" s="134">
        <f t="shared" si="90"/>
        <v>1490099.626997917</v>
      </c>
      <c r="Y962" s="134">
        <f t="shared" si="91"/>
        <v>1491543.8188827704</v>
      </c>
      <c r="Z962" s="134">
        <f t="shared" si="92"/>
        <v>1491826.5036425684</v>
      </c>
      <c r="AB962" s="127">
        <f t="shared" si="93"/>
        <v>0</v>
      </c>
      <c r="AC962" s="127">
        <f t="shared" si="94"/>
        <v>0</v>
      </c>
      <c r="AD962" s="127">
        <f t="shared" si="95"/>
        <v>1</v>
      </c>
    </row>
    <row r="963" spans="1:30" x14ac:dyDescent="0.25">
      <c r="A963">
        <v>958</v>
      </c>
      <c r="C963" s="11">
        <v>6.1815381050109863E-3</v>
      </c>
      <c r="D963" s="11">
        <v>3.2726079225540161E-2</v>
      </c>
      <c r="E963" s="11">
        <v>0.18532859532122015</v>
      </c>
      <c r="F963" s="11">
        <v>0.541108648147691</v>
      </c>
      <c r="G963" s="11">
        <v>2.9877752065658569E-2</v>
      </c>
      <c r="H963" s="40">
        <v>4.1246448572419098E-4</v>
      </c>
      <c r="I963" s="40">
        <v>1.4638475328143195</v>
      </c>
      <c r="J963" s="59">
        <v>0</v>
      </c>
      <c r="K963" s="59">
        <v>4531.0519635677338</v>
      </c>
      <c r="L963" s="59">
        <v>0</v>
      </c>
      <c r="M963" s="11">
        <v>0.84972620010375977</v>
      </c>
      <c r="N963" s="11">
        <v>0.75155061483383179</v>
      </c>
      <c r="O963" s="11">
        <v>0.31193062663078308</v>
      </c>
      <c r="Q963" s="59">
        <v>14.858008019580808</v>
      </c>
      <c r="R963" s="78">
        <v>484.78914782890632</v>
      </c>
      <c r="S963" s="78">
        <v>14.905421966462928</v>
      </c>
      <c r="T963" s="78">
        <v>596.06348821292693</v>
      </c>
      <c r="U963" s="59">
        <v>14.884526434010827</v>
      </c>
      <c r="V963" s="78">
        <v>837.51543474652942</v>
      </c>
      <c r="X963" s="134">
        <f t="shared" si="90"/>
        <v>1485316.0128102519</v>
      </c>
      <c r="Y963" s="134">
        <f t="shared" si="91"/>
        <v>1489946.1331580798</v>
      </c>
      <c r="Z963" s="134">
        <f t="shared" si="92"/>
        <v>1487615.127966336</v>
      </c>
      <c r="AB963" s="127">
        <f t="shared" si="93"/>
        <v>0</v>
      </c>
      <c r="AC963" s="127">
        <f t="shared" si="94"/>
        <v>1</v>
      </c>
      <c r="AD963" s="127">
        <f t="shared" si="95"/>
        <v>0</v>
      </c>
    </row>
    <row r="964" spans="1:30" x14ac:dyDescent="0.25">
      <c r="A964">
        <v>959</v>
      </c>
      <c r="C964" s="11">
        <v>3.1331777572631836E-3</v>
      </c>
      <c r="D964" s="11">
        <v>5.1621496677398682E-3</v>
      </c>
      <c r="E964" s="11">
        <v>0.23139720083828219</v>
      </c>
      <c r="F964" s="11">
        <v>0.15046897930074307</v>
      </c>
      <c r="G964" s="11">
        <v>3.1299620866775513E-2</v>
      </c>
      <c r="H964" s="40">
        <v>5.2688119420031781E-4</v>
      </c>
      <c r="I964" s="40">
        <v>1.4592836045530011</v>
      </c>
      <c r="J964" s="59">
        <v>0</v>
      </c>
      <c r="K964" s="59">
        <v>2833.6327522993088</v>
      </c>
      <c r="L964" s="59">
        <v>0</v>
      </c>
      <c r="M964" s="11">
        <v>0.78870296478271484</v>
      </c>
      <c r="N964" s="11">
        <v>0.72703653573989868</v>
      </c>
      <c r="O964" s="11">
        <v>0.3125920295715332</v>
      </c>
      <c r="Q964" s="59">
        <v>13.839833876185788</v>
      </c>
      <c r="R964" s="78">
        <v>466.44290197352609</v>
      </c>
      <c r="S964" s="78">
        <v>13.876377161959054</v>
      </c>
      <c r="T964" s="78">
        <v>596.04275131838574</v>
      </c>
      <c r="U964" s="59">
        <v>13.88031016151508</v>
      </c>
      <c r="V964" s="78">
        <v>799.10174290957582</v>
      </c>
      <c r="X964" s="134">
        <f t="shared" si="90"/>
        <v>1383516.9447166051</v>
      </c>
      <c r="Y964" s="134">
        <f t="shared" si="91"/>
        <v>1387041.673444587</v>
      </c>
      <c r="Z964" s="134">
        <f t="shared" si="92"/>
        <v>1387231.9144085986</v>
      </c>
      <c r="AB964" s="127">
        <f t="shared" si="93"/>
        <v>0</v>
      </c>
      <c r="AC964" s="127">
        <f t="shared" si="94"/>
        <v>0</v>
      </c>
      <c r="AD964" s="127">
        <f t="shared" si="95"/>
        <v>1</v>
      </c>
    </row>
    <row r="965" spans="1:30" x14ac:dyDescent="0.25">
      <c r="A965">
        <v>960</v>
      </c>
      <c r="C965" s="11">
        <v>2.3009598255157471E-2</v>
      </c>
      <c r="D965" s="11">
        <v>4.1546940803527832E-2</v>
      </c>
      <c r="E965" s="11">
        <v>0.21190803396883748</v>
      </c>
      <c r="F965" s="11">
        <v>0.21182452845305974</v>
      </c>
      <c r="G965" s="11">
        <v>5.0382763147354126E-2</v>
      </c>
      <c r="H965" s="40">
        <v>5.6721194641740384E-4</v>
      </c>
      <c r="I965" s="40">
        <v>1.3135555747333363</v>
      </c>
      <c r="J965" s="59">
        <v>0</v>
      </c>
      <c r="K965" s="59">
        <v>6075.715646147728</v>
      </c>
      <c r="L965" s="59">
        <v>0</v>
      </c>
      <c r="M965" s="11">
        <v>0.85040140151977539</v>
      </c>
      <c r="N965" s="11">
        <v>0.71794766187667847</v>
      </c>
      <c r="O965" s="11">
        <v>0.30364760756492615</v>
      </c>
      <c r="Q965" s="59">
        <v>14.611771844595541</v>
      </c>
      <c r="R965" s="78">
        <v>511.52771996531175</v>
      </c>
      <c r="S965" s="78">
        <v>14.661828838202718</v>
      </c>
      <c r="T965" s="78">
        <v>604.17656294574351</v>
      </c>
      <c r="U965" s="59">
        <v>14.661834208050584</v>
      </c>
      <c r="V965" s="78">
        <v>813.16667078479543</v>
      </c>
      <c r="X965" s="134">
        <f t="shared" si="90"/>
        <v>1460665.6567395888</v>
      </c>
      <c r="Y965" s="134">
        <f t="shared" si="91"/>
        <v>1465578.707257326</v>
      </c>
      <c r="Z965" s="134">
        <f t="shared" si="92"/>
        <v>1465370.2541342736</v>
      </c>
      <c r="AB965" s="127">
        <f t="shared" si="93"/>
        <v>0</v>
      </c>
      <c r="AC965" s="127">
        <f t="shared" si="94"/>
        <v>1</v>
      </c>
      <c r="AD965" s="127">
        <f t="shared" si="95"/>
        <v>0</v>
      </c>
    </row>
    <row r="966" spans="1:30" x14ac:dyDescent="0.25">
      <c r="A966">
        <v>961</v>
      </c>
      <c r="C966" s="11">
        <v>3.3649712800979614E-2</v>
      </c>
      <c r="D966" s="11">
        <v>9.9466890096664429E-3</v>
      </c>
      <c r="E966" s="11">
        <v>0.2146846559238143</v>
      </c>
      <c r="F966" s="11">
        <v>7.0086135077210468E-2</v>
      </c>
      <c r="G966" s="11">
        <v>5.7046592235565186E-2</v>
      </c>
      <c r="H966" s="40">
        <v>6.1225807389675663E-4</v>
      </c>
      <c r="I966" s="40">
        <v>1.4942667799914828</v>
      </c>
      <c r="J966" s="59">
        <v>0</v>
      </c>
      <c r="K966" s="59">
        <v>7758.75523686409</v>
      </c>
      <c r="L966" s="59">
        <v>0</v>
      </c>
      <c r="M966" s="11">
        <v>0.87841939926147461</v>
      </c>
      <c r="N966" s="11">
        <v>0.75066143274307251</v>
      </c>
      <c r="O966" s="11">
        <v>0.36633157730102539</v>
      </c>
      <c r="Q966" s="59">
        <v>14.895771739863759</v>
      </c>
      <c r="R966" s="78">
        <v>673.3807405389523</v>
      </c>
      <c r="S966" s="78">
        <v>14.972308671758734</v>
      </c>
      <c r="T966" s="78">
        <v>640.28825131499775</v>
      </c>
      <c r="U966" s="59">
        <v>14.986831042481361</v>
      </c>
      <c r="V966" s="78">
        <v>808.08886154138565</v>
      </c>
      <c r="X966" s="134">
        <f t="shared" si="90"/>
        <v>1488903.7932458371</v>
      </c>
      <c r="Y966" s="134">
        <f t="shared" si="91"/>
        <v>1496590.5789245584</v>
      </c>
      <c r="Z966" s="134">
        <f t="shared" si="92"/>
        <v>1497875.0153865947</v>
      </c>
      <c r="AB966" s="127">
        <f t="shared" si="93"/>
        <v>0</v>
      </c>
      <c r="AC966" s="127">
        <f t="shared" si="94"/>
        <v>0</v>
      </c>
      <c r="AD966" s="127">
        <f t="shared" si="95"/>
        <v>1</v>
      </c>
    </row>
    <row r="967" spans="1:30" x14ac:dyDescent="0.25">
      <c r="A967">
        <v>962</v>
      </c>
      <c r="C967" s="11">
        <v>2.477651834487915E-2</v>
      </c>
      <c r="D967" s="11">
        <v>1.0158702731132507E-2</v>
      </c>
      <c r="E967" s="11">
        <v>0.35935105928677047</v>
      </c>
      <c r="F967" s="11">
        <v>6.7305472094800353E-2</v>
      </c>
      <c r="G967" s="11">
        <v>1.2182116508483887E-2</v>
      </c>
      <c r="H967" s="40">
        <v>4.6241791656306439E-4</v>
      </c>
      <c r="I967" s="40">
        <v>1.4279389370040538</v>
      </c>
      <c r="J967" s="59">
        <v>0</v>
      </c>
      <c r="K967" s="59">
        <v>3168.2848930358887</v>
      </c>
      <c r="L967" s="59">
        <v>0</v>
      </c>
      <c r="M967" s="11">
        <v>0.85372918844223022</v>
      </c>
      <c r="N967" s="11">
        <v>0.80330753326416016</v>
      </c>
      <c r="O967" s="11">
        <v>0.3164554238319397</v>
      </c>
      <c r="Q967" s="59">
        <v>14.670811066093334</v>
      </c>
      <c r="R967" s="78">
        <v>450.84219044632152</v>
      </c>
      <c r="S967" s="78">
        <v>14.693366102067147</v>
      </c>
      <c r="T967" s="78">
        <v>599.65478606731244</v>
      </c>
      <c r="U967" s="59">
        <v>14.703849916990734</v>
      </c>
      <c r="V967" s="78">
        <v>791.88838457235033</v>
      </c>
      <c r="X967" s="134">
        <f t="shared" si="90"/>
        <v>1466630.264418887</v>
      </c>
      <c r="Y967" s="134">
        <f t="shared" si="91"/>
        <v>1468736.9554206473</v>
      </c>
      <c r="Z967" s="134">
        <f t="shared" si="92"/>
        <v>1469593.103314501</v>
      </c>
      <c r="AB967" s="127">
        <f t="shared" si="93"/>
        <v>0</v>
      </c>
      <c r="AC967" s="127">
        <f t="shared" si="94"/>
        <v>0</v>
      </c>
      <c r="AD967" s="127">
        <f t="shared" si="95"/>
        <v>1</v>
      </c>
    </row>
    <row r="968" spans="1:30" x14ac:dyDescent="0.25">
      <c r="A968">
        <v>963</v>
      </c>
      <c r="C968" s="11">
        <v>5.8566182851791382E-3</v>
      </c>
      <c r="D968" s="11">
        <v>7.7258795499801636E-3</v>
      </c>
      <c r="E968" s="11">
        <v>0.17539767035806009</v>
      </c>
      <c r="F968" s="11">
        <v>0.31964946973516362</v>
      </c>
      <c r="G968" s="11">
        <v>3.1687140464782715E-2</v>
      </c>
      <c r="H968" s="40">
        <v>3.7025542209739469E-4</v>
      </c>
      <c r="I968" s="40">
        <v>1.4668663739049523</v>
      </c>
      <c r="J968" s="59">
        <v>0</v>
      </c>
      <c r="K968" s="59">
        <v>5489.2571642994881</v>
      </c>
      <c r="L968" s="59">
        <v>0</v>
      </c>
      <c r="M968" s="11">
        <v>0.8308681845664978</v>
      </c>
      <c r="N968" s="11">
        <v>0.84768104553222656</v>
      </c>
      <c r="O968" s="11">
        <v>0.32142478227615356</v>
      </c>
      <c r="Q968" s="59">
        <v>14.573816484866242</v>
      </c>
      <c r="R968" s="78">
        <v>495.32509571678401</v>
      </c>
      <c r="S968" s="78">
        <v>14.587235282592518</v>
      </c>
      <c r="T968" s="78">
        <v>597.00207052922735</v>
      </c>
      <c r="U968" s="59">
        <v>14.584852816049869</v>
      </c>
      <c r="V968" s="78">
        <v>820.73344627476627</v>
      </c>
      <c r="X968" s="134">
        <f t="shared" si="90"/>
        <v>1456886.3233909074</v>
      </c>
      <c r="Y968" s="134">
        <f t="shared" si="91"/>
        <v>1458126.5261887226</v>
      </c>
      <c r="Z968" s="134">
        <f t="shared" si="92"/>
        <v>1457664.5481587122</v>
      </c>
      <c r="AB968" s="127">
        <f t="shared" si="93"/>
        <v>0</v>
      </c>
      <c r="AC968" s="127">
        <f t="shared" si="94"/>
        <v>1</v>
      </c>
      <c r="AD968" s="127">
        <f t="shared" si="95"/>
        <v>0</v>
      </c>
    </row>
    <row r="969" spans="1:30" x14ac:dyDescent="0.25">
      <c r="A969">
        <v>964</v>
      </c>
      <c r="C969" s="11">
        <v>5.9823691844940186E-3</v>
      </c>
      <c r="D969" s="11">
        <v>1.5028774738311768E-2</v>
      </c>
      <c r="E969" s="11">
        <v>0.4552470793083862</v>
      </c>
      <c r="F969" s="11">
        <v>0.17398833288911839</v>
      </c>
      <c r="G969" s="11">
        <v>8.1497669219970703E-2</v>
      </c>
      <c r="H969" s="40">
        <v>6.0393693608087429E-4</v>
      </c>
      <c r="I969" s="40">
        <v>1.4783808211966063</v>
      </c>
      <c r="J969" s="59">
        <v>0</v>
      </c>
      <c r="K969" s="59">
        <v>5024.7530452907085</v>
      </c>
      <c r="L969" s="59">
        <v>0</v>
      </c>
      <c r="M969" s="11">
        <v>0.79543614387512207</v>
      </c>
      <c r="N969" s="11">
        <v>0.71943807601928711</v>
      </c>
      <c r="O969" s="11">
        <v>0.28151547908782959</v>
      </c>
      <c r="Q969" s="59">
        <v>13.886025531906691</v>
      </c>
      <c r="R969" s="78">
        <v>588.2246205497562</v>
      </c>
      <c r="S969" s="78">
        <v>13.929087937803001</v>
      </c>
      <c r="T969" s="78">
        <v>668.64074991505106</v>
      </c>
      <c r="U969" s="59">
        <v>13.951889721512515</v>
      </c>
      <c r="V969" s="78">
        <v>822.50495679893083</v>
      </c>
      <c r="X969" s="134">
        <f t="shared" si="90"/>
        <v>1388014.3285701193</v>
      </c>
      <c r="Y969" s="134">
        <f t="shared" si="91"/>
        <v>1392240.153030385</v>
      </c>
      <c r="Z969" s="134">
        <f t="shared" si="92"/>
        <v>1394366.4671944526</v>
      </c>
      <c r="AB969" s="127">
        <f t="shared" si="93"/>
        <v>0</v>
      </c>
      <c r="AC969" s="127">
        <f t="shared" si="94"/>
        <v>0</v>
      </c>
      <c r="AD969" s="127">
        <f t="shared" si="95"/>
        <v>1</v>
      </c>
    </row>
    <row r="970" spans="1:30" x14ac:dyDescent="0.25">
      <c r="A970">
        <v>965</v>
      </c>
      <c r="C970" s="11">
        <v>3.4769058227539063E-2</v>
      </c>
      <c r="D970" s="11">
        <v>2.6754319667816162E-2</v>
      </c>
      <c r="E970" s="11">
        <v>0.31965485323638948</v>
      </c>
      <c r="F970" s="11">
        <v>0.16429185493826587</v>
      </c>
      <c r="G970" s="11">
        <v>2.3319870233535767E-2</v>
      </c>
      <c r="H970" s="40">
        <v>4.4028814241163955E-4</v>
      </c>
      <c r="I970" s="40">
        <v>1.5245794310377876</v>
      </c>
      <c r="J970" s="59">
        <v>0</v>
      </c>
      <c r="K970" s="59">
        <v>5703.4171186387539</v>
      </c>
      <c r="L970" s="59">
        <v>0</v>
      </c>
      <c r="M970" s="11">
        <v>0.84241342544555664</v>
      </c>
      <c r="N970" s="11">
        <v>0.70998525619506836</v>
      </c>
      <c r="O970" s="11">
        <v>0.27543449401855469</v>
      </c>
      <c r="Q970" s="59">
        <v>14.280510740820633</v>
      </c>
      <c r="R970" s="78">
        <v>530.08708350828942</v>
      </c>
      <c r="S970" s="78">
        <v>14.335937710668118</v>
      </c>
      <c r="T970" s="78">
        <v>623.18158675831035</v>
      </c>
      <c r="U970" s="59">
        <v>14.348874354044035</v>
      </c>
      <c r="V970" s="78">
        <v>810.78919170882773</v>
      </c>
      <c r="X970" s="134">
        <f t="shared" si="90"/>
        <v>1427520.986998555</v>
      </c>
      <c r="Y970" s="134">
        <f t="shared" si="91"/>
        <v>1432970.5894800536</v>
      </c>
      <c r="Z970" s="134">
        <f t="shared" si="92"/>
        <v>1434076.6462126947</v>
      </c>
      <c r="AB970" s="127">
        <f t="shared" si="93"/>
        <v>0</v>
      </c>
      <c r="AC970" s="127">
        <f t="shared" si="94"/>
        <v>0</v>
      </c>
      <c r="AD970" s="127">
        <f t="shared" si="95"/>
        <v>1</v>
      </c>
    </row>
    <row r="971" spans="1:30" x14ac:dyDescent="0.25">
      <c r="A971">
        <v>966</v>
      </c>
      <c r="C971" s="11">
        <v>3.4723877906799316E-2</v>
      </c>
      <c r="D971" s="11">
        <v>2.3630082607269287E-2</v>
      </c>
      <c r="E971" s="11">
        <v>0.184007494157261</v>
      </c>
      <c r="F971" s="11">
        <v>0.40155761707372584</v>
      </c>
      <c r="G971" s="11">
        <v>3.7368029356002808E-2</v>
      </c>
      <c r="H971" s="40">
        <v>4.1099377520905533E-4</v>
      </c>
      <c r="I971" s="40">
        <v>1.4747391987017076</v>
      </c>
      <c r="J971" s="59">
        <v>0</v>
      </c>
      <c r="K971" s="59">
        <v>6467.4369059503078</v>
      </c>
      <c r="L971" s="59">
        <v>0</v>
      </c>
      <c r="M971" s="11">
        <v>0.86239528656005859</v>
      </c>
      <c r="N971" s="11">
        <v>0.73472732305526733</v>
      </c>
      <c r="O971" s="11">
        <v>0.33784699440002441</v>
      </c>
      <c r="Q971" s="59">
        <v>14.639286336864997</v>
      </c>
      <c r="R971" s="78">
        <v>528.89213463475903</v>
      </c>
      <c r="S971" s="78">
        <v>14.691924077576823</v>
      </c>
      <c r="T971" s="78">
        <v>604.18166316665963</v>
      </c>
      <c r="U971" s="59">
        <v>14.677719132052731</v>
      </c>
      <c r="V971" s="78">
        <v>842.74185371210729</v>
      </c>
      <c r="X971" s="134">
        <f t="shared" si="90"/>
        <v>1463399.7415518649</v>
      </c>
      <c r="Y971" s="134">
        <f t="shared" si="91"/>
        <v>1468588.2260945155</v>
      </c>
      <c r="Z971" s="134">
        <f t="shared" si="92"/>
        <v>1466929.1713515611</v>
      </c>
      <c r="AB971" s="127">
        <f t="shared" si="93"/>
        <v>0</v>
      </c>
      <c r="AC971" s="127">
        <f t="shared" si="94"/>
        <v>1</v>
      </c>
      <c r="AD971" s="127">
        <f t="shared" si="95"/>
        <v>0</v>
      </c>
    </row>
    <row r="972" spans="1:30" x14ac:dyDescent="0.25">
      <c r="A972">
        <v>967</v>
      </c>
      <c r="C972" s="11">
        <v>1.9013285636901855E-3</v>
      </c>
      <c r="D972" s="11">
        <v>9.3239247798919678E-3</v>
      </c>
      <c r="E972" s="11">
        <v>0.13130263319031771</v>
      </c>
      <c r="F972" s="11">
        <v>0.13681371139142209</v>
      </c>
      <c r="G972" s="11">
        <v>2.9316246509552002E-2</v>
      </c>
      <c r="H972" s="40">
        <v>4.0807934473472009E-4</v>
      </c>
      <c r="I972" s="40">
        <v>1.4150741575358379</v>
      </c>
      <c r="J972" s="59">
        <v>0</v>
      </c>
      <c r="K972" s="59">
        <v>5718.6000049114227</v>
      </c>
      <c r="L972" s="59">
        <v>0</v>
      </c>
      <c r="M972" s="11">
        <v>0.85982382297515869</v>
      </c>
      <c r="N972" s="11">
        <v>0.70874583721160889</v>
      </c>
      <c r="O972" s="11">
        <v>0.28746628761291504</v>
      </c>
      <c r="Q972" s="59">
        <v>15.099918561747678</v>
      </c>
      <c r="R972" s="78">
        <v>493.09950628667912</v>
      </c>
      <c r="S972" s="78">
        <v>15.150861293953719</v>
      </c>
      <c r="T972" s="78">
        <v>592.17556588063576</v>
      </c>
      <c r="U972" s="59">
        <v>15.150533507317625</v>
      </c>
      <c r="V972" s="78">
        <v>801.72748171363344</v>
      </c>
      <c r="X972" s="134">
        <f t="shared" si="90"/>
        <v>1509498.7566684813</v>
      </c>
      <c r="Y972" s="134">
        <f t="shared" si="91"/>
        <v>1514493.9538294913</v>
      </c>
      <c r="Z972" s="134">
        <f t="shared" si="92"/>
        <v>1514251.6232500491</v>
      </c>
      <c r="AB972" s="127">
        <f t="shared" si="93"/>
        <v>0</v>
      </c>
      <c r="AC972" s="127">
        <f t="shared" si="94"/>
        <v>1</v>
      </c>
      <c r="AD972" s="127">
        <f t="shared" si="95"/>
        <v>0</v>
      </c>
    </row>
    <row r="973" spans="1:30" x14ac:dyDescent="0.25">
      <c r="A973">
        <v>968</v>
      </c>
      <c r="C973" s="11">
        <v>6.4279437065124512E-3</v>
      </c>
      <c r="D973" s="11">
        <v>2.4912565946578979E-2</v>
      </c>
      <c r="E973" s="11">
        <v>0.49724781321757044</v>
      </c>
      <c r="F973" s="11">
        <v>0.56577767583101835</v>
      </c>
      <c r="G973" s="11">
        <v>1.8835604190826416E-2</v>
      </c>
      <c r="H973" s="40">
        <v>4.2371578334508288E-4</v>
      </c>
      <c r="I973" s="40">
        <v>1.4578791225917869</v>
      </c>
      <c r="J973" s="59">
        <v>0</v>
      </c>
      <c r="K973" s="59">
        <v>5065.486766397953</v>
      </c>
      <c r="L973" s="59">
        <v>0</v>
      </c>
      <c r="M973" s="11">
        <v>0.85446321964263916</v>
      </c>
      <c r="N973" s="11">
        <v>0.76276189088821411</v>
      </c>
      <c r="O973" s="11">
        <v>0.35163140296936035</v>
      </c>
      <c r="Q973" s="59">
        <v>14.943928373032655</v>
      </c>
      <c r="R973" s="78">
        <v>490.36319570892596</v>
      </c>
      <c r="S973" s="78">
        <v>14.969776025179241</v>
      </c>
      <c r="T973" s="78">
        <v>627.33983618241018</v>
      </c>
      <c r="U973" s="59">
        <v>14.966221912500272</v>
      </c>
      <c r="V973" s="78">
        <v>842.93581463358873</v>
      </c>
      <c r="X973" s="134">
        <f t="shared" si="90"/>
        <v>1493902.4741075565</v>
      </c>
      <c r="Y973" s="134">
        <f t="shared" si="91"/>
        <v>1496350.2626817417</v>
      </c>
      <c r="Z973" s="134">
        <f t="shared" si="92"/>
        <v>1495779.2554353937</v>
      </c>
      <c r="AB973" s="127">
        <f t="shared" si="93"/>
        <v>0</v>
      </c>
      <c r="AC973" s="127">
        <f t="shared" si="94"/>
        <v>1</v>
      </c>
      <c r="AD973" s="127">
        <f t="shared" si="95"/>
        <v>0</v>
      </c>
    </row>
    <row r="974" spans="1:30" x14ac:dyDescent="0.25">
      <c r="A974">
        <v>969</v>
      </c>
      <c r="C974" s="11">
        <v>2.0399749279022217E-2</v>
      </c>
      <c r="D974" s="11">
        <v>1.1126860976219177E-2</v>
      </c>
      <c r="E974" s="11">
        <v>0.13227631397660289</v>
      </c>
      <c r="F974" s="11">
        <v>0.10750362549119211</v>
      </c>
      <c r="G974" s="11">
        <v>4.5685529708862305E-2</v>
      </c>
      <c r="H974" s="40">
        <v>4.620515603532047E-4</v>
      </c>
      <c r="I974" s="40">
        <v>1.410537042131746</v>
      </c>
      <c r="J974" s="59">
        <v>0</v>
      </c>
      <c r="K974" s="59">
        <v>4287.3341590166092</v>
      </c>
      <c r="L974" s="59">
        <v>0</v>
      </c>
      <c r="M974" s="11">
        <v>0.85136872529983521</v>
      </c>
      <c r="N974" s="11">
        <v>0.73518586158752441</v>
      </c>
      <c r="O974" s="11">
        <v>0.35740160942077637</v>
      </c>
      <c r="Q974" s="59">
        <v>14.677120294924007</v>
      </c>
      <c r="R974" s="78">
        <v>482.6141424219723</v>
      </c>
      <c r="S974" s="78">
        <v>14.724141743420901</v>
      </c>
      <c r="T974" s="78">
        <v>590.88281254364063</v>
      </c>
      <c r="U974" s="59">
        <v>14.725506218926462</v>
      </c>
      <c r="V974" s="78">
        <v>797.66119165245232</v>
      </c>
      <c r="X974" s="134">
        <f t="shared" si="90"/>
        <v>1467229.415349979</v>
      </c>
      <c r="Y974" s="134">
        <f t="shared" si="91"/>
        <v>1471823.2915295465</v>
      </c>
      <c r="Z974" s="134">
        <f t="shared" si="92"/>
        <v>1471752.9607009937</v>
      </c>
      <c r="AB974" s="127">
        <f t="shared" si="93"/>
        <v>0</v>
      </c>
      <c r="AC974" s="127">
        <f t="shared" si="94"/>
        <v>1</v>
      </c>
      <c r="AD974" s="127">
        <f t="shared" si="95"/>
        <v>0</v>
      </c>
    </row>
    <row r="975" spans="1:30" x14ac:dyDescent="0.25">
      <c r="A975">
        <v>970</v>
      </c>
      <c r="C975" s="11">
        <v>1.8573403358459473E-3</v>
      </c>
      <c r="D975" s="11">
        <v>3.9691627025604248E-2</v>
      </c>
      <c r="E975" s="11">
        <v>0.15207016630816908</v>
      </c>
      <c r="F975" s="11">
        <v>0.11491669521954595</v>
      </c>
      <c r="G975" s="11">
        <v>1.1563599109649658E-2</v>
      </c>
      <c r="H975" s="40">
        <v>5.2265749259788321E-4</v>
      </c>
      <c r="I975" s="40">
        <v>1.5347862099622274</v>
      </c>
      <c r="J975" s="59">
        <v>0</v>
      </c>
      <c r="K975" s="59">
        <v>3364.3748611211777</v>
      </c>
      <c r="L975" s="59">
        <v>0</v>
      </c>
      <c r="M975" s="11">
        <v>0.81116223335266113</v>
      </c>
      <c r="N975" s="11">
        <v>0.74127191305160522</v>
      </c>
      <c r="O975" s="11">
        <v>0.25364303588867188</v>
      </c>
      <c r="Q975" s="59">
        <v>14.22442466600004</v>
      </c>
      <c r="R975" s="78">
        <v>488.15047813832643</v>
      </c>
      <c r="S975" s="78">
        <v>14.289373340211762</v>
      </c>
      <c r="T975" s="78">
        <v>593.66760804538478</v>
      </c>
      <c r="U975" s="59">
        <v>14.292304030643761</v>
      </c>
      <c r="V975" s="78">
        <v>799.09591871309294</v>
      </c>
      <c r="X975" s="134">
        <f t="shared" si="90"/>
        <v>1421954.3161218655</v>
      </c>
      <c r="Y975" s="134">
        <f t="shared" si="91"/>
        <v>1428343.6664131309</v>
      </c>
      <c r="Z975" s="134">
        <f t="shared" si="92"/>
        <v>1428431.3071456631</v>
      </c>
      <c r="AB975" s="127">
        <f t="shared" si="93"/>
        <v>0</v>
      </c>
      <c r="AC975" s="127">
        <f t="shared" si="94"/>
        <v>0</v>
      </c>
      <c r="AD975" s="127">
        <f t="shared" si="95"/>
        <v>1</v>
      </c>
    </row>
    <row r="976" spans="1:30" x14ac:dyDescent="0.25">
      <c r="A976">
        <v>971</v>
      </c>
      <c r="C976" s="11">
        <v>1.4929264783859253E-2</v>
      </c>
      <c r="D976" s="11">
        <v>4.559636116027832E-2</v>
      </c>
      <c r="E976" s="11">
        <v>0.48046680022024918</v>
      </c>
      <c r="F976" s="11">
        <v>0.14999507963839417</v>
      </c>
      <c r="G976" s="11">
        <v>6.3980460166931152E-2</v>
      </c>
      <c r="H976" s="40">
        <v>4.0669976158380541E-4</v>
      </c>
      <c r="I976" s="40">
        <v>1.4272841055468792</v>
      </c>
      <c r="J976" s="59">
        <v>0</v>
      </c>
      <c r="K976" s="59">
        <v>3582.7187821269035</v>
      </c>
      <c r="L976" s="59">
        <v>0</v>
      </c>
      <c r="M976" s="11">
        <v>0.89420032501220703</v>
      </c>
      <c r="N976" s="11">
        <v>0.74914824962615967</v>
      </c>
      <c r="O976" s="11">
        <v>0.34023940563201904</v>
      </c>
      <c r="Q976" s="59">
        <v>15.487297947664331</v>
      </c>
      <c r="R976" s="78">
        <v>467.95376488671985</v>
      </c>
      <c r="S976" s="78">
        <v>15.524236160817273</v>
      </c>
      <c r="T976" s="78">
        <v>614.80075015201089</v>
      </c>
      <c r="U976" s="59">
        <v>15.548068215653666</v>
      </c>
      <c r="V976" s="78">
        <v>799.23041730392015</v>
      </c>
      <c r="X976" s="134">
        <f t="shared" si="90"/>
        <v>1548261.8410015462</v>
      </c>
      <c r="Y976" s="134">
        <f t="shared" si="91"/>
        <v>1551808.8153315752</v>
      </c>
      <c r="Z976" s="134">
        <f t="shared" si="92"/>
        <v>1554007.5911480626</v>
      </c>
      <c r="AB976" s="127">
        <f t="shared" si="93"/>
        <v>0</v>
      </c>
      <c r="AC976" s="127">
        <f t="shared" si="94"/>
        <v>0</v>
      </c>
      <c r="AD976" s="127">
        <f t="shared" si="95"/>
        <v>1</v>
      </c>
    </row>
    <row r="977" spans="1:30" x14ac:dyDescent="0.25">
      <c r="A977">
        <v>972</v>
      </c>
      <c r="C977" s="11">
        <v>1.479831337928772E-2</v>
      </c>
      <c r="D977" s="11">
        <v>3.5744786262512207E-2</v>
      </c>
      <c r="E977" s="11">
        <v>0.35762043415270117</v>
      </c>
      <c r="F977" s="11">
        <v>5.7750799415102257E-2</v>
      </c>
      <c r="G977" s="11">
        <v>3.5597562789916992E-2</v>
      </c>
      <c r="H977" s="40">
        <v>4.2492234811669058E-4</v>
      </c>
      <c r="I977" s="40">
        <v>1.4447710225409161</v>
      </c>
      <c r="J977" s="59">
        <v>0</v>
      </c>
      <c r="K977" s="59">
        <v>6072.712130844593</v>
      </c>
      <c r="L977" s="59">
        <v>0</v>
      </c>
      <c r="M977" s="11">
        <v>0.89638102054595947</v>
      </c>
      <c r="N977" s="11">
        <v>0.75548726320266724</v>
      </c>
      <c r="O977" s="11">
        <v>0.29380294680595398</v>
      </c>
      <c r="Q977" s="59">
        <v>15.526537812370984</v>
      </c>
      <c r="R977" s="78">
        <v>515.06893514001467</v>
      </c>
      <c r="S977" s="78">
        <v>15.572764163336258</v>
      </c>
      <c r="T977" s="78">
        <v>622.75742251355996</v>
      </c>
      <c r="U977" s="59">
        <v>15.594730635402151</v>
      </c>
      <c r="V977" s="78">
        <v>795.10145759116324</v>
      </c>
      <c r="X977" s="134">
        <f t="shared" si="90"/>
        <v>1552138.7123019584</v>
      </c>
      <c r="Y977" s="134">
        <f t="shared" si="91"/>
        <v>1556653.6589111122</v>
      </c>
      <c r="Z977" s="134">
        <f t="shared" si="92"/>
        <v>1558677.962082624</v>
      </c>
      <c r="AB977" s="127">
        <f t="shared" si="93"/>
        <v>0</v>
      </c>
      <c r="AC977" s="127">
        <f t="shared" si="94"/>
        <v>0</v>
      </c>
      <c r="AD977" s="127">
        <f t="shared" si="95"/>
        <v>1</v>
      </c>
    </row>
    <row r="978" spans="1:30" x14ac:dyDescent="0.25">
      <c r="A978">
        <v>973</v>
      </c>
      <c r="C978" s="11">
        <v>1.9558250904083252E-2</v>
      </c>
      <c r="D978" s="11">
        <v>2.6623666286468506E-2</v>
      </c>
      <c r="E978" s="11">
        <v>0.40357633497323209</v>
      </c>
      <c r="F978" s="11">
        <v>0.12785428960182355</v>
      </c>
      <c r="G978" s="11">
        <v>1.8298804759979248E-2</v>
      </c>
      <c r="H978" s="40">
        <v>6.6722346110550934E-4</v>
      </c>
      <c r="I978" s="40">
        <v>1.3581707948857265</v>
      </c>
      <c r="J978" s="59">
        <v>0</v>
      </c>
      <c r="K978" s="59">
        <v>3343.8112586736679</v>
      </c>
      <c r="L978" s="59">
        <v>0</v>
      </c>
      <c r="M978" s="11">
        <v>0.86861568689346313</v>
      </c>
      <c r="N978" s="11">
        <v>0.67280912399291992</v>
      </c>
      <c r="O978" s="11">
        <v>0.26972651481628418</v>
      </c>
      <c r="Q978" s="59">
        <v>14.944642369406361</v>
      </c>
      <c r="R978" s="78">
        <v>467.27988798343148</v>
      </c>
      <c r="S978" s="78">
        <v>15.002664475843408</v>
      </c>
      <c r="T978" s="78">
        <v>608.91900706005981</v>
      </c>
      <c r="U978" s="59">
        <v>15.029996147967426</v>
      </c>
      <c r="V978" s="78">
        <v>797.5297420031909</v>
      </c>
      <c r="X978" s="134">
        <f t="shared" si="90"/>
        <v>1493996.9570526527</v>
      </c>
      <c r="Y978" s="134">
        <f t="shared" si="91"/>
        <v>1499657.5285772807</v>
      </c>
      <c r="Z978" s="134">
        <f t="shared" si="92"/>
        <v>1502202.0850547394</v>
      </c>
      <c r="AB978" s="127">
        <f t="shared" si="93"/>
        <v>0</v>
      </c>
      <c r="AC978" s="127">
        <f t="shared" si="94"/>
        <v>0</v>
      </c>
      <c r="AD978" s="127">
        <f t="shared" si="95"/>
        <v>1</v>
      </c>
    </row>
    <row r="979" spans="1:30" x14ac:dyDescent="0.25">
      <c r="A979">
        <v>974</v>
      </c>
      <c r="C979" s="11">
        <v>1.9198760390281677E-2</v>
      </c>
      <c r="D979" s="11">
        <v>1.8618687987327576E-2</v>
      </c>
      <c r="E979" s="11">
        <v>0.15533485276026329</v>
      </c>
      <c r="F979" s="11">
        <v>0.10517334715723956</v>
      </c>
      <c r="G979" s="11">
        <v>4.0144741535186768E-2</v>
      </c>
      <c r="H979" s="40">
        <v>4.4193842765100262E-4</v>
      </c>
      <c r="I979" s="40">
        <v>1.4756081057475061</v>
      </c>
      <c r="J979" s="59">
        <v>0</v>
      </c>
      <c r="K979" s="59">
        <v>5589.0576913952827</v>
      </c>
      <c r="L979" s="59">
        <v>0</v>
      </c>
      <c r="M979" s="11">
        <v>0.85495349764823914</v>
      </c>
      <c r="N979" s="11">
        <v>0.73110979795455933</v>
      </c>
      <c r="O979" s="11">
        <v>0.2901037335395813</v>
      </c>
      <c r="Q979" s="59">
        <v>14.741275887939608</v>
      </c>
      <c r="R979" s="78">
        <v>523.50235581517018</v>
      </c>
      <c r="S979" s="78">
        <v>14.800476605726613</v>
      </c>
      <c r="T979" s="78">
        <v>599.44154465502083</v>
      </c>
      <c r="U979" s="59">
        <v>14.804062441212725</v>
      </c>
      <c r="V979" s="78">
        <v>801.85374952777818</v>
      </c>
      <c r="X979" s="134">
        <f t="shared" si="90"/>
        <v>1473604.0864381457</v>
      </c>
      <c r="Y979" s="134">
        <f t="shared" si="91"/>
        <v>1479448.2190280063</v>
      </c>
      <c r="Z979" s="134">
        <f t="shared" si="92"/>
        <v>1479604.3903717448</v>
      </c>
      <c r="AB979" s="127">
        <f t="shared" si="93"/>
        <v>0</v>
      </c>
      <c r="AC979" s="127">
        <f t="shared" si="94"/>
        <v>0</v>
      </c>
      <c r="AD979" s="127">
        <f t="shared" si="95"/>
        <v>1</v>
      </c>
    </row>
    <row r="980" spans="1:30" x14ac:dyDescent="0.25">
      <c r="A980">
        <v>975</v>
      </c>
      <c r="C980" s="11">
        <v>1.5871286392211914E-2</v>
      </c>
      <c r="D980" s="11">
        <v>1.2554794549942017E-2</v>
      </c>
      <c r="E980" s="11">
        <v>0.8025889662875263</v>
      </c>
      <c r="F980" s="11">
        <v>0.29165933291036522</v>
      </c>
      <c r="G980" s="11">
        <v>4.9235999584197998E-2</v>
      </c>
      <c r="H980" s="40">
        <v>3.3445331123001942E-4</v>
      </c>
      <c r="I980" s="40">
        <v>1.4172495574666741</v>
      </c>
      <c r="J980" s="59">
        <v>0</v>
      </c>
      <c r="K980" s="59">
        <v>6748.6660555005074</v>
      </c>
      <c r="L980" s="59">
        <v>0</v>
      </c>
      <c r="M980" s="11">
        <v>0.81846034526824951</v>
      </c>
      <c r="N980" s="11">
        <v>0.73255383968353271</v>
      </c>
      <c r="O980" s="11">
        <v>0.33088779449462891</v>
      </c>
      <c r="Q980" s="59">
        <v>14.192616805012918</v>
      </c>
      <c r="R980" s="78">
        <v>499.63438134785679</v>
      </c>
      <c r="S980" s="78">
        <v>14.199424991299329</v>
      </c>
      <c r="T980" s="78">
        <v>663.97563201456467</v>
      </c>
      <c r="U980" s="59">
        <v>14.217217983452262</v>
      </c>
      <c r="V980" s="78">
        <v>819.06445723933939</v>
      </c>
      <c r="X980" s="134">
        <f t="shared" ref="X980:X1005" si="96">Q980*cRatio-R980</f>
        <v>1418762.046119944</v>
      </c>
      <c r="Y980" s="134">
        <f t="shared" ref="Y980:Y1005" si="97">S980*cRatio-T980</f>
        <v>1419278.5234979184</v>
      </c>
      <c r="Z980" s="134">
        <f t="shared" ref="Z980:Z1005" si="98">U980*cRatio-V980</f>
        <v>1420902.7338879867</v>
      </c>
      <c r="AB980" s="127">
        <f t="shared" ref="AB980:AB1005" si="99">IF(X980=MAX($X980:$Z980),1,0)</f>
        <v>0</v>
      </c>
      <c r="AC980" s="127">
        <f t="shared" ref="AC980:AC1005" si="100">IF(Y980=MAX($X980:$Z980),1,0)</f>
        <v>0</v>
      </c>
      <c r="AD980" s="127">
        <f t="shared" ref="AD980:AD1005" si="101">IF(Z980=MAX($X980:$Z980),1,0)</f>
        <v>1</v>
      </c>
    </row>
    <row r="981" spans="1:30" x14ac:dyDescent="0.25">
      <c r="A981">
        <v>976</v>
      </c>
      <c r="C981" s="11">
        <v>3.0191242694854736E-3</v>
      </c>
      <c r="D981" s="11">
        <v>1.4654472470283508E-2</v>
      </c>
      <c r="E981" s="11">
        <v>0.14131551190163641</v>
      </c>
      <c r="F981" s="11">
        <v>0.15863840366814114</v>
      </c>
      <c r="G981" s="11">
        <v>6.0845375061035156E-2</v>
      </c>
      <c r="H981" s="40">
        <v>5.020694881348476E-4</v>
      </c>
      <c r="I981" s="40">
        <v>1.4153057020294155</v>
      </c>
      <c r="J981" s="59">
        <v>0</v>
      </c>
      <c r="K981" s="59">
        <v>4176.5766218304634</v>
      </c>
      <c r="L981" s="59">
        <v>0</v>
      </c>
      <c r="M981" s="11">
        <v>0.84544038772583008</v>
      </c>
      <c r="N981" s="11">
        <v>0.77971220016479492</v>
      </c>
      <c r="O981" s="11">
        <v>0.277679443359375</v>
      </c>
      <c r="Q981" s="59">
        <v>14.835527088751444</v>
      </c>
      <c r="R981" s="78">
        <v>497.65602578986318</v>
      </c>
      <c r="S981" s="78">
        <v>14.88080778738764</v>
      </c>
      <c r="T981" s="78">
        <v>593.86569047898377</v>
      </c>
      <c r="U981" s="59">
        <v>14.879878232013558</v>
      </c>
      <c r="V981" s="78">
        <v>804.68298089892517</v>
      </c>
      <c r="X981" s="134">
        <f t="shared" si="96"/>
        <v>1483055.0528493545</v>
      </c>
      <c r="Y981" s="134">
        <f t="shared" si="97"/>
        <v>1487486.9130482851</v>
      </c>
      <c r="Z981" s="134">
        <f t="shared" si="98"/>
        <v>1487183.1402204568</v>
      </c>
      <c r="AB981" s="127">
        <f t="shared" si="99"/>
        <v>0</v>
      </c>
      <c r="AC981" s="127">
        <f t="shared" si="100"/>
        <v>1</v>
      </c>
      <c r="AD981" s="127">
        <f t="shared" si="101"/>
        <v>0</v>
      </c>
    </row>
    <row r="982" spans="1:30" x14ac:dyDescent="0.25">
      <c r="A982">
        <v>977</v>
      </c>
      <c r="C982" s="11">
        <v>3.7517845630645752E-3</v>
      </c>
      <c r="D982" s="11">
        <v>2.2504210472106934E-2</v>
      </c>
      <c r="E982" s="11">
        <v>0.10007022724377283</v>
      </c>
      <c r="F982" s="11">
        <v>0.18355287613423329</v>
      </c>
      <c r="G982" s="11">
        <v>2.4705052375793457E-2</v>
      </c>
      <c r="H982" s="40">
        <v>5.279459429163543E-4</v>
      </c>
      <c r="I982" s="40">
        <v>1.3266906364702793</v>
      </c>
      <c r="J982" s="59">
        <v>0</v>
      </c>
      <c r="K982" s="59">
        <v>3761.0903382301331</v>
      </c>
      <c r="L982" s="59">
        <v>0</v>
      </c>
      <c r="M982" s="11">
        <v>0.81222152709960938</v>
      </c>
      <c r="N982" s="11">
        <v>0.73642259836196899</v>
      </c>
      <c r="O982" s="11">
        <v>0.26064538955688477</v>
      </c>
      <c r="Q982" s="59">
        <v>14.251525130743412</v>
      </c>
      <c r="R982" s="78">
        <v>457.13165674748524</v>
      </c>
      <c r="S982" s="78">
        <v>14.288710789919319</v>
      </c>
      <c r="T982" s="78">
        <v>585.39622388255736</v>
      </c>
      <c r="U982" s="59">
        <v>14.285215997619829</v>
      </c>
      <c r="V982" s="78">
        <v>799.71870014312208</v>
      </c>
      <c r="X982" s="134">
        <f t="shared" si="96"/>
        <v>1424695.3814175937</v>
      </c>
      <c r="Y982" s="134">
        <f t="shared" si="97"/>
        <v>1428285.6827680494</v>
      </c>
      <c r="Z982" s="134">
        <f t="shared" si="98"/>
        <v>1427721.8810618399</v>
      </c>
      <c r="AB982" s="127">
        <f t="shared" si="99"/>
        <v>0</v>
      </c>
      <c r="AC982" s="127">
        <f t="shared" si="100"/>
        <v>1</v>
      </c>
      <c r="AD982" s="127">
        <f t="shared" si="101"/>
        <v>0</v>
      </c>
    </row>
    <row r="983" spans="1:30" x14ac:dyDescent="0.25">
      <c r="A983">
        <v>978</v>
      </c>
      <c r="C983" s="11">
        <v>2.6563823223114014E-2</v>
      </c>
      <c r="D983" s="11">
        <v>4.3375492095947266E-3</v>
      </c>
      <c r="E983" s="11">
        <v>0.33976536431627857</v>
      </c>
      <c r="F983" s="11">
        <v>0.19473453236311122</v>
      </c>
      <c r="G983" s="11">
        <v>3.363761305809021E-2</v>
      </c>
      <c r="H983" s="40">
        <v>4.6255007141519932E-4</v>
      </c>
      <c r="I983" s="40">
        <v>1.4191119481154832</v>
      </c>
      <c r="J983" s="59">
        <v>0</v>
      </c>
      <c r="K983" s="59">
        <v>2360.5115711688995</v>
      </c>
      <c r="L983" s="59">
        <v>0</v>
      </c>
      <c r="M983" s="11">
        <v>0.84412539005279541</v>
      </c>
      <c r="N983" s="11">
        <v>0.74861598014831543</v>
      </c>
      <c r="O983" s="11">
        <v>0.2861020565032959</v>
      </c>
      <c r="Q983" s="59">
        <v>14.465135427198016</v>
      </c>
      <c r="R983" s="78">
        <v>440.81407675240848</v>
      </c>
      <c r="S983" s="78">
        <v>14.4973162667903</v>
      </c>
      <c r="T983" s="78">
        <v>595.07903625508277</v>
      </c>
      <c r="U983" s="59">
        <v>14.504496181844772</v>
      </c>
      <c r="V983" s="78">
        <v>797.23768313199798</v>
      </c>
      <c r="X983" s="134">
        <f t="shared" si="96"/>
        <v>1446072.7286430493</v>
      </c>
      <c r="Y983" s="134">
        <f t="shared" si="97"/>
        <v>1449136.5476427749</v>
      </c>
      <c r="Z983" s="134">
        <f t="shared" si="98"/>
        <v>1449652.380501345</v>
      </c>
      <c r="AB983" s="127">
        <f t="shared" si="99"/>
        <v>0</v>
      </c>
      <c r="AC983" s="127">
        <f t="shared" si="100"/>
        <v>0</v>
      </c>
      <c r="AD983" s="127">
        <f t="shared" si="101"/>
        <v>1</v>
      </c>
    </row>
    <row r="984" spans="1:30" x14ac:dyDescent="0.25">
      <c r="A984">
        <v>979</v>
      </c>
      <c r="C984" s="11">
        <v>1.3440251350402832E-2</v>
      </c>
      <c r="D984" s="11">
        <v>1.201966404914856E-2</v>
      </c>
      <c r="E984" s="11">
        <v>0.33860658011440364</v>
      </c>
      <c r="F984" s="11">
        <v>0.17410624445442174</v>
      </c>
      <c r="G984" s="11">
        <v>6.5013647079467773E-2</v>
      </c>
      <c r="H984" s="40">
        <v>4.582047236287861E-4</v>
      </c>
      <c r="I984" s="40">
        <v>1.3677066986846138</v>
      </c>
      <c r="J984" s="59">
        <v>0</v>
      </c>
      <c r="K984" s="59">
        <v>7597.0590114593506</v>
      </c>
      <c r="L984" s="59">
        <v>0</v>
      </c>
      <c r="M984" s="11">
        <v>0.82702481746673584</v>
      </c>
      <c r="N984" s="11">
        <v>0.73390805721282959</v>
      </c>
      <c r="O984" s="11">
        <v>0.32674682140350342</v>
      </c>
      <c r="Q984" s="59">
        <v>14.367120365674195</v>
      </c>
      <c r="R984" s="78">
        <v>545.74258596066011</v>
      </c>
      <c r="S984" s="78">
        <v>14.396566040985251</v>
      </c>
      <c r="T984" s="78">
        <v>630.83266899390333</v>
      </c>
      <c r="U984" s="59">
        <v>14.40398501810329</v>
      </c>
      <c r="V984" s="78">
        <v>814.70989415295389</v>
      </c>
      <c r="X984" s="134">
        <f t="shared" si="96"/>
        <v>1436166.2939814588</v>
      </c>
      <c r="Y984" s="134">
        <f t="shared" si="97"/>
        <v>1439025.7714295313</v>
      </c>
      <c r="Z984" s="134">
        <f t="shared" si="98"/>
        <v>1439583.791916176</v>
      </c>
      <c r="AB984" s="127">
        <f t="shared" si="99"/>
        <v>0</v>
      </c>
      <c r="AC984" s="127">
        <f t="shared" si="100"/>
        <v>0</v>
      </c>
      <c r="AD984" s="127">
        <f t="shared" si="101"/>
        <v>1</v>
      </c>
    </row>
    <row r="985" spans="1:30" x14ac:dyDescent="0.25">
      <c r="A985">
        <v>980</v>
      </c>
      <c r="C985" s="11">
        <v>1.922944188117981E-2</v>
      </c>
      <c r="D985" s="11">
        <v>9.6539407968521118E-3</v>
      </c>
      <c r="E985" s="11">
        <v>0.25372809514668487</v>
      </c>
      <c r="F985" s="11">
        <v>0.18240801849777624</v>
      </c>
      <c r="G985" s="11">
        <v>4.5450121164321899E-2</v>
      </c>
      <c r="H985" s="40">
        <v>4.9632683730853734E-4</v>
      </c>
      <c r="I985" s="40">
        <v>1.4037386392299149</v>
      </c>
      <c r="J985" s="59">
        <v>0</v>
      </c>
      <c r="K985" s="59">
        <v>3868.5137405991554</v>
      </c>
      <c r="L985" s="59">
        <v>0</v>
      </c>
      <c r="M985" s="11">
        <v>0.85252350568771362</v>
      </c>
      <c r="N985" s="11">
        <v>0.73381561040878296</v>
      </c>
      <c r="O985" s="11">
        <v>0.32887279987335205</v>
      </c>
      <c r="Q985" s="59">
        <v>14.710341705599369</v>
      </c>
      <c r="R985" s="78">
        <v>478.17419983346736</v>
      </c>
      <c r="S985" s="78">
        <v>14.753936897721232</v>
      </c>
      <c r="T985" s="78">
        <v>600.62196335197962</v>
      </c>
      <c r="U985" s="59">
        <v>14.758169099051797</v>
      </c>
      <c r="V985" s="78">
        <v>803.56268299520207</v>
      </c>
      <c r="X985" s="134">
        <f t="shared" si="96"/>
        <v>1470555.9963601034</v>
      </c>
      <c r="Y985" s="134">
        <f t="shared" si="97"/>
        <v>1474793.0678087713</v>
      </c>
      <c r="Z985" s="134">
        <f t="shared" si="98"/>
        <v>1475013.3472221845</v>
      </c>
      <c r="AB985" s="127">
        <f t="shared" si="99"/>
        <v>0</v>
      </c>
      <c r="AC985" s="127">
        <f t="shared" si="100"/>
        <v>0</v>
      </c>
      <c r="AD985" s="127">
        <f t="shared" si="101"/>
        <v>1</v>
      </c>
    </row>
    <row r="986" spans="1:30" x14ac:dyDescent="0.25">
      <c r="A986">
        <v>981</v>
      </c>
      <c r="C986" s="11">
        <v>3.5645186901092529E-2</v>
      </c>
      <c r="D986" s="11">
        <v>7.3853135108947754E-3</v>
      </c>
      <c r="E986" s="11">
        <v>0.15256741907566121</v>
      </c>
      <c r="F986" s="11">
        <v>0.13567905614935113</v>
      </c>
      <c r="G986" s="11">
        <v>6.7227482795715332E-2</v>
      </c>
      <c r="H986" s="40">
        <v>4.1100356311118958E-4</v>
      </c>
      <c r="I986" s="40">
        <v>1.4818382156283674</v>
      </c>
      <c r="J986" s="59">
        <v>0</v>
      </c>
      <c r="K986" s="59">
        <v>5167.2081463038921</v>
      </c>
      <c r="L986" s="59">
        <v>0</v>
      </c>
      <c r="M986" s="11">
        <v>0.90519475936889648</v>
      </c>
      <c r="N986" s="11">
        <v>0.83827781677246094</v>
      </c>
      <c r="O986" s="11">
        <v>0.29212784767150879</v>
      </c>
      <c r="Q986" s="59">
        <v>15.366504190258347</v>
      </c>
      <c r="R986" s="78">
        <v>521.09972860534413</v>
      </c>
      <c r="S986" s="78">
        <v>15.410882844547373</v>
      </c>
      <c r="T986" s="78">
        <v>598.68317216523712</v>
      </c>
      <c r="U986" s="59">
        <v>15.411784003345396</v>
      </c>
      <c r="V986" s="78">
        <v>805.50960307747323</v>
      </c>
      <c r="X986" s="134">
        <f t="shared" si="96"/>
        <v>1536129.3192972294</v>
      </c>
      <c r="Y986" s="134">
        <f t="shared" si="97"/>
        <v>1540489.6012825721</v>
      </c>
      <c r="Z986" s="134">
        <f t="shared" si="98"/>
        <v>1540372.890731462</v>
      </c>
      <c r="AB986" s="127">
        <f t="shared" si="99"/>
        <v>0</v>
      </c>
      <c r="AC986" s="127">
        <f t="shared" si="100"/>
        <v>1</v>
      </c>
      <c r="AD986" s="127">
        <f t="shared" si="101"/>
        <v>0</v>
      </c>
    </row>
    <row r="987" spans="1:30" x14ac:dyDescent="0.25">
      <c r="A987">
        <v>982</v>
      </c>
      <c r="C987" s="11">
        <v>6.3143074512481689E-3</v>
      </c>
      <c r="D987" s="11">
        <v>1.1766612529754639E-2</v>
      </c>
      <c r="E987" s="11">
        <v>0.61296529119743792</v>
      </c>
      <c r="F987" s="11">
        <v>7.7703239001556443E-2</v>
      </c>
      <c r="G987" s="11">
        <v>1.3610541820526123E-2</v>
      </c>
      <c r="H987" s="40">
        <v>4.4162066500133952E-4</v>
      </c>
      <c r="I987" s="40">
        <v>1.5029943936563832</v>
      </c>
      <c r="J987" s="59">
        <v>0</v>
      </c>
      <c r="K987" s="59">
        <v>4673.4022907912731</v>
      </c>
      <c r="L987" s="59">
        <v>0</v>
      </c>
      <c r="M987" s="11">
        <v>0.88735049962997437</v>
      </c>
      <c r="N987" s="11">
        <v>0.74831396341323853</v>
      </c>
      <c r="O987" s="11">
        <v>0.26196295022964478</v>
      </c>
      <c r="Q987" s="59">
        <v>15.496366733244088</v>
      </c>
      <c r="R987" s="78">
        <v>496.34864902570496</v>
      </c>
      <c r="S987" s="78">
        <v>15.526272721284549</v>
      </c>
      <c r="T987" s="78">
        <v>642.25885339670185</v>
      </c>
      <c r="U987" s="59">
        <v>15.568580232598141</v>
      </c>
      <c r="V987" s="78">
        <v>796.11242581696263</v>
      </c>
      <c r="X987" s="134">
        <f t="shared" si="96"/>
        <v>1549140.324675383</v>
      </c>
      <c r="Y987" s="134">
        <f t="shared" si="97"/>
        <v>1551985.0132750582</v>
      </c>
      <c r="Z987" s="134">
        <f t="shared" si="98"/>
        <v>1556061.9108339972</v>
      </c>
      <c r="AB987" s="127">
        <f t="shared" si="99"/>
        <v>0</v>
      </c>
      <c r="AC987" s="127">
        <f t="shared" si="100"/>
        <v>0</v>
      </c>
      <c r="AD987" s="127">
        <f t="shared" si="101"/>
        <v>1</v>
      </c>
    </row>
    <row r="988" spans="1:30" x14ac:dyDescent="0.25">
      <c r="A988">
        <v>983</v>
      </c>
      <c r="C988" s="11">
        <v>2.227628231048584E-2</v>
      </c>
      <c r="D988" s="11">
        <v>2.5023162364959717E-2</v>
      </c>
      <c r="E988" s="11">
        <v>0.38421331355340654</v>
      </c>
      <c r="F988" s="11">
        <v>0.33035130578152377</v>
      </c>
      <c r="G988" s="11">
        <v>5.2137792110443115E-2</v>
      </c>
      <c r="H988" s="40">
        <v>3.578488657041669E-4</v>
      </c>
      <c r="I988" s="40">
        <v>1.470236086620119</v>
      </c>
      <c r="J988" s="59">
        <v>0</v>
      </c>
      <c r="K988" s="59">
        <v>3848.0153307318687</v>
      </c>
      <c r="L988" s="59">
        <v>0</v>
      </c>
      <c r="M988" s="11">
        <v>0.83425271511077881</v>
      </c>
      <c r="N988" s="11">
        <v>0.79602587223052979</v>
      </c>
      <c r="O988" s="11">
        <v>0.32846903800964355</v>
      </c>
      <c r="Q988" s="59">
        <v>14.371143548955141</v>
      </c>
      <c r="R988" s="78">
        <v>469.21660988898356</v>
      </c>
      <c r="S988" s="78">
        <v>14.393452204734205</v>
      </c>
      <c r="T988" s="78">
        <v>608.16628353404565</v>
      </c>
      <c r="U988" s="59">
        <v>14.39542737017493</v>
      </c>
      <c r="V988" s="78">
        <v>813.09780157462728</v>
      </c>
      <c r="X988" s="134">
        <f t="shared" si="96"/>
        <v>1436645.1382856253</v>
      </c>
      <c r="Y988" s="134">
        <f t="shared" si="97"/>
        <v>1438737.0541898864</v>
      </c>
      <c r="Z988" s="134">
        <f t="shared" si="98"/>
        <v>1438729.6392159183</v>
      </c>
      <c r="AB988" s="127">
        <f t="shared" si="99"/>
        <v>0</v>
      </c>
      <c r="AC988" s="127">
        <f t="shared" si="100"/>
        <v>1</v>
      </c>
      <c r="AD988" s="127">
        <f t="shared" si="101"/>
        <v>0</v>
      </c>
    </row>
    <row r="989" spans="1:30" x14ac:dyDescent="0.25">
      <c r="A989">
        <v>984</v>
      </c>
      <c r="C989" s="11">
        <v>6.969645619392395E-3</v>
      </c>
      <c r="D989" s="11">
        <v>1.7657279968261719E-2</v>
      </c>
      <c r="E989" s="11">
        <v>0.40516596851708514</v>
      </c>
      <c r="F989" s="11">
        <v>0.46902802989677428</v>
      </c>
      <c r="G989" s="11">
        <v>1.9141405820846558E-2</v>
      </c>
      <c r="H989" s="40">
        <v>3.486146681095466E-4</v>
      </c>
      <c r="I989" s="40">
        <v>1.4566795000249908</v>
      </c>
      <c r="J989" s="59">
        <v>0</v>
      </c>
      <c r="K989" s="59">
        <v>5444.9122399091721</v>
      </c>
      <c r="L989" s="59">
        <v>0</v>
      </c>
      <c r="M989" s="11">
        <v>0.81065797805786133</v>
      </c>
      <c r="N989" s="11">
        <v>0.76956748962402344</v>
      </c>
      <c r="O989" s="11">
        <v>0.2838205099105835</v>
      </c>
      <c r="Q989" s="59">
        <v>14.189587476584242</v>
      </c>
      <c r="R989" s="78">
        <v>479.3805470318411</v>
      </c>
      <c r="S989" s="78">
        <v>14.207148991897567</v>
      </c>
      <c r="T989" s="78">
        <v>613.89018391272782</v>
      </c>
      <c r="U989" s="59">
        <v>14.205246100025231</v>
      </c>
      <c r="V989" s="78">
        <v>828.35239825013662</v>
      </c>
      <c r="X989" s="134">
        <f t="shared" si="96"/>
        <v>1418479.3671113923</v>
      </c>
      <c r="Y989" s="134">
        <f t="shared" si="97"/>
        <v>1420101.0090058439</v>
      </c>
      <c r="Z989" s="134">
        <f t="shared" si="98"/>
        <v>1419696.2576042728</v>
      </c>
      <c r="AB989" s="127">
        <f t="shared" si="99"/>
        <v>0</v>
      </c>
      <c r="AC989" s="127">
        <f t="shared" si="100"/>
        <v>1</v>
      </c>
      <c r="AD989" s="127">
        <f t="shared" si="101"/>
        <v>0</v>
      </c>
    </row>
    <row r="990" spans="1:30" x14ac:dyDescent="0.25">
      <c r="A990">
        <v>985</v>
      </c>
      <c r="C990" s="11">
        <v>1.9718319177627563E-2</v>
      </c>
      <c r="D990" s="11">
        <v>1.5784114599227905E-2</v>
      </c>
      <c r="E990" s="11">
        <v>0.20223418327367015</v>
      </c>
      <c r="F990" s="11">
        <v>0.15350074549607026</v>
      </c>
      <c r="G990" s="11">
        <v>6.1613798141479492E-2</v>
      </c>
      <c r="H990" s="40">
        <v>4.3486752320533655E-4</v>
      </c>
      <c r="I990" s="40">
        <v>1.4306527190332781</v>
      </c>
      <c r="J990" s="59">
        <v>0</v>
      </c>
      <c r="K990" s="59">
        <v>6593.8755869865417</v>
      </c>
      <c r="L990" s="59">
        <v>0</v>
      </c>
      <c r="M990" s="11">
        <v>0.82400166988372803</v>
      </c>
      <c r="N990" s="11">
        <v>0.81430697441101074</v>
      </c>
      <c r="O990" s="11">
        <v>0.26380300521850586</v>
      </c>
      <c r="Q990" s="59">
        <v>14.234949178605351</v>
      </c>
      <c r="R990" s="78">
        <v>540.39599914905591</v>
      </c>
      <c r="S990" s="78">
        <v>14.261066891974638</v>
      </c>
      <c r="T990" s="78">
        <v>608.97900221508598</v>
      </c>
      <c r="U990" s="59">
        <v>14.262689489931343</v>
      </c>
      <c r="V990" s="78">
        <v>810.77230138212838</v>
      </c>
      <c r="X990" s="134">
        <f t="shared" si="96"/>
        <v>1422954.5218613863</v>
      </c>
      <c r="Y990" s="134">
        <f t="shared" si="97"/>
        <v>1425497.7101952485</v>
      </c>
      <c r="Z990" s="134">
        <f t="shared" si="98"/>
        <v>1425458.1766917522</v>
      </c>
      <c r="AB990" s="127">
        <f t="shared" si="99"/>
        <v>0</v>
      </c>
      <c r="AC990" s="127">
        <f t="shared" si="100"/>
        <v>1</v>
      </c>
      <c r="AD990" s="127">
        <f t="shared" si="101"/>
        <v>0</v>
      </c>
    </row>
    <row r="991" spans="1:30" x14ac:dyDescent="0.25">
      <c r="A991">
        <v>986</v>
      </c>
      <c r="C991" s="11">
        <v>2.7848124504089355E-2</v>
      </c>
      <c r="D991" s="11">
        <v>2.3231744766235352E-2</v>
      </c>
      <c r="E991" s="11">
        <v>0.34889465807232994</v>
      </c>
      <c r="F991" s="11">
        <v>0.20879891977068579</v>
      </c>
      <c r="G991" s="11">
        <v>2.9489755630493164E-2</v>
      </c>
      <c r="H991" s="40">
        <v>4.0796255965123887E-4</v>
      </c>
      <c r="I991" s="40">
        <v>1.458438707549234</v>
      </c>
      <c r="J991" s="59">
        <v>0</v>
      </c>
      <c r="K991" s="59">
        <v>4539.6853238344193</v>
      </c>
      <c r="L991" s="59">
        <v>0</v>
      </c>
      <c r="M991" s="11">
        <v>0.87436646223068237</v>
      </c>
      <c r="N991" s="11">
        <v>0.66214990615844727</v>
      </c>
      <c r="O991" s="11">
        <v>0.30130237340927124</v>
      </c>
      <c r="Q991" s="59">
        <v>14.929438166868168</v>
      </c>
      <c r="R991" s="78">
        <v>480.64969844842267</v>
      </c>
      <c r="S991" s="78">
        <v>14.984357034429525</v>
      </c>
      <c r="T991" s="78">
        <v>609.56201807205787</v>
      </c>
      <c r="U991" s="59">
        <v>14.996349733607621</v>
      </c>
      <c r="V991" s="78">
        <v>806.3331650741834</v>
      </c>
      <c r="X991" s="134">
        <f t="shared" si="96"/>
        <v>1492463.1669883684</v>
      </c>
      <c r="Y991" s="134">
        <f t="shared" si="97"/>
        <v>1497826.1414248806</v>
      </c>
      <c r="Z991" s="134">
        <f t="shared" si="98"/>
        <v>1498828.640195688</v>
      </c>
      <c r="AB991" s="127">
        <f t="shared" si="99"/>
        <v>0</v>
      </c>
      <c r="AC991" s="127">
        <f t="shared" si="100"/>
        <v>0</v>
      </c>
      <c r="AD991" s="127">
        <f t="shared" si="101"/>
        <v>1</v>
      </c>
    </row>
    <row r="992" spans="1:30" x14ac:dyDescent="0.25">
      <c r="A992">
        <v>987</v>
      </c>
      <c r="C992" s="11">
        <v>3.2995760440826416E-2</v>
      </c>
      <c r="D992" s="11">
        <v>1.3190507888793945E-3</v>
      </c>
      <c r="E992" s="11">
        <v>0.38656925604476228</v>
      </c>
      <c r="F992" s="11">
        <v>0.1804903454686789</v>
      </c>
      <c r="G992" s="11">
        <v>3.0488193035125732E-2</v>
      </c>
      <c r="H992" s="40">
        <v>3.629984402883622E-4</v>
      </c>
      <c r="I992" s="40">
        <v>1.5174572876487304</v>
      </c>
      <c r="J992" s="59">
        <v>0</v>
      </c>
      <c r="K992" s="59">
        <v>4711.3955952227116</v>
      </c>
      <c r="L992" s="59">
        <v>0</v>
      </c>
      <c r="M992" s="11">
        <v>0.91229438781738281</v>
      </c>
      <c r="N992" s="11">
        <v>0.72898006439208984</v>
      </c>
      <c r="O992" s="11">
        <v>0.30212241411209106</v>
      </c>
      <c r="Q992" s="59">
        <v>15.505080696552275</v>
      </c>
      <c r="R992" s="78">
        <v>489.49850657031089</v>
      </c>
      <c r="S992" s="78">
        <v>15.552294840929495</v>
      </c>
      <c r="T992" s="78">
        <v>616.33163366075667</v>
      </c>
      <c r="U992" s="59">
        <v>15.568429817942949</v>
      </c>
      <c r="V992" s="78">
        <v>805.49624584384833</v>
      </c>
      <c r="X992" s="134">
        <f t="shared" si="96"/>
        <v>1550018.5711486572</v>
      </c>
      <c r="Y992" s="134">
        <f t="shared" si="97"/>
        <v>1554613.1524592887</v>
      </c>
      <c r="Z992" s="134">
        <f t="shared" si="98"/>
        <v>1556037.4855484511</v>
      </c>
      <c r="AB992" s="127">
        <f t="shared" si="99"/>
        <v>0</v>
      </c>
      <c r="AC992" s="127">
        <f t="shared" si="100"/>
        <v>0</v>
      </c>
      <c r="AD992" s="127">
        <f t="shared" si="101"/>
        <v>1</v>
      </c>
    </row>
    <row r="993" spans="1:30" x14ac:dyDescent="0.25">
      <c r="A993">
        <v>988</v>
      </c>
      <c r="C993" s="11">
        <v>2.6316374540328979E-2</v>
      </c>
      <c r="D993" s="11">
        <v>4.258766770362854E-3</v>
      </c>
      <c r="E993" s="11">
        <v>0.42281102828084521</v>
      </c>
      <c r="F993" s="11">
        <v>0.28363074584904346</v>
      </c>
      <c r="G993" s="11">
        <v>2.223813533782959E-2</v>
      </c>
      <c r="H993" s="40">
        <v>3.8169982174398719E-4</v>
      </c>
      <c r="I993" s="40">
        <v>1.4596825350899632</v>
      </c>
      <c r="J993" s="59">
        <v>0</v>
      </c>
      <c r="K993" s="59">
        <v>5827.0315639674664</v>
      </c>
      <c r="L993" s="59">
        <v>0</v>
      </c>
      <c r="M993" s="11">
        <v>0.84010547399520874</v>
      </c>
      <c r="N993" s="11">
        <v>0.70200824737548828</v>
      </c>
      <c r="O993" s="11">
        <v>0.30208659172058105</v>
      </c>
      <c r="Q993" s="59">
        <v>14.393957573937088</v>
      </c>
      <c r="R993" s="78">
        <v>494.84231871916495</v>
      </c>
      <c r="S993" s="78">
        <v>14.425342729552924</v>
      </c>
      <c r="T993" s="78">
        <v>622.02816840389062</v>
      </c>
      <c r="U993" s="59">
        <v>14.433009175665388</v>
      </c>
      <c r="V993" s="78">
        <v>816.92812447339747</v>
      </c>
      <c r="X993" s="134">
        <f t="shared" si="96"/>
        <v>1438900.9150749897</v>
      </c>
      <c r="Y993" s="134">
        <f t="shared" si="97"/>
        <v>1441912.2447868886</v>
      </c>
      <c r="Z993" s="134">
        <f t="shared" si="98"/>
        <v>1442483.9894420654</v>
      </c>
      <c r="AB993" s="127">
        <f t="shared" si="99"/>
        <v>0</v>
      </c>
      <c r="AC993" s="127">
        <f t="shared" si="100"/>
        <v>0</v>
      </c>
      <c r="AD993" s="127">
        <f t="shared" si="101"/>
        <v>1</v>
      </c>
    </row>
    <row r="994" spans="1:30" x14ac:dyDescent="0.25">
      <c r="A994">
        <v>989</v>
      </c>
      <c r="C994" s="11">
        <v>2.7274727821350098E-2</v>
      </c>
      <c r="D994" s="11">
        <v>2.3627668619155884E-2</v>
      </c>
      <c r="E994" s="11">
        <v>0.20054769625161548</v>
      </c>
      <c r="F994" s="11">
        <v>0.19417597699470646</v>
      </c>
      <c r="G994" s="11">
        <v>8.4956645965576172E-2</v>
      </c>
      <c r="H994" s="40">
        <v>3.1650555466077046E-4</v>
      </c>
      <c r="I994" s="40">
        <v>1.5288133966796713</v>
      </c>
      <c r="J994" s="59">
        <v>0</v>
      </c>
      <c r="K994" s="59">
        <v>4166.6044853627682</v>
      </c>
      <c r="L994" s="59">
        <v>0</v>
      </c>
      <c r="M994" s="11">
        <v>0.88138854503631592</v>
      </c>
      <c r="N994" s="11">
        <v>0.75778853893280029</v>
      </c>
      <c r="O994" s="11">
        <v>0.26267528533935547</v>
      </c>
      <c r="Q994" s="59">
        <v>15.075063007145022</v>
      </c>
      <c r="R994" s="78">
        <v>491.41572305473676</v>
      </c>
      <c r="S994" s="78">
        <v>15.129843509436888</v>
      </c>
      <c r="T994" s="78">
        <v>598.78556653739963</v>
      </c>
      <c r="U994" s="59">
        <v>15.130286844438835</v>
      </c>
      <c r="V994" s="78">
        <v>807.15889340455703</v>
      </c>
      <c r="X994" s="134">
        <f t="shared" si="96"/>
        <v>1507014.8849914477</v>
      </c>
      <c r="Y994" s="134">
        <f t="shared" si="97"/>
        <v>1512385.5653771514</v>
      </c>
      <c r="Z994" s="134">
        <f t="shared" si="98"/>
        <v>1512221.5255504791</v>
      </c>
      <c r="AB994" s="127">
        <f t="shared" si="99"/>
        <v>0</v>
      </c>
      <c r="AC994" s="127">
        <f t="shared" si="100"/>
        <v>1</v>
      </c>
      <c r="AD994" s="127">
        <f t="shared" si="101"/>
        <v>0</v>
      </c>
    </row>
    <row r="995" spans="1:30" x14ac:dyDescent="0.25">
      <c r="A995">
        <v>990</v>
      </c>
      <c r="C995" s="11">
        <v>1.8173635005950928E-2</v>
      </c>
      <c r="D995" s="11">
        <v>8.9893043041229248E-3</v>
      </c>
      <c r="E995" s="11">
        <v>0.25352204199669581</v>
      </c>
      <c r="F995" s="11">
        <v>0.24698435719912942</v>
      </c>
      <c r="G995" s="11">
        <v>4.8795998096466064E-2</v>
      </c>
      <c r="H995" s="40">
        <v>5.0423736540939268E-4</v>
      </c>
      <c r="I995" s="40">
        <v>1.479888555734334</v>
      </c>
      <c r="J995" s="59">
        <v>0</v>
      </c>
      <c r="K995" s="59">
        <v>6220.0706452131271</v>
      </c>
      <c r="L995" s="59">
        <v>0</v>
      </c>
      <c r="M995" s="11">
        <v>0.89513468742370605</v>
      </c>
      <c r="N995" s="11">
        <v>0.80615234375</v>
      </c>
      <c r="O995" s="11">
        <v>0.29784649610519409</v>
      </c>
      <c r="Q995" s="59">
        <v>15.455056234435297</v>
      </c>
      <c r="R995" s="78">
        <v>567.95745837810023</v>
      </c>
      <c r="S995" s="78">
        <v>15.5061278693625</v>
      </c>
      <c r="T995" s="78">
        <v>623.82400339736137</v>
      </c>
      <c r="U995" s="59">
        <v>15.506584030847721</v>
      </c>
      <c r="V995" s="78">
        <v>831.67436252817561</v>
      </c>
      <c r="X995" s="134">
        <f t="shared" si="96"/>
        <v>1544937.6659851517</v>
      </c>
      <c r="Y995" s="134">
        <f t="shared" si="97"/>
        <v>1549988.9629328528</v>
      </c>
      <c r="Z995" s="134">
        <f t="shared" si="98"/>
        <v>1549826.728722244</v>
      </c>
      <c r="AB995" s="127">
        <f t="shared" si="99"/>
        <v>0</v>
      </c>
      <c r="AC995" s="127">
        <f t="shared" si="100"/>
        <v>1</v>
      </c>
      <c r="AD995" s="127">
        <f t="shared" si="101"/>
        <v>0</v>
      </c>
    </row>
    <row r="996" spans="1:30" x14ac:dyDescent="0.25">
      <c r="A996">
        <v>991</v>
      </c>
      <c r="C996" s="11">
        <v>3.2197892665863037E-2</v>
      </c>
      <c r="D996" s="11">
        <v>7.3919296264648438E-2</v>
      </c>
      <c r="E996" s="11">
        <v>0.3455623945026885</v>
      </c>
      <c r="F996" s="11">
        <v>0.19967362699618077</v>
      </c>
      <c r="G996" s="11">
        <v>4.047626256942749E-2</v>
      </c>
      <c r="H996" s="40">
        <v>4.9713088994266744E-4</v>
      </c>
      <c r="I996" s="40">
        <v>1.4700811207470843</v>
      </c>
      <c r="J996" s="59">
        <v>0</v>
      </c>
      <c r="K996" s="59">
        <v>6589.6008163690567</v>
      </c>
      <c r="L996" s="59">
        <v>0</v>
      </c>
      <c r="M996" s="11">
        <v>0.86754143238067627</v>
      </c>
      <c r="N996" s="11">
        <v>0.68215203285217285</v>
      </c>
      <c r="O996" s="11">
        <v>0.28943425416946411</v>
      </c>
      <c r="Q996" s="59">
        <v>14.715761973154914</v>
      </c>
      <c r="R996" s="78">
        <v>558.19841149134106</v>
      </c>
      <c r="S996" s="78">
        <v>14.790228915263331</v>
      </c>
      <c r="T996" s="78">
        <v>636.52417305854897</v>
      </c>
      <c r="U996" s="59">
        <v>14.807145157502589</v>
      </c>
      <c r="V996" s="78">
        <v>821.34124615816006</v>
      </c>
      <c r="X996" s="134">
        <f t="shared" si="96"/>
        <v>1471017.998904</v>
      </c>
      <c r="Y996" s="134">
        <f t="shared" si="97"/>
        <v>1478386.3673532745</v>
      </c>
      <c r="Z996" s="134">
        <f t="shared" si="98"/>
        <v>1479893.1745041008</v>
      </c>
      <c r="AB996" s="127">
        <f t="shared" si="99"/>
        <v>0</v>
      </c>
      <c r="AC996" s="127">
        <f t="shared" si="100"/>
        <v>0</v>
      </c>
      <c r="AD996" s="127">
        <f t="shared" si="101"/>
        <v>1</v>
      </c>
    </row>
    <row r="997" spans="1:30" x14ac:dyDescent="0.25">
      <c r="A997">
        <v>992</v>
      </c>
      <c r="C997" s="11">
        <v>3.3774226903915405E-3</v>
      </c>
      <c r="D997" s="11">
        <v>1.3357922434806824E-2</v>
      </c>
      <c r="E997" s="11">
        <v>0.34306396508641757</v>
      </c>
      <c r="F997" s="11">
        <v>0.16748934593831999</v>
      </c>
      <c r="G997" s="11">
        <v>3.8008689880371094E-2</v>
      </c>
      <c r="H997" s="40">
        <v>5.0735039566864135E-4</v>
      </c>
      <c r="I997" s="40">
        <v>1.4965590792232326</v>
      </c>
      <c r="J997" s="59">
        <v>0</v>
      </c>
      <c r="K997" s="59">
        <v>4191.5988549590111</v>
      </c>
      <c r="L997" s="59">
        <v>0</v>
      </c>
      <c r="M997" s="11">
        <v>0.85019630193710327</v>
      </c>
      <c r="N997" s="11">
        <v>0.70889508724212646</v>
      </c>
      <c r="O997" s="11">
        <v>0.29188090562820435</v>
      </c>
      <c r="Q997" s="59">
        <v>14.876008808024221</v>
      </c>
      <c r="R997" s="78">
        <v>512.81599217061262</v>
      </c>
      <c r="S997" s="78">
        <v>14.935087117003645</v>
      </c>
      <c r="T997" s="78">
        <v>620.3932797002102</v>
      </c>
      <c r="U997" s="59">
        <v>14.951236813737115</v>
      </c>
      <c r="V997" s="78">
        <v>808.29283111765312</v>
      </c>
      <c r="X997" s="134">
        <f t="shared" si="96"/>
        <v>1487088.0648102514</v>
      </c>
      <c r="Y997" s="134">
        <f t="shared" si="97"/>
        <v>1492888.3184206642</v>
      </c>
      <c r="Z997" s="134">
        <f t="shared" si="98"/>
        <v>1494315.3885425937</v>
      </c>
      <c r="AB997" s="127">
        <f t="shared" si="99"/>
        <v>0</v>
      </c>
      <c r="AC997" s="127">
        <f t="shared" si="100"/>
        <v>0</v>
      </c>
      <c r="AD997" s="127">
        <f t="shared" si="101"/>
        <v>1</v>
      </c>
    </row>
    <row r="998" spans="1:30" x14ac:dyDescent="0.25">
      <c r="A998">
        <v>993</v>
      </c>
      <c r="C998" s="11">
        <v>6.1830878257751465E-3</v>
      </c>
      <c r="D998" s="11">
        <v>6.3431262969970703E-4</v>
      </c>
      <c r="E998" s="11">
        <v>0.18233037787331333</v>
      </c>
      <c r="F998" s="11">
        <v>0.15271734911339996</v>
      </c>
      <c r="G998" s="11">
        <v>4.2516797780990601E-2</v>
      </c>
      <c r="H998" s="40">
        <v>4.4258440926668493E-4</v>
      </c>
      <c r="I998" s="40">
        <v>1.385520566563603</v>
      </c>
      <c r="J998" s="59">
        <v>0</v>
      </c>
      <c r="K998" s="59">
        <v>6693.8810050487518</v>
      </c>
      <c r="L998" s="59">
        <v>0</v>
      </c>
      <c r="M998" s="11">
        <v>0.89012604951858521</v>
      </c>
      <c r="N998" s="11">
        <v>0.78813862800598145</v>
      </c>
      <c r="O998" s="11">
        <v>0.27523326873779297</v>
      </c>
      <c r="Q998" s="59">
        <v>15.578495272806808</v>
      </c>
      <c r="R998" s="78">
        <v>517.6050753259168</v>
      </c>
      <c r="S998" s="78">
        <v>15.616891287335381</v>
      </c>
      <c r="T998" s="78">
        <v>601.79386646017838</v>
      </c>
      <c r="U998" s="59">
        <v>15.618301370323238</v>
      </c>
      <c r="V998" s="78">
        <v>807.09969801149145</v>
      </c>
      <c r="X998" s="134">
        <f t="shared" si="96"/>
        <v>1557331.922205355</v>
      </c>
      <c r="Y998" s="134">
        <f t="shared" si="97"/>
        <v>1561087.3348670779</v>
      </c>
      <c r="Z998" s="134">
        <f t="shared" si="98"/>
        <v>1561023.0373343122</v>
      </c>
      <c r="AB998" s="127">
        <f t="shared" si="99"/>
        <v>0</v>
      </c>
      <c r="AC998" s="127">
        <f t="shared" si="100"/>
        <v>1</v>
      </c>
      <c r="AD998" s="127">
        <f t="shared" si="101"/>
        <v>0</v>
      </c>
    </row>
    <row r="999" spans="1:30" x14ac:dyDescent="0.25">
      <c r="A999">
        <v>994</v>
      </c>
      <c r="C999" s="11">
        <v>2.0924925804138184E-2</v>
      </c>
      <c r="D999" s="11">
        <v>1.2531012296676636E-2</v>
      </c>
      <c r="E999" s="11">
        <v>0.22118204145660755</v>
      </c>
      <c r="F999" s="11">
        <v>0.26519323561011204</v>
      </c>
      <c r="G999" s="11">
        <v>3.0890524387359619E-2</v>
      </c>
      <c r="H999" s="40">
        <v>4.7321268209318866E-4</v>
      </c>
      <c r="I999" s="40">
        <v>1.4221328904750876</v>
      </c>
      <c r="J999" s="59">
        <v>0</v>
      </c>
      <c r="K999" s="59">
        <v>5991.0863637924194</v>
      </c>
      <c r="L999" s="59">
        <v>0</v>
      </c>
      <c r="M999" s="11">
        <v>0.84117478132247925</v>
      </c>
      <c r="N999" s="11">
        <v>0.76050287485122681</v>
      </c>
      <c r="O999" s="11">
        <v>0.31086009740829468</v>
      </c>
      <c r="Q999" s="59">
        <v>14.49971990602381</v>
      </c>
      <c r="R999" s="78">
        <v>515.219086416756</v>
      </c>
      <c r="S999" s="78">
        <v>14.536572393171735</v>
      </c>
      <c r="T999" s="78">
        <v>606.16944971098371</v>
      </c>
      <c r="U999" s="59">
        <v>14.534458995448833</v>
      </c>
      <c r="V999" s="78">
        <v>820.55114024204295</v>
      </c>
      <c r="X999" s="134">
        <f t="shared" si="96"/>
        <v>1449456.7715159643</v>
      </c>
      <c r="Y999" s="134">
        <f t="shared" si="97"/>
        <v>1453051.0698674624</v>
      </c>
      <c r="Z999" s="134">
        <f t="shared" si="98"/>
        <v>1452625.3484046413</v>
      </c>
      <c r="AB999" s="127">
        <f t="shared" si="99"/>
        <v>0</v>
      </c>
      <c r="AC999" s="127">
        <f t="shared" si="100"/>
        <v>1</v>
      </c>
      <c r="AD999" s="127">
        <f t="shared" si="101"/>
        <v>0</v>
      </c>
    </row>
    <row r="1000" spans="1:30" x14ac:dyDescent="0.25">
      <c r="A1000">
        <v>995</v>
      </c>
      <c r="C1000" s="11">
        <v>2.1541416645050049E-2</v>
      </c>
      <c r="D1000" s="11">
        <v>3.1996250152587891E-2</v>
      </c>
      <c r="E1000" s="11">
        <v>0.13729043551907852</v>
      </c>
      <c r="F1000" s="11">
        <v>0.29464102761861599</v>
      </c>
      <c r="G1000" s="11">
        <v>5.2490651607513428E-2</v>
      </c>
      <c r="H1000" s="40">
        <v>4.0562445245475237E-4</v>
      </c>
      <c r="I1000" s="40">
        <v>1.4613207334007599</v>
      </c>
      <c r="J1000" s="59">
        <v>0</v>
      </c>
      <c r="K1000" s="59">
        <v>4224.0764014422894</v>
      </c>
      <c r="L1000" s="59">
        <v>0</v>
      </c>
      <c r="M1000" s="11">
        <v>0.86444586515426636</v>
      </c>
      <c r="N1000" s="11">
        <v>0.80712735652923584</v>
      </c>
      <c r="O1000" s="11">
        <v>0.31821990013122559</v>
      </c>
      <c r="Q1000" s="59">
        <v>14.890830080516579</v>
      </c>
      <c r="R1000" s="78">
        <v>485.04236578409268</v>
      </c>
      <c r="S1000" s="78">
        <v>14.933380780622077</v>
      </c>
      <c r="T1000" s="78">
        <v>591.67766176688997</v>
      </c>
      <c r="U1000" s="59">
        <v>14.925511934640866</v>
      </c>
      <c r="V1000" s="78">
        <v>815.13711797244559</v>
      </c>
      <c r="X1000" s="134">
        <f t="shared" si="96"/>
        <v>1488597.965685874</v>
      </c>
      <c r="Y1000" s="134">
        <f t="shared" si="97"/>
        <v>1492746.4004004407</v>
      </c>
      <c r="Z1000" s="134">
        <f t="shared" si="98"/>
        <v>1491736.0563461143</v>
      </c>
      <c r="AB1000" s="127">
        <f t="shared" si="99"/>
        <v>0</v>
      </c>
      <c r="AC1000" s="127">
        <f t="shared" si="100"/>
        <v>1</v>
      </c>
      <c r="AD1000" s="127">
        <f t="shared" si="101"/>
        <v>0</v>
      </c>
    </row>
    <row r="1001" spans="1:30" x14ac:dyDescent="0.25">
      <c r="A1001">
        <v>996</v>
      </c>
      <c r="C1001" s="11">
        <v>1.1184379458427429E-2</v>
      </c>
      <c r="D1001" s="11">
        <v>2.9274344444274902E-2</v>
      </c>
      <c r="E1001" s="11">
        <v>0.14992871845231817</v>
      </c>
      <c r="F1001" s="11">
        <v>0.31872634409442763</v>
      </c>
      <c r="G1001" s="11">
        <v>6.3829660415649414E-2</v>
      </c>
      <c r="H1001" s="40">
        <v>3.4348118829963622E-4</v>
      </c>
      <c r="I1001" s="40">
        <v>1.527760273710195</v>
      </c>
      <c r="J1001" s="59">
        <v>0</v>
      </c>
      <c r="K1001" s="59">
        <v>4261.2547986209393</v>
      </c>
      <c r="L1001" s="59">
        <v>0</v>
      </c>
      <c r="M1001" s="11">
        <v>0.8358609676361084</v>
      </c>
      <c r="N1001" s="11">
        <v>0.75211089849472046</v>
      </c>
      <c r="O1001" s="11">
        <v>0.28750470280647278</v>
      </c>
      <c r="Q1001" s="59">
        <v>14.539660530383221</v>
      </c>
      <c r="R1001" s="78">
        <v>494.33304054193434</v>
      </c>
      <c r="S1001" s="78">
        <v>14.590085488214349</v>
      </c>
      <c r="T1001" s="78">
        <v>594.26683789022957</v>
      </c>
      <c r="U1001" s="59">
        <v>14.579930300918493</v>
      </c>
      <c r="V1001" s="78">
        <v>820.35939891965722</v>
      </c>
      <c r="X1001" s="134">
        <f t="shared" si="96"/>
        <v>1453471.7199977802</v>
      </c>
      <c r="Y1001" s="134">
        <f t="shared" si="97"/>
        <v>1458414.2819835446</v>
      </c>
      <c r="Z1001" s="134">
        <f t="shared" si="98"/>
        <v>1457172.6706929298</v>
      </c>
      <c r="AB1001" s="127">
        <f t="shared" si="99"/>
        <v>0</v>
      </c>
      <c r="AC1001" s="127">
        <f t="shared" si="100"/>
        <v>1</v>
      </c>
      <c r="AD1001" s="127">
        <f t="shared" si="101"/>
        <v>0</v>
      </c>
    </row>
    <row r="1002" spans="1:30" x14ac:dyDescent="0.25">
      <c r="A1002">
        <v>997</v>
      </c>
      <c r="C1002" s="11">
        <v>3.3620893955230713E-2</v>
      </c>
      <c r="D1002" s="11">
        <v>2.5835782289505005E-2</v>
      </c>
      <c r="E1002" s="11">
        <v>0.27843330212660139</v>
      </c>
      <c r="F1002" s="11">
        <v>0.19712356927827213</v>
      </c>
      <c r="G1002" s="11">
        <v>4.3491393327713013E-2</v>
      </c>
      <c r="H1002" s="40">
        <v>5.352851792824985E-4</v>
      </c>
      <c r="I1002" s="40">
        <v>1.4496631605633243</v>
      </c>
      <c r="J1002" s="59">
        <v>0</v>
      </c>
      <c r="K1002" s="59">
        <v>5509.5041170716286</v>
      </c>
      <c r="L1002" s="59">
        <v>0</v>
      </c>
      <c r="M1002" s="11">
        <v>0.81031489372253418</v>
      </c>
      <c r="N1002" s="11">
        <v>0.73086857795715332</v>
      </c>
      <c r="O1002" s="11">
        <v>0.28493165969848633</v>
      </c>
      <c r="Q1002" s="59">
        <v>13.768598193635123</v>
      </c>
      <c r="R1002" s="78">
        <v>536.98596950479737</v>
      </c>
      <c r="S1002" s="78">
        <v>13.81391784497449</v>
      </c>
      <c r="T1002" s="78">
        <v>619.41701457810473</v>
      </c>
      <c r="U1002" s="59">
        <v>13.819126652643023</v>
      </c>
      <c r="V1002" s="78">
        <v>816.66322303596564</v>
      </c>
      <c r="X1002" s="134">
        <f t="shared" si="96"/>
        <v>1376322.8333940075</v>
      </c>
      <c r="Y1002" s="134">
        <f t="shared" si="97"/>
        <v>1380772.3674828708</v>
      </c>
      <c r="Z1002" s="134">
        <f t="shared" si="98"/>
        <v>1381096.0020412665</v>
      </c>
      <c r="AB1002" s="127">
        <f t="shared" si="99"/>
        <v>0</v>
      </c>
      <c r="AC1002" s="127">
        <f t="shared" si="100"/>
        <v>0</v>
      </c>
      <c r="AD1002" s="127">
        <f t="shared" si="101"/>
        <v>1</v>
      </c>
    </row>
    <row r="1003" spans="1:30" x14ac:dyDescent="0.25">
      <c r="A1003">
        <v>998</v>
      </c>
      <c r="C1003" s="11">
        <v>1.0147586464881897E-2</v>
      </c>
      <c r="D1003" s="11">
        <v>2.2981911897659302E-2</v>
      </c>
      <c r="E1003" s="11">
        <v>0.36789414851400909</v>
      </c>
      <c r="F1003" s="11">
        <v>0.16375216879866092</v>
      </c>
      <c r="G1003" s="11">
        <v>3.1299561262130737E-2</v>
      </c>
      <c r="H1003" s="40">
        <v>4.0149336473750062E-4</v>
      </c>
      <c r="I1003" s="40">
        <v>1.4362213489716706</v>
      </c>
      <c r="J1003" s="59">
        <v>0</v>
      </c>
      <c r="K1003" s="59">
        <v>2962.9934579133987</v>
      </c>
      <c r="L1003" s="59">
        <v>0</v>
      </c>
      <c r="M1003" s="11">
        <v>0.83347117900848389</v>
      </c>
      <c r="N1003" s="11">
        <v>0.79929912090301514</v>
      </c>
      <c r="O1003" s="11">
        <v>0.26829284429550171</v>
      </c>
      <c r="Q1003" s="59">
        <v>14.53778199520781</v>
      </c>
      <c r="R1003" s="78">
        <v>447.69466715512823</v>
      </c>
      <c r="S1003" s="78">
        <v>14.559696134290808</v>
      </c>
      <c r="T1003" s="78">
        <v>598.94440421777858</v>
      </c>
      <c r="U1003" s="59">
        <v>14.566884029625896</v>
      </c>
      <c r="V1003" s="78">
        <v>796.90508939687857</v>
      </c>
      <c r="X1003" s="134">
        <f t="shared" si="96"/>
        <v>1453330.5048536258</v>
      </c>
      <c r="Y1003" s="134">
        <f t="shared" si="97"/>
        <v>1455370.669024863</v>
      </c>
      <c r="Z1003" s="134">
        <f t="shared" si="98"/>
        <v>1455891.4978731927</v>
      </c>
      <c r="AB1003" s="127">
        <f t="shared" si="99"/>
        <v>0</v>
      </c>
      <c r="AC1003" s="127">
        <f t="shared" si="100"/>
        <v>0</v>
      </c>
      <c r="AD1003" s="127">
        <f t="shared" si="101"/>
        <v>1</v>
      </c>
    </row>
    <row r="1004" spans="1:30" x14ac:dyDescent="0.25">
      <c r="A1004">
        <v>999</v>
      </c>
      <c r="C1004" s="11">
        <v>1.0086774826049805E-2</v>
      </c>
      <c r="D1004" s="11">
        <v>2.6251435279846191E-2</v>
      </c>
      <c r="E1004" s="11">
        <v>0.19736872174380454</v>
      </c>
      <c r="F1004" s="11">
        <v>0.14177211408901941</v>
      </c>
      <c r="G1004" s="11">
        <v>3.2028257846832275E-2</v>
      </c>
      <c r="H1004" s="40">
        <v>6.4384506418769052E-4</v>
      </c>
      <c r="I1004" s="40">
        <v>1.2693416835154503</v>
      </c>
      <c r="J1004" s="59">
        <v>0</v>
      </c>
      <c r="K1004" s="59">
        <v>3910.3790186345577</v>
      </c>
      <c r="L1004" s="59">
        <v>0</v>
      </c>
      <c r="M1004" s="11">
        <v>0.88487154245376587</v>
      </c>
      <c r="N1004" s="11">
        <v>0.71786153316497803</v>
      </c>
      <c r="O1004" s="11">
        <v>0.32810497283935547</v>
      </c>
      <c r="Q1004" s="59">
        <v>15.405285173409236</v>
      </c>
      <c r="R1004" s="78">
        <v>463.99816341164438</v>
      </c>
      <c r="S1004" s="78">
        <v>15.458944042561281</v>
      </c>
      <c r="T1004" s="78">
        <v>592.9672069852096</v>
      </c>
      <c r="U1004" s="59">
        <v>15.462709690258052</v>
      </c>
      <c r="V1004" s="78">
        <v>798.04042728833952</v>
      </c>
      <c r="X1004" s="134">
        <f t="shared" si="96"/>
        <v>1540064.519177512</v>
      </c>
      <c r="Y1004" s="134">
        <f t="shared" si="97"/>
        <v>1545301.437049143</v>
      </c>
      <c r="Z1004" s="134">
        <f t="shared" si="98"/>
        <v>1545472.9285985169</v>
      </c>
      <c r="AB1004" s="127">
        <f t="shared" si="99"/>
        <v>0</v>
      </c>
      <c r="AC1004" s="127">
        <f t="shared" si="100"/>
        <v>0</v>
      </c>
      <c r="AD1004" s="127">
        <f t="shared" si="101"/>
        <v>1</v>
      </c>
    </row>
    <row r="1005" spans="1:30" x14ac:dyDescent="0.25">
      <c r="A1005">
        <v>1000</v>
      </c>
      <c r="C1005" s="11">
        <v>5.9267729520797729E-3</v>
      </c>
      <c r="D1005" s="11">
        <v>4.8226356506347656E-2</v>
      </c>
      <c r="E1005" s="11">
        <v>0.23232291825175519</v>
      </c>
      <c r="F1005" s="11">
        <v>0.22209629398891123</v>
      </c>
      <c r="G1005" s="11">
        <v>2.786429226398468E-2</v>
      </c>
      <c r="H1005" s="40">
        <v>3.6824957015837349E-4</v>
      </c>
      <c r="I1005" s="40">
        <v>1.5528828867657438</v>
      </c>
      <c r="J1005" s="59">
        <v>0</v>
      </c>
      <c r="K1005" s="59">
        <v>6445.0874924659729</v>
      </c>
      <c r="L1005" s="59">
        <v>0</v>
      </c>
      <c r="M1005" s="11">
        <v>0.87376385927200317</v>
      </c>
      <c r="N1005" s="11">
        <v>0.79317057132720947</v>
      </c>
      <c r="O1005" s="11">
        <v>0.28158491849899292</v>
      </c>
      <c r="Q1005" s="59">
        <v>15.272350070035801</v>
      </c>
      <c r="R1005" s="78">
        <v>541.32967389137582</v>
      </c>
      <c r="S1005" s="78">
        <v>15.3257573771034</v>
      </c>
      <c r="T1005" s="78">
        <v>613.78518818438238</v>
      </c>
      <c r="U1005" s="59">
        <v>15.326482580497464</v>
      </c>
      <c r="V1005" s="78">
        <v>821.26118487691292</v>
      </c>
      <c r="X1005" s="134">
        <f t="shared" si="96"/>
        <v>1526693.6773296886</v>
      </c>
      <c r="Y1005" s="134">
        <f t="shared" si="97"/>
        <v>1531961.9525221556</v>
      </c>
      <c r="Z1005" s="134">
        <f t="shared" si="98"/>
        <v>1531826.9968648693</v>
      </c>
      <c r="AB1005" s="127">
        <f t="shared" si="99"/>
        <v>0</v>
      </c>
      <c r="AC1005" s="127">
        <f t="shared" si="100"/>
        <v>1</v>
      </c>
      <c r="AD1005" s="127">
        <f t="shared" si="101"/>
        <v>0</v>
      </c>
    </row>
    <row r="1007" spans="1:30" x14ac:dyDescent="0.25">
      <c r="K1007" s="59">
        <f>AVERAGE(K6:K1005)</f>
        <v>5289.9404847994447</v>
      </c>
      <c r="L1007" s="59">
        <f>AVERAGE(L6:L1005)</f>
        <v>0</v>
      </c>
      <c r="Q1007" s="138">
        <f t="shared" ref="Q1007:V1007" si="102">AVERAGE(Q6:Q1005)</f>
        <v>14.645752722744454</v>
      </c>
      <c r="R1007" s="139">
        <f t="shared" si="102"/>
        <v>514.00195136797322</v>
      </c>
      <c r="S1007" s="138">
        <f t="shared" si="102"/>
        <v>14.690409452157793</v>
      </c>
      <c r="T1007" s="138">
        <f t="shared" si="102"/>
        <v>612.37758104588511</v>
      </c>
      <c r="U1007" s="138">
        <f t="shared" si="102"/>
        <v>14.694291648798991</v>
      </c>
      <c r="V1007" s="139">
        <f t="shared" si="102"/>
        <v>814.0450435855422</v>
      </c>
    </row>
    <row r="1009" spans="12:12" x14ac:dyDescent="0.25">
      <c r="L1009" s="59">
        <f>L1007/K1007</f>
        <v>0</v>
      </c>
    </row>
  </sheetData>
  <phoneticPr fontId="19" type="noConversion"/>
  <pageMargins left="0.75" right="0.75" top="1" bottom="1" header="0.5" footer="0.5"/>
  <pageSetup paperSize="9" orientation="portrait" horizontalDpi="4294967293"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9</vt:i4>
      </vt:variant>
      <vt:variant>
        <vt:lpstr>Charts</vt:lpstr>
      </vt:variant>
      <vt:variant>
        <vt:i4>2</vt:i4>
      </vt:variant>
      <vt:variant>
        <vt:lpstr>Named Ranges</vt:lpstr>
      </vt:variant>
      <vt:variant>
        <vt:i4>67</vt:i4>
      </vt:variant>
    </vt:vector>
  </HeadingPairs>
  <TitlesOfParts>
    <vt:vector size="78" baseType="lpstr">
      <vt:lpstr>Model Figure</vt:lpstr>
      <vt:lpstr>Analysis</vt:lpstr>
      <vt:lpstr>Parameters</vt:lpstr>
      <vt:lpstr>Life tables</vt:lpstr>
      <vt:lpstr>Hazard function</vt:lpstr>
      <vt:lpstr>Standard</vt:lpstr>
      <vt:lpstr>NP1</vt:lpstr>
      <vt:lpstr>NP2</vt:lpstr>
      <vt:lpstr>Simulation</vt:lpstr>
      <vt:lpstr>CE plane</vt:lpstr>
      <vt:lpstr>CEA curve</vt:lpstr>
      <vt:lpstr>'Hazard function'!a</vt:lpstr>
      <vt:lpstr>age</vt:lpstr>
      <vt:lpstr>ageC</vt:lpstr>
      <vt:lpstr>'Hazard function'!b</vt:lpstr>
      <vt:lpstr>'Hazard function'!c_</vt:lpstr>
      <vt:lpstr>cDR</vt:lpstr>
      <vt:lpstr>cNP1</vt:lpstr>
      <vt:lpstr>cNP2</vt:lpstr>
      <vt:lpstr>cons</vt:lpstr>
      <vt:lpstr>cPrimary</vt:lpstr>
      <vt:lpstr>cRatio</vt:lpstr>
      <vt:lpstr>cRevision</vt:lpstr>
      <vt:lpstr>cStandard</vt:lpstr>
      <vt:lpstr>cSuccess</vt:lpstr>
      <vt:lpstr>NP1!cycle</vt:lpstr>
      <vt:lpstr>NP2!cycle</vt:lpstr>
      <vt:lpstr>cycle</vt:lpstr>
      <vt:lpstr>'Hazard function'!d</vt:lpstr>
      <vt:lpstr>'Hazard function'!e</vt:lpstr>
      <vt:lpstr>'Hazard function'!f</vt:lpstr>
      <vt:lpstr>'Hazard function'!g</vt:lpstr>
      <vt:lpstr>gamma</vt:lpstr>
      <vt:lpstr>'Hazard function'!h</vt:lpstr>
      <vt:lpstr>'Hazard function'!i</vt:lpstr>
      <vt:lpstr>'Hazard function'!j</vt:lpstr>
      <vt:lpstr>'Hazard function'!k</vt:lpstr>
      <vt:lpstr>'Hazard function'!l</vt:lpstr>
      <vt:lpstr>lambda</vt:lpstr>
      <vt:lpstr>lifetable</vt:lpstr>
      <vt:lpstr>lngam</vt:lpstr>
      <vt:lpstr>lnlam</vt:lpstr>
      <vt:lpstr>'Hazard function'!m</vt:lpstr>
      <vt:lpstr>male</vt:lpstr>
      <vt:lpstr>maleC</vt:lpstr>
      <vt:lpstr>NP1!mr</vt:lpstr>
      <vt:lpstr>NP2!mr</vt:lpstr>
      <vt:lpstr>mr</vt:lpstr>
      <vt:lpstr>'Hazard function'!n</vt:lpstr>
      <vt:lpstr>NP1cost</vt:lpstr>
      <vt:lpstr>NP1lys</vt:lpstr>
      <vt:lpstr>NP1qalys</vt:lpstr>
      <vt:lpstr>np1RR</vt:lpstr>
      <vt:lpstr>NP2cost</vt:lpstr>
      <vt:lpstr>NP2lys</vt:lpstr>
      <vt:lpstr>NP2qalys</vt:lpstr>
      <vt:lpstr>np2RR</vt:lpstr>
      <vt:lpstr>'Hazard function'!o</vt:lpstr>
      <vt:lpstr>oDR</vt:lpstr>
      <vt:lpstr>omrPTHR</vt:lpstr>
      <vt:lpstr>omrRTHR</vt:lpstr>
      <vt:lpstr>p</vt:lpstr>
      <vt:lpstr>Parameters!Print_Area</vt:lpstr>
      <vt:lpstr>q</vt:lpstr>
      <vt:lpstr>r_</vt:lpstr>
      <vt:lpstr>rrNP1</vt:lpstr>
      <vt:lpstr>rrNP2</vt:lpstr>
      <vt:lpstr>rrr</vt:lpstr>
      <vt:lpstr>s</vt:lpstr>
      <vt:lpstr>standardRR</vt:lpstr>
      <vt:lpstr>STDcost</vt:lpstr>
      <vt:lpstr>STDlys</vt:lpstr>
      <vt:lpstr>STDqalys</vt:lpstr>
      <vt:lpstr>t</vt:lpstr>
      <vt:lpstr>u</vt:lpstr>
      <vt:lpstr>uRevision</vt:lpstr>
      <vt:lpstr>uSuccessP</vt:lpstr>
      <vt:lpstr>uSuccessR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Authorized Customer</dc:creator>
  <cp:lastModifiedBy>Nichola Naylor</cp:lastModifiedBy>
  <cp:lastPrinted>2002-08-26T15:47:11Z</cp:lastPrinted>
  <dcterms:created xsi:type="dcterms:W3CDTF">1996-10-22T18:25:37Z</dcterms:created>
  <dcterms:modified xsi:type="dcterms:W3CDTF">2021-09-13T12:59:14Z</dcterms:modified>
</cp:coreProperties>
</file>